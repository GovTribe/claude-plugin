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ortlist" sheetId="1" state="visible" r:id="rId3"/>
    <sheet name="Teaming Needs" sheetId="2" state="visible" r:id="rId4"/>
    <sheet name="Capability Match" sheetId="3" state="visible" r:id="rId5"/>
    <sheet name="Relevant Work" sheetId="4" state="visible" r:id="rId6"/>
    <sheet name="Checks &amp; Actions" sheetId="5" state="visible" r:id="rId7"/>
    <sheet name="Sources" sheetId="6" state="visible" r:id="rId8"/>
  </sheets>
  <definedNames>
    <definedName name="_xlnm.Print_Area" localSheetId="0">'Shortlist'!$A$1:$F$17,'Shortlist'!$G$10:$L$17</definedName>
    <definedName name="_xlnm.Print_Titles" localSheetId="0">'Shortlist'!$11:$11</definedName>
    <definedName name="_xlnm.Print_Area" localSheetId="1">'Teaming Needs'!$A$1:$I$14</definedName>
    <definedName name="_xlnm.Print_Titles" localSheetId="1">'Teaming Needs'!$8:$8</definedName>
    <definedName name="_xlnm.Print_Area" localSheetId="2">'Capability Match'!$A$1:$K$27</definedName>
    <definedName name="_xlnm.Print_Titles" localSheetId="2">'Capability Match'!$7:$7</definedName>
    <definedName name="_xlnm.Print_Area" localSheetId="3">'Relevant Work'!$A$1:$F$13,'Relevant Work'!$G$7:$O$13</definedName>
    <definedName name="_xlnm.Print_Titles" localSheetId="3">'Relevant Work'!$7:$7</definedName>
    <definedName name="_xlnm.Print_Area" localSheetId="4">'Checks &amp; Actions'!$A$1:$H$23,'Checks &amp; Actions'!$I$7:$N$23</definedName>
    <definedName name="_xlnm.Print_Titles" localSheetId="4">'Checks &amp; Actions'!$7:$7</definedName>
    <definedName name="_xlnm.Print_Area" localSheetId="5">'Sources'!$A$1:$F$25,'Sources'!$G$7:$J$25</definedName>
    <definedName name="_xlnm.Print_Titles" localSheetId="5">'Sources'!$7:$7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<sst xmlns="http://schemas.openxmlformats.org/spreadsheetml/2006/main" count="503" uniqueCount="257">
  <si>
    <t xml:space="preserve">Teaming partner shortlist</t>
  </si>
  <si>
    <t xml:space="preserve">Buyer</t>
  </si>
  <si>
    <t xml:space="preserve">U.S. Fish and Wildlife Service</t>
  </si>
  <si>
    <t xml:space="preserve">As of</t>
  </si>
  <si>
    <t xml:space="preserve">Pursuit</t>
  </si>
  <si>
    <t xml:space="preserve">Bitter Lake NWR survey</t>
  </si>
  <si>
    <t xml:space="preserve">Prime</t>
  </si>
  <si>
    <t xml:space="preserve">GovTribe, Inc. · UEI EDJBUPNLCCL5</t>
  </si>
  <si>
    <t xml:space="preserve">Solicitation</t>
  </si>
  <si>
    <t xml:space="preserve">140FC126R0018</t>
  </si>
  <si>
    <t xml:space="preserve">Due</t>
  </si>
  <si>
    <t xml:space="preserve">5:00 PM EDT</t>
  </si>
  <si>
    <t xml:space="preserve">Submittal</t>
  </si>
  <si>
    <t xml:space="preserve">SF330</t>
  </si>
  <si>
    <t xml:space="preserve">GovTribe’s identity is real; scenario assumptions and past performance are illustrative. Real opportunity and candidate companies.</t>
  </si>
  <si>
    <t xml:space="preserve">Next steps and candidate inputs</t>
  </si>
  <si>
    <t xml:space="preserve">ID</t>
  </si>
  <si>
    <t xml:space="preserve">Company / UEI</t>
  </si>
  <si>
    <t xml:space="preserve">Proposed role</t>
  </si>
  <si>
    <t xml:space="preserve">Recommendation</t>
  </si>
  <si>
    <t xml:space="preserve">Why</t>
  </si>
  <si>
    <t xml:space="preserve">Main conditions</t>
  </si>
  <si>
    <t xml:space="preserve">Candidate</t>
  </si>
  <si>
    <t xml:space="preserve">Next action</t>
  </si>
  <si>
    <t xml:space="preserve">Required checks</t>
  </si>
  <si>
    <t xml:space="preserve">Source ID</t>
  </si>
  <si>
    <t xml:space="preserve">Main issue</t>
  </si>
  <si>
    <t xml:space="preserve">Input check</t>
  </si>
  <si>
    <t xml:space="preserve">C01</t>
  </si>
  <si>
    <t xml:space="preserve">Lead airborne topobathymetric collection.</t>
  </si>
  <si>
    <t xml:space="preserve">Shortlist</t>
  </si>
  <si>
    <t xml:space="preserve">Green-laser capability disclosure and a NOAA mapping award warrant contact.</t>
  </si>
  <si>
    <t xml:space="preserve">Ask for a sensor/crew plan, licensed staff and one recent evaluated project.</t>
  </si>
  <si>
    <t xml:space="preserve">V01</t>
  </si>
  <si>
    <t xml:space="preserve">Aircraft slot and licensed team are unconfirmed.</t>
  </si>
  <si>
    <t xml:space="preserve">C02</t>
  </si>
  <si>
    <t xml:space="preserve">Alternative lead for airborne collection and processing.</t>
  </si>
  <si>
    <t xml:space="preserve">NOAA documents bathymetric work; a recent mapping award warrants contact.</t>
  </si>
  <si>
    <t xml:space="preserve">Request a recent project, intended contracting entity and November–February availability.</t>
  </si>
  <si>
    <t xml:space="preserve">V02</t>
  </si>
  <si>
    <t xml:space="preserve">Recent evaluated project and proposed team are unconfirmed.</t>
  </si>
  <si>
    <t xml:space="preserve">C03</t>
  </si>
  <si>
    <t xml:space="preserve">Possible LiDAR/imagery collection partner.</t>
  </si>
  <si>
    <t xml:space="preserve">Research further</t>
  </si>
  <si>
    <t xml:space="preserve">NOAA LiDAR/imagery award is relevant; bathymetric evidence is still missing.</t>
  </si>
  <si>
    <t xml:space="preserve">Request a bathymetric method and reference before adding to the contact shortlist.</t>
  </si>
  <si>
    <t xml:space="preserve">V03</t>
  </si>
  <si>
    <t xml:space="preserve">Airborne bathymetric method and staff are unconfirmed.</t>
  </si>
  <si>
    <t xml:space="preserve">C04</t>
  </si>
  <si>
    <t xml:space="preserve">Possible topographic LiDAR and imagery support.</t>
  </si>
  <si>
    <t xml:space="preserve">Interior LiDAR/imagery award suggests a supporting role.</t>
  </si>
  <si>
    <t xml:space="preserve">Confirm interest in a supporting package and whether bathymetric capability is available.</t>
  </si>
  <si>
    <t xml:space="preserve">V04</t>
  </si>
  <si>
    <t xml:space="preserve">Bathymetric capability and workshare are unconfirmed.</t>
  </si>
  <si>
    <t xml:space="preserve">Teaming needs</t>
  </si>
  <si>
    <t xml:space="preserve">Prime capabilities</t>
  </si>
  <si>
    <t xml:space="preserve">Illustrative GovTribe capabilities: project coordination and GIS integration only. No aircraft, bathymetric sensor, field crew or named New Mexico licensed manager is assumed.</t>
  </si>
  <si>
    <t xml:space="preserve">Teaming structure</t>
  </si>
  <si>
    <t xml:space="preserve">Proposed prime/subcontractor team; no partners committed.</t>
  </si>
  <si>
    <t xml:space="preserve">Requirements come from the buyer. Gaps describe the prime profile; B01 supports the example assumptions.</t>
  </si>
  <si>
    <t xml:space="preserve">Need</t>
  </si>
  <si>
    <t xml:space="preserve">Priority</t>
  </si>
  <si>
    <t xml:space="preserve">Buyer requirement</t>
  </si>
  <si>
    <t xml:space="preserve">Prime gap</t>
  </si>
  <si>
    <t xml:space="preserve">Citation</t>
  </si>
  <si>
    <t xml:space="preserve">Location</t>
  </si>
  <si>
    <t xml:space="preserve">N01</t>
  </si>
  <si>
    <t xml:space="preserve">Airborne bathymetric LiDAR</t>
  </si>
  <si>
    <t xml:space="preserve">Required</t>
  </si>
  <si>
    <t xml:space="preserve">Airborne bathymetric collection using the October 2025 bathymetric specification. Ground-based bathymetry cannot replace it.</t>
  </si>
  <si>
    <t xml:space="preserve">Prime has no bathymetric sensor or flight crew.</t>
  </si>
  <si>
    <t xml:space="preserve">S04</t>
  </si>
  <si>
    <t xml:space="preserve">pp2,8–9; RFI 01,20,24,25</t>
  </si>
  <si>
    <t xml:space="preserve">N02</t>
  </si>
  <si>
    <t xml:space="preserve">Topographic LiDAR and imagery</t>
  </si>
  <si>
    <t xml:space="preserve">Topographic collection at 8 points/m² or better, plus 3-inch, four-band orthophotography.</t>
  </si>
  <si>
    <t xml:space="preserve">Prime has no aircraft or image acquisition equipment.</t>
  </si>
  <si>
    <t xml:space="preserve">S02</t>
  </si>
  <si>
    <t xml:space="preserve">pp5–6,10–11</t>
  </si>
  <si>
    <t xml:space="preserve">N03</t>
  </si>
  <si>
    <t xml:space="preserve">Ground control and field survey</t>
  </si>
  <si>
    <t xml:space="preserve">Six primary control points in the Middle/South tracts and detailed surveys of 20 water-control structures. Visible utilities are sufficient.</t>
  </si>
  <si>
    <t xml:space="preserve">Prime has no field crew or named New Mexico survey professional.</t>
  </si>
  <si>
    <t xml:space="preserve">pp2–3,9; RFI 04,06,25</t>
  </si>
  <si>
    <t xml:space="preserve">N04</t>
  </si>
  <si>
    <t xml:space="preserve">LiDAR processing and delivery</t>
  </si>
  <si>
    <t xml:space="preserve">Deliver hydro-flattened and topobathymetric DEMs and an ESRI breakline geodatabase, with the specified quality checks.</t>
  </si>
  <si>
    <t xml:space="preserve">Prime can integrate GIS outputs; specialist bathymetric processing and validation are not assumed.</t>
  </si>
  <si>
    <t xml:space="preserve">pp4–5,9; RFI 09,23</t>
  </si>
  <si>
    <t xml:space="preserve">Capability match</t>
  </si>
  <si>
    <t xml:space="preserve">Assess the stated public evidence, not readiness to perform. A supported capability still needs the pursuit-specific confirmations in the last column.</t>
  </si>
  <si>
    <t xml:space="preserve">Candidate ID</t>
  </si>
  <si>
    <t xml:space="preserve">Need ID</t>
  </si>
  <si>
    <t xml:space="preserve">Status</t>
  </si>
  <si>
    <t xml:space="preserve">Evidence assessment</t>
  </si>
  <si>
    <t xml:space="preserve">What we need to get</t>
  </si>
  <si>
    <t xml:space="preserve">M11</t>
  </si>
  <si>
    <t xml:space="preserve">Pass</t>
  </si>
  <si>
    <t xml:space="preserve">Dewberry reports a green-laser sensor for topographic and bathymetric mapping. Allocation to this legal entity and pursuit is unconfirmed.</t>
  </si>
  <si>
    <t xml:space="preserve">Provide the proposed airborne method, sensor and a relevant project.</t>
  </si>
  <si>
    <t xml:space="preserve">T01</t>
  </si>
  <si>
    <t xml:space="preserve">Company announcement</t>
  </si>
  <si>
    <t xml:space="preserve">M12</t>
  </si>
  <si>
    <t xml:space="preserve">Public award scope includes LiDAR and imagery. This supports relevant work scope, not compliance with every Bitter Lake specification.</t>
  </si>
  <si>
    <t xml:space="preserve">Confirm the specified point density, four-band imagery and proposed equipment.</t>
  </si>
  <si>
    <t xml:space="preserve">W01</t>
  </si>
  <si>
    <t xml:space="preserve">Raw award description</t>
  </si>
  <si>
    <t xml:space="preserve">M13</t>
  </si>
  <si>
    <t xml:space="preserve">Unresolved</t>
  </si>
  <si>
    <t xml:space="preserve">The inspected public records do not establish this capability for the proposed team.</t>
  </si>
  <si>
    <t xml:space="preserve">Identify the field crew, New Mexico license holders and survey deliverables.</t>
  </si>
  <si>
    <t xml:space="preserve">M14</t>
  </si>
  <si>
    <t xml:space="preserve">Provide a deliverable sample, QA approach and the responsible processing team.</t>
  </si>
  <si>
    <t xml:space="preserve">M21</t>
  </si>
  <si>
    <t xml:space="preserve">NOAA records NV5 collection and processing of coastal topobathymetric data in 2019–2020. Current staff and entity continuity need confirmation.</t>
  </si>
  <si>
    <t xml:space="preserve">T02</t>
  </si>
  <si>
    <t xml:space="preserve">Abstract; supplemental information</t>
  </si>
  <si>
    <t xml:space="preserve">M22</t>
  </si>
  <si>
    <t xml:space="preserve">W02</t>
  </si>
  <si>
    <t xml:space="preserve">M23</t>
  </si>
  <si>
    <t xml:space="preserve">M24</t>
  </si>
  <si>
    <t xml:space="preserve">M31</t>
  </si>
  <si>
    <t xml:space="preserve">M32</t>
  </si>
  <si>
    <t xml:space="preserve">W03</t>
  </si>
  <si>
    <t xml:space="preserve">M33</t>
  </si>
  <si>
    <t xml:space="preserve">M34</t>
  </si>
  <si>
    <t xml:space="preserve">M41</t>
  </si>
  <si>
    <t xml:space="preserve">M42</t>
  </si>
  <si>
    <t xml:space="preserve">W04</t>
  </si>
  <si>
    <t xml:space="preserve">M43</t>
  </si>
  <si>
    <t xml:space="preserve">M44</t>
  </si>
  <si>
    <t xml:space="preserve">Relevant work</t>
  </si>
  <si>
    <t xml:space="preserve">Award dates and scheduled completion are distinct from project collection dates. Public awards do not establish quality, completed work or partner availability.</t>
  </si>
  <si>
    <t xml:space="preserve">Award / project</t>
  </si>
  <si>
    <t xml:space="preserve">Customer</t>
  </si>
  <si>
    <t xml:space="preserve">Actual role</t>
  </si>
  <si>
    <t xml:space="preserve">Dates</t>
  </si>
  <si>
    <t xml:space="preserve">Work reference</t>
  </si>
  <si>
    <t xml:space="preserve">Relevance</t>
  </si>
  <si>
    <t xml:space="preserve">Limitations</t>
  </si>
  <si>
    <t xml:space="preserve">Start date</t>
  </si>
  <si>
    <t xml:space="preserve">End date</t>
  </si>
  <si>
    <t xml:space="preserve">R01</t>
  </si>
  <si>
    <t xml:space="preserve">NOAA / National Geodetic Survey</t>
  </si>
  <si>
    <t xml:space="preserve">Named prime awardee</t>
  </si>
  <si>
    <t xml:space="preserve">Awarded LiDAR, imagery and shoreline mapping in Washington.</t>
  </si>
  <si>
    <t xml:space="preserve">Scheduled completion only. No inspected evaluation, accepted deliverables or proof of available staff.</t>
  </si>
  <si>
    <t xml:space="preserve">Award fields; raw description</t>
  </si>
  <si>
    <t xml:space="preserve">R02</t>
  </si>
  <si>
    <t xml:space="preserve">R03</t>
  </si>
  <si>
    <t xml:space="preserve">R04</t>
  </si>
  <si>
    <t xml:space="preserve">Interior / Surface Mining Reclamation and Enforcement</t>
  </si>
  <si>
    <t xml:space="preserve">Awarded LiDAR and aerial imagery services.</t>
  </si>
  <si>
    <t xml:space="preserve">R05</t>
  </si>
  <si>
    <t xml:space="preserve">Named data collector; contract role not established</t>
  </si>
  <si>
    <t xml:space="preserve">NOAA identifies NV5 Geospatial as the collector of coastal topobathymetric data.</t>
  </si>
  <si>
    <t xml:space="preserve">Collection dates, not award dates. Outside the three-year experience window; no current registrant or staff continuity proven.</t>
  </si>
  <si>
    <t xml:space="preserve">Abstract; item identification</t>
  </si>
  <si>
    <t xml:space="preserve">Checks &amp; actions</t>
  </si>
  <si>
    <t xml:space="preserve">TEAM applies to every candidate. Dates are internal planning targets. A Pass needs recorded confirmation; citation of a buyer requirement alone is insufficient.</t>
  </si>
  <si>
    <t xml:space="preserve">Check</t>
  </si>
  <si>
    <t xml:space="preserve">Action</t>
  </si>
  <si>
    <t xml:space="preserve">Due date</t>
  </si>
  <si>
    <t xml:space="preserve">Timing</t>
  </si>
  <si>
    <t xml:space="preserve">Check ID</t>
  </si>
  <si>
    <t xml:space="preserve">Confirmation / evidence</t>
  </si>
  <si>
    <t xml:space="preserve">K1L</t>
  </si>
  <si>
    <t xml:space="preserve">New Mexico licensed personnel</t>
  </si>
  <si>
    <t xml:space="preserve">Yes</t>
  </si>
  <si>
    <t xml:space="preserve">Request named manager/alternate and relevant New Mexico registrations; confirm their role and commitment.</t>
  </si>
  <si>
    <t xml:space="preserve">pp3–4,7; RFI 07,18</t>
  </si>
  <si>
    <t xml:space="preserve">K1A</t>
  </si>
  <si>
    <t xml:space="preserve">Flight window and teaming interest</t>
  </si>
  <si>
    <t xml:space="preserve">Confirm interest, sensor and crew availability for Nov 2026–Feb 2027, and coordination within two weeks of refuge clearing.</t>
  </si>
  <si>
    <t xml:space="preserve">S03</t>
  </si>
  <si>
    <t xml:space="preserve">p2 criteria 6–7; S04 pp6–8</t>
  </si>
  <si>
    <t xml:space="preserve">K1P</t>
  </si>
  <si>
    <t xml:space="preserve">Recent evaluated project</t>
  </si>
  <si>
    <t xml:space="preserve">Obtain at least one recent relevant project for this firm with client, purpose, dates and evaluation. Current awards are insufficient.</t>
  </si>
  <si>
    <t xml:space="preserve">pp5–6; RFI 13–14</t>
  </si>
  <si>
    <t xml:space="preserve">K2L</t>
  </si>
  <si>
    <t xml:space="preserve">K2A</t>
  </si>
  <si>
    <t xml:space="preserve">K2P</t>
  </si>
  <si>
    <t xml:space="preserve">K3L</t>
  </si>
  <si>
    <t xml:space="preserve">K3A</t>
  </si>
  <si>
    <t xml:space="preserve">K3P</t>
  </si>
  <si>
    <t xml:space="preserve">K4L</t>
  </si>
  <si>
    <t xml:space="preserve">K4A</t>
  </si>
  <si>
    <t xml:space="preserve">K4P</t>
  </si>
  <si>
    <t xml:space="preserve">KTP</t>
  </si>
  <si>
    <t xml:space="preserve">TEAM</t>
  </si>
  <si>
    <t xml:space="preserve">Prime eligibility and division of work</t>
  </si>
  <si>
    <t xml:space="preserve">Validate prime small-business eligibility and a compliant prime/sub work split before choosing the team; do not rely on the fictional profile.</t>
  </si>
  <si>
    <t xml:space="preserve">S01</t>
  </si>
  <si>
    <t xml:space="preserve">Set-aside; validate applicable terms in base solicitation</t>
  </si>
  <si>
    <t xml:space="preserve">KTR</t>
  </si>
  <si>
    <t xml:space="preserve">Complete SF330 team and schedule</t>
  </si>
  <si>
    <t xml:space="preserve">Agree tasks, licensed staff and schedule; compile at least three recent evaluated references, including one for each proposed firm. Submit SF330 by Sep 24, 5 PM EDT.</t>
  </si>
  <si>
    <t xml:space="preserve">pp5–7,10; S03 p2 criterion 6</t>
  </si>
  <si>
    <t xml:space="preserve">Sources</t>
  </si>
  <si>
    <t xml:space="preserve">Blue cells are editable inputs; gray cells calculate. Expand grouped columns on other tabs to edit source IDs.</t>
  </si>
  <si>
    <t xml:space="preserve">Source dates describe the document or record update. Retrieval dates show when this research was frozen.</t>
  </si>
  <si>
    <t xml:space="preserve">Title</t>
  </si>
  <si>
    <t xml:space="preserve">Type</t>
  </si>
  <si>
    <t xml:space="preserve">Source date</t>
  </si>
  <si>
    <t xml:space="preserve">Retrieved</t>
  </si>
  <si>
    <t xml:space="preserve">Limitation</t>
  </si>
  <si>
    <t xml:space="preserve">URL</t>
  </si>
  <si>
    <t xml:space="preserve">UEI</t>
  </si>
  <si>
    <t xml:space="preserve">NM BITTER LAKE NWR AERIAL IMAGING</t>
  </si>
  <si>
    <t xml:space="preserve">GovTribe record</t>
  </si>
  <si>
    <t xml:space="preserve">Discovery and identity. Use amendments for due date and conditions; AI summary misstates the site visit.</t>
  </si>
  <si>
    <t xml:space="preserve">https://govtribe.com/opportunity/federal-contract-opportunity/nm-bitter-lake-nwr-aerial-imaging-140fc126r0018</t>
  </si>
  <si>
    <t xml:space="preserve">Bitter Lake performance work statement</t>
  </si>
  <si>
    <t xml:space="preserve">Government document</t>
  </si>
  <si>
    <t xml:space="preserve">PDF pages used. Read with amendment 0003; document issue date not relied on.</t>
  </si>
  <si>
    <t xml:space="preserve">https://govtribe.com/file/government-file/performance-work-statement-bitter-lake-lidar-final-dot-pdf</t>
  </si>
  <si>
    <t xml:space="preserve">SF330 ranking criteria</t>
  </si>
  <si>
    <t xml:space="preserve">Amendment 0003 clarifies references, licensure and schedule. No price proposal requested.</t>
  </si>
  <si>
    <t xml:space="preserve">https://govtribe.com/file/government-file/ranking-criteria-140fc126r0018-dot-pdf</t>
  </si>
  <si>
    <t xml:space="preserve">Amendment 0003 — questions and answers</t>
  </si>
  <si>
    <t xml:space="preserve">Controlling clarifications; p10 confirms Sep 24, 2026 at 5 PM EDT. Header date not used as posting date.</t>
  </si>
  <si>
    <t xml:space="preserve">https://govtribe.com/file/government-file/140fc126r0018-sol-140fc126r0018-amd-0003-dot-pdf</t>
  </si>
  <si>
    <t xml:space="preserve">Dewberry Engineers Inc.</t>
  </si>
  <si>
    <t xml:space="preserve">Exact registrant. Public registration data do not establish interest, available staff or eligibility for this role.</t>
  </si>
  <si>
    <t xml:space="preserve">https://govtribe.com/vendors/dewberry-engineers-inc-dot-4djx0</t>
  </si>
  <si>
    <t xml:space="preserve">K3WDSCEDY1V5</t>
  </si>
  <si>
    <t xml:space="preserve">1305M225D0016-1305M226F0404</t>
  </si>
  <si>
    <t xml:space="preserve">Recent award; scheduled end date. No completed deliverables, evaluation or available staff verified.</t>
  </si>
  <si>
    <t xml:space="preserve">https://govtribe.com/award/federal-contract-award/delivery-order-1305m225d0016-1305m226f0404</t>
  </si>
  <si>
    <t xml:space="preserve">NV5 Geospatial, Inc.</t>
  </si>
  <si>
    <t xml:space="preserve">https://govtribe.com/vendors/quantum-spatial-inc-dot-9r590</t>
  </si>
  <si>
    <t xml:space="preserve">EMJEL3XM6A87</t>
  </si>
  <si>
    <t xml:space="preserve">1305M225D0017-1305M226F0396</t>
  </si>
  <si>
    <t xml:space="preserve">https://govtribe.com/award/federal-contract-award/delivery-order-1305m225d0017-1305m226f0396</t>
  </si>
  <si>
    <t xml:space="preserve">Woolpert, Inc.</t>
  </si>
  <si>
    <t xml:space="preserve">https://govtribe.com/vendors/woolpert-inc-dot-0kr30</t>
  </si>
  <si>
    <t xml:space="preserve">LD8UDJB9JLU1</t>
  </si>
  <si>
    <t xml:space="preserve">1305M225D0018-1305M226F0340</t>
  </si>
  <si>
    <t xml:space="preserve">https://govtribe.com/award/federal-contract-award/delivery-order-1305m225d0018-1305m226f0340</t>
  </si>
  <si>
    <t xml:space="preserve">Surdex Corporation</t>
  </si>
  <si>
    <t xml:space="preserve">https://govtribe.com/vendors/surdex-corporation-8g253</t>
  </si>
  <si>
    <t xml:space="preserve">KHTMVK6LLH11</t>
  </si>
  <si>
    <t xml:space="preserve">47QTCA18D00J5-140S0326F0009</t>
  </si>
  <si>
    <t xml:space="preserve">https://govtribe.com/award/federal-contract-award/delivery-order-47qtca18d00j5-140s0326f0009</t>
  </si>
  <si>
    <t xml:space="preserve">Dewberry: second CZMIL SuperNova sensor</t>
  </si>
  <si>
    <t xml:space="preserve">Company disclosure</t>
  </si>
  <si>
    <t xml:space="preserve">Company disclosure. Confirm legal entity, sensor allocation and crew. No commitment inferred.</t>
  </si>
  <si>
    <t xml:space="preserve">https://www.dewberry.com/insights-news/article/2024/07/23/dewberry-acquires-second-czmil-supernova-sensor</t>
  </si>
  <si>
    <t xml:space="preserve">NOAA: 2019–2020 coastal topobathymetric LiDAR</t>
  </si>
  <si>
    <t xml:space="preserve">Government dataset</t>
  </si>
  <si>
    <t xml:space="preserve">2019–2020 collection; metadata updated 2026. Not a recent reference. Confirm current entity and staff.</t>
  </si>
  <si>
    <t xml:space="preserve">https://www.fisheries.noaa.gov/inport/item/66707</t>
  </si>
  <si>
    <t xml:space="preserve">B01</t>
  </si>
  <si>
    <t xml:space="preserve">Illustrative prime capability profile</t>
  </si>
  <si>
    <t xml:space="preserve">Internal assumption</t>
  </si>
  <si>
    <t xml:space="preserve">Illustrative GovTribe capability assumptions: coordination and GIS integration only. No aircraft, field crew or licensed manager assumed.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</si>
</sst>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m/d/yy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2"/>
      <color rgb="FF29384D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0"/>
      <color rgb="FF34465B"/>
      <name val="Arial"/>
      <family val="0"/>
      <charset val="1"/>
    </font>
    <font>
      <sz val="11"/>
      <color rgb="FF29384D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6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247C8B"/>
      <name val="Arial"/>
      <family val="0"/>
      <charset val="1"/>
    </font>
    <font>
      <sz val="10"/>
      <color rgb="FF63758A"/>
      <name val="Arial"/>
      <family val="0"/>
      <charset val="1"/>
    </font>
    <font>
      <sz val="11"/>
      <color rgb="FF6375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F4FD"/>
        <bgColor rgb="FFF0F2F5"/>
      </patternFill>
    </fill>
    <fill>
      <patternFill patternType="solid">
        <fgColor rgb="FF1B283F"/>
        <bgColor rgb="FF29384D"/>
      </patternFill>
    </fill>
    <fill>
      <patternFill patternType="solid">
        <fgColor rgb="FFF0F2F5"/>
        <bgColor rgb="FFEDF4F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ED"/>
      </bottom>
      <diagonal/>
    </border>
    <border diagonalUp="false" diagonalDown="false">
      <left/>
      <right/>
      <top/>
      <bottom style="hair">
        <color rgb="FFDDE5ED"/>
      </bottom>
      <diagonal/>
    </border>
    <border diagonalUp="false" diagonalDown="false">
      <left/>
      <right/>
      <top style="hair">
        <color rgb="FFDDE5ED"/>
      </top>
      <bottom style="hair">
        <color rgb="FFDDE5ED"/>
      </bottom>
      <diagonal/>
    </border>
    <border diagonalUp="false" diagonalDown="false">
      <left/>
      <right/>
      <top style="hair">
        <color rgb="FFDDE5E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9">
    <dxf>
      <fill>
        <patternFill patternType="solid">
          <fgColor rgb="FF1B283F"/>
          <bgColor rgb="FF000000"/>
        </patternFill>
      </fill>
    </dxf>
    <dxf>
      <fill>
        <patternFill patternType="solid">
          <fgColor rgb="FFEDF4FD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 patternType="solid">
          <fgColor rgb="FFE8F3ED"/>
          <bgColor rgb="FF000000"/>
        </patternFill>
      </fill>
    </dxf>
    <dxf>
      <fill>
        <patternFill patternType="solid">
          <fgColor rgb="FFFFF1D9"/>
          <bgColor rgb="FF000000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32" type="wholeTable"/>
      <tableStyleElement dxfId="33" type="firstColumnStripe"/>
      <tableStyleElement dxfId="34" type="firstRowStripe"/>
      <tableStyleElement dxfId="35" type="lastColumn"/>
      <tableStyleElement dxfId="36" type="firstColumn"/>
      <tableStyleElement dxfId="37" type="headerRow"/>
      <tableStyleElement dxfId="3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0C0C0"/>
      <rgbColor rgb="FF808080"/>
      <rgbColor rgb="FF9999FF"/>
      <rgbColor rgb="FFA53D37"/>
      <rgbColor rgb="FFFFF1D9"/>
      <rgbColor rgb="FFE8F3ED"/>
      <rgbColor rgb="FF660066"/>
      <rgbColor rgb="FFFF8080"/>
      <rgbColor rgb="FF0066CC"/>
      <rgbColor rgb="FFDDE5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F0F2F5"/>
      <rgbColor rgb="FFFC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758A"/>
      <rgbColor rgb="FF969696"/>
      <rgbColor rgb="FF1B283F"/>
      <rgbColor rgb="FF339966"/>
      <rgbColor rgb="FF003300"/>
      <rgbColor rgb="FF333300"/>
      <rgbColor rgb="FF993300"/>
      <rgbColor rgb="FF993366"/>
      <rgbColor rgb="FF34465B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5</xdr:col>
      <xdr:colOff>1714320</xdr:colOff>
      <xdr:row>1</xdr:row>
      <xdr:rowOff>200520</xdr:rowOff>
    </xdr:to>
    <xdr:pic>
      <xdr:nvPicPr>
        <xdr:cNvPr id="1" name="fba6ab34-6715-4e19-b202-a8e3d4ac73ac"/>
        <xdr:cNvPicPr/>
      </xdr:nvPicPr>
      <xdr:blipFill>
        <a:blip r:embed="rId1"/>
        <a:stretch/>
      </xdr:blipFill>
      <xdr:spPr>
        <a:xfrm>
          <a:off x="7439760" y="101520"/>
          <a:ext cx="1714320" cy="20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CandidateData" displayName="CandidateData" ref="A11:L17" headerRowCount="1" totalsRowCount="0" totalsRowShown="0">
  <autoFilter ref="A11:L17"/>
  <tableColumns count="12">
    <tableColumn id="1" name="ID"/>
    <tableColumn id="2" name="Company / UEI"/>
    <tableColumn id="3" name="Proposed role"/>
    <tableColumn id="4" name="Recommendation"/>
    <tableColumn id="5" name="Why"/>
    <tableColumn id="6" name="Main conditions"/>
    <tableColumn id="7" name="Candidate"/>
    <tableColumn id="8" name="Next action"/>
    <tableColumn id="9" name="Required checks"/>
    <tableColumn id="10" name="Source ID"/>
    <tableColumn id="11" name="Main issue"/>
    <tableColumn id="12" name="Input chec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heckData" displayName="CheckData" ref="A7:N23" headerRowCount="1" totalsRowCount="0" totalsRowShown="0">
  <autoFilter ref="A7:N23"/>
  <tableColumns count="14">
    <tableColumn id="1" name="ID"/>
    <tableColumn id="2" name="Candidate ID"/>
    <tableColumn id="3" name="Check"/>
    <tableColumn id="4" name="Required"/>
    <tableColumn id="5" name="Status"/>
    <tableColumn id="6" name="Action"/>
    <tableColumn id="7" name="Due date"/>
    <tableColumn id="8" name="Timing"/>
    <tableColumn id="9" name="Check ID"/>
    <tableColumn id="10" name="Confirmation / evidence"/>
    <tableColumn id="11" name="Citation"/>
    <tableColumn id="12" name="Source ID"/>
    <tableColumn id="13" name="Location"/>
    <tableColumn id="14" name="Input chec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atchData" displayName="MatchData" ref="A7:K27" headerRowCount="1" totalsRowCount="0" totalsRowShown="0">
  <autoFilter ref="A7:K27"/>
  <tableColumns count="11">
    <tableColumn id="1" name="ID"/>
    <tableColumn id="2" name="Candidate ID"/>
    <tableColumn id="3" name="Need ID"/>
    <tableColumn id="4" name="Status"/>
    <tableColumn id="5" name="Evidence assessment"/>
    <tableColumn id="6" name="Citation"/>
    <tableColumn id="7" name="What we need to get"/>
    <tableColumn id="8" name="Input check"/>
    <tableColumn id="9" name="Source ID"/>
    <tableColumn id="10" name="Location"/>
    <tableColumn id="11" name="Priorit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NeedData" displayName="NeedData" ref="A8:I14" headerRowCount="1" totalsRowCount="0" totalsRowShown="0">
  <autoFilter ref="A8:I14"/>
  <tableColumns count="9">
    <tableColumn id="1" name="ID"/>
    <tableColumn id="2" name="Need"/>
    <tableColumn id="3" name="Priority"/>
    <tableColumn id="4" name="Buyer requirement"/>
    <tableColumn id="5" name="Prime gap"/>
    <tableColumn id="6" name="Citation"/>
    <tableColumn id="7" name="Input check"/>
    <tableColumn id="8" name="Source ID"/>
    <tableColumn id="9" name="Loc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SourceData" displayName="SourceData" ref="A7:J25" headerRowCount="1" totalsRowCount="0" totalsRowShown="0">
  <autoFilter ref="A7:J25"/>
  <tableColumns count="10">
    <tableColumn id="1" name="ID"/>
    <tableColumn id="2" name="Title"/>
    <tableColumn id="3" name="Type"/>
    <tableColumn id="4" name="Source date"/>
    <tableColumn id="5" name="Retrieved"/>
    <tableColumn id="6" name="Limitation"/>
    <tableColumn id="7" name="URL"/>
    <tableColumn id="8" name="UEI"/>
    <tableColumn id="9" name="Source ID"/>
    <tableColumn id="10" name="Input check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WorkData" displayName="WorkData" ref="A7:O13" headerRowCount="1" totalsRowCount="0" totalsRowShown="0">
  <autoFilter ref="A7:O13"/>
  <tableColumns count="15">
    <tableColumn id="1" name="ID"/>
    <tableColumn id="2" name="Candidate"/>
    <tableColumn id="3" name="Award / project"/>
    <tableColumn id="4" name="Customer"/>
    <tableColumn id="5" name="Actual role"/>
    <tableColumn id="6" name="Dates"/>
    <tableColumn id="7" name="Work reference"/>
    <tableColumn id="8" name="Need ID"/>
    <tableColumn id="9" name="Relevance"/>
    <tableColumn id="10" name="Limitations"/>
    <tableColumn id="11" name="Source ID"/>
    <tableColumn id="12" name="Location"/>
    <tableColumn id="13" name="Start date"/>
    <tableColumn id="14" name="End date"/>
    <tableColumn id="15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L1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10"/>
    <col customWidth="true" max="2" min="2" style="0" width="26.67"/>
    <col customWidth="true" max="3" min="3" style="0" width="20.56"/>
    <col customWidth="true" max="4" min="4" style="0" width="22.22"/>
    <col customWidth="true" max="5" min="5" style="0" width="26.11"/>
    <col customWidth="true" max="6" min="6" style="0" width="30"/>
    <col customWidth="true" max="7" min="7" style="0" width="28.89"/>
    <col customWidth="true" max="8" min="8" style="0" width="34.44"/>
    <col customWidth="true" max="9" min="9" style="0" width="22.22"/>
    <col customWidth="true" max="10" min="10" style="0" width="13.89"/>
    <col customWidth="true" max="11" min="11" style="0" width="30"/>
    <col customWidth="true" max="12" min="12" style="0" width="20.56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" hidden="false" customHeight="true" outlineLevel="0" collapsed="false">
      <c r="A2" s="2" t="s">
        <v>0</v>
      </c>
      <c r="B2" s="2"/>
      <c r="C2" s="2"/>
      <c r="D2" s="2"/>
      <c r="E2" s="2"/>
      <c r="F2" s="1"/>
      <c r="G2" s="1"/>
      <c r="H2" s="1"/>
      <c r="I2" s="1"/>
      <c r="J2" s="1"/>
      <c r="K2" s="1"/>
      <c r="L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</row>
    <row r="4" customFormat="false" ht="20" hidden="false" customHeight="true" outlineLevel="0" collapsed="false">
      <c r="A4" s="1" t="s">
        <v>1</v>
      </c>
      <c r="B4" s="4" t="s">
        <v>2</v>
      </c>
      <c r="C4" s="4"/>
      <c r="D4" s="4"/>
      <c r="E4" s="1" t="s">
        <v>3</v>
      </c>
      <c r="F4" s="5" t="n">
        <v>46280</v>
      </c>
      <c r="G4" s="1"/>
      <c r="H4" s="1"/>
      <c r="I4" s="1"/>
      <c r="J4" s="1"/>
      <c r="K4" s="1"/>
      <c r="L4" s="1"/>
    </row>
    <row r="5" customFormat="false" ht="20" hidden="false" customHeight="true" outlineLevel="0" collapsed="false">
      <c r="A5" s="1" t="s">
        <v>4</v>
      </c>
      <c r="B5" s="6" t="s">
        <v>5</v>
      </c>
      <c r="C5" s="6"/>
      <c r="D5" s="6"/>
      <c r="E5" s="6"/>
      <c r="F5" s="6"/>
      <c r="G5" s="1"/>
      <c r="H5" s="1"/>
      <c r="I5" s="1"/>
      <c r="J5" s="1"/>
      <c r="K5" s="1"/>
      <c r="L5" s="1"/>
    </row>
    <row r="6" customFormat="false" ht="20" hidden="false" customHeight="true" outlineLevel="0" collapsed="false">
      <c r="A6" s="1" t="s">
        <v>6</v>
      </c>
      <c r="B6" s="7" t="s">
        <v>7</v>
      </c>
      <c r="C6" s="7"/>
      <c r="D6" s="1" t="s">
        <v>8</v>
      </c>
      <c r="E6" s="4" t="s">
        <v>9</v>
      </c>
      <c r="F6" s="4"/>
      <c r="G6" s="1"/>
      <c r="H6" s="1"/>
      <c r="I6" s="1"/>
      <c r="J6" s="1"/>
      <c r="K6" s="1"/>
      <c r="L6" s="1"/>
    </row>
    <row r="7" customFormat="false" ht="20" hidden="false" customHeight="true" outlineLevel="0" collapsed="false">
      <c r="A7" s="1" t="s">
        <v>10</v>
      </c>
      <c r="B7" s="8" t="n">
        <v>46289</v>
      </c>
      <c r="C7" s="9" t="s">
        <v>11</v>
      </c>
      <c r="D7" s="9"/>
      <c r="E7" s="1" t="s">
        <v>12</v>
      </c>
      <c r="F7" s="4" t="s">
        <v>13</v>
      </c>
      <c r="G7" s="1"/>
      <c r="H7" s="1"/>
      <c r="I7" s="1"/>
      <c r="J7" s="1"/>
      <c r="K7" s="1"/>
      <c r="L7" s="1"/>
    </row>
    <row r="8" customFormat="false" ht="25" hidden="false" customHeight="true" outlineLevel="0" collapsed="false">
      <c r="A8" s="10" t="s">
        <v>14</v>
      </c>
      <c r="B8" s="10"/>
      <c r="C8" s="10"/>
      <c r="D8" s="10"/>
      <c r="E8" s="10"/>
      <c r="F8" s="10"/>
      <c r="G8" s="1"/>
      <c r="H8" s="1"/>
      <c r="I8" s="1"/>
      <c r="J8" s="1"/>
      <c r="K8" s="1"/>
      <c r="L8" s="1"/>
    </row>
    <row r="9" customFormat="false" ht="20" hidden="false" customHeight="true" outlineLevel="0" collapsed="false">
      <c r="A9" s="11" t="str">
        <f aca="false">IF(COUNTA(CandidateData[ID])=0,"Add pursuit and candidate inputs to begin.",IF(OR(B4="",B5="",B6="",F4=""),"Complete the pursuit identity above.",COUNTIF(CandidateData[Recommendation],"Shortlist")&amp;" shortlist · "&amp;COUNTIF(CandidateData[Recommendation],"Research further")&amp;" research further · "&amp;COUNTIF(CandidateData[Recommendation],"Exclude")&amp;" exclude"&amp;IF(SUMPRODUCT(--(CandidateData[Input check]&lt;&gt;""))+SUMPRODUCT(--(NeedData[Input check]&lt;&gt;""))+SUMPRODUCT(--(MatchData[Input check]&lt;&gt;""))+SUMPRODUCT(--(WorkData[Input check]&lt;&gt;""))+SUMPRODUCT(--(CheckData[Input check]&lt;&gt;""))+SUMPRODUCT(--(SourceData[Input check]&lt;&gt;""))&gt;0," · Check inputs","")))</f>
        <v>2 shortlist · 2 research further · 0 exclude</v>
      </c>
      <c r="B9" s="11"/>
      <c r="C9" s="11"/>
      <c r="D9" s="11"/>
      <c r="E9" s="11"/>
      <c r="F9" s="11"/>
      <c r="G9" s="1"/>
      <c r="H9" s="1"/>
      <c r="I9" s="1"/>
      <c r="J9" s="1"/>
      <c r="K9" s="1"/>
      <c r="L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2" t="s">
        <v>15</v>
      </c>
      <c r="H10" s="12"/>
      <c r="I10" s="12"/>
      <c r="J10" s="12"/>
      <c r="K10" s="12"/>
      <c r="L10" s="12"/>
    </row>
    <row r="11" customFormat="false" ht="30" hidden="false" customHeight="true" outlineLevel="0" collapsed="false">
      <c r="A11" s="13" t="s">
        <v>16</v>
      </c>
      <c r="B11" s="13" t="s">
        <v>17</v>
      </c>
      <c r="C11" s="13" t="s">
        <v>18</v>
      </c>
      <c r="D11" s="13" t="s">
        <v>19</v>
      </c>
      <c r="E11" s="13" t="s">
        <v>20</v>
      </c>
      <c r="F11" s="13" t="s">
        <v>21</v>
      </c>
      <c r="G11" s="13" t="s">
        <v>22</v>
      </c>
      <c r="H11" s="13" t="s">
        <v>23</v>
      </c>
      <c r="I11" s="13" t="s">
        <v>24</v>
      </c>
      <c r="J11" s="13" t="s">
        <v>25</v>
      </c>
      <c r="K11" s="13" t="s">
        <v>26</v>
      </c>
      <c r="L11" s="13" t="s">
        <v>27</v>
      </c>
    </row>
    <row r="12" customFormat="false" ht="64" hidden="false" customHeight="true" outlineLevel="0" collapsed="false">
      <c r="A12" s="14" t="s">
        <v>28</v>
      </c>
      <c r="B12" s="15" t="str">
        <f aca="false">IF(A12="","",IF(IF(J12="","Add source ID",IF(NOT(SUMPRODUCT(--(SourceData[ID]=J12))=1),"Unknown or duplicate source",IF(INDEX(SourceData[Input check],MATCH(J12,SourceData[ID],0))&lt;&gt;"","Complete source record","")))&lt;&gt;"","Check vendor source",HYPERLINK(INDEX(SourceData[URL],MATCH(J12,SourceData[ID],0)),INDEX(SourceData[Title],MATCH(J12,SourceData[ID],0))&amp;IF(INDEX(SourceData[UEI],MATCH(J12,SourceData[ID],0))="","",CHAR(10)&amp;"UEI "&amp;INDEX(SourceData[UEI],MATCH(J12,SourceData[ID],0))))))</f>
        <v>Dewberry Engineers Inc.
UEI K3WDSCEDY1V5</v>
      </c>
      <c r="C12" s="14" t="s">
        <v>29</v>
      </c>
      <c r="D12" s="14" t="s">
        <v>30</v>
      </c>
      <c r="E12" s="14" t="s">
        <v>31</v>
      </c>
      <c r="F12" s="16" t="str">
        <f aca="false">IF(A12="","",K12&amp;CHAR(10)&amp;I12&amp;IF(L12&lt;&gt;"",CHAR(10)&amp;"Check inputs; counts may be incomplete",""))</f>
        <v>Aircraft slot and licensed team are unconfirmed.
0 failed; 7 unresolved</v>
      </c>
      <c r="G12" s="16" t="str">
        <f aca="false">IF(A12="","",A12&amp;CHAR(10)&amp;B12)</f>
        <v>C01
Dewberry Engineers Inc.
UEI K3WDSCEDY1V5</v>
      </c>
      <c r="H12" s="14" t="s">
        <v>32</v>
      </c>
      <c r="I12" s="16" t="str">
        <f aca="false">IF(A12="","",IF(SUMPRODUCT(--(MatchData[Candidate ID]=A12))+SUMPRODUCT(--((CheckData[Candidate ID]=A12)+(CheckData[Candidate ID]="TEAM")&gt;0))=0,"No assessments recorded",(SUMPRODUCT(--((CheckData[Candidate ID]=A12)+(CheckData[Candidate ID]="TEAM")&gt;0),--(CheckData[Required]="Yes"),--(CheckData[Status]="Fail"))+SUMPRODUCT(--(MatchData[Candidate ID]=A12),--(MatchData[Priority]="Required"),--(MatchData[Status]="Fail")))&amp;" failed; "&amp;(SUMPRODUCT(--((CheckData[Candidate ID]=A12)+(CheckData[Candidate ID]="TEAM")&gt;0),--(CheckData[Required]="Yes"),--(CheckData[Status]="Unresolved"))+SUMPRODUCT(--(MatchData[Candidate ID]=A12),--(MatchData[Priority]="Required"),--(MatchData[Status]="Unresolved")))&amp;" unresolved"&amp;IF(COUNTIF(NeedData[Priority],"Required")&gt;SUMPRODUCT(--(MatchData[Candidate ID]=A12),--(MatchData[Priority]="Required")),"; needs not assessed","")))</f>
        <v>0 failed; 7 unresolved</v>
      </c>
      <c r="J12" s="14" t="s">
        <v>33</v>
      </c>
      <c r="K12" s="14" t="s">
        <v>34</v>
      </c>
      <c r="L12" s="16" t="str">
        <f aca="false">IF(NOT(OR(A12&lt;&gt;"",C12&lt;&gt;"",D12&lt;&gt;"",E12&lt;&gt;"",H12&lt;&gt;"",J12&lt;&gt;"",K12&lt;&gt;"")),"",IF(A12="","Add ID",IF(NOT(SUMPRODUCT(--(CandidateData[ID]=A12))=1),"Duplicate ID",IF(IF(J12="","Add source ID",IF(NOT(SUMPRODUCT(--(SourceData[ID]=J12))=1),"Unknown or duplicate source",IF(INDEX(SourceData[Input check],MATCH(J12,SourceData[ID],0))&lt;&gt;"","Complete source record","")))&lt;&gt;"",IF(J12="","Add source ID",IF(NOT(SUMPRODUCT(--(SourceData[ID]=J12))=1),"Unknown or duplicate source",IF(INDEX(SourceData[Input check],MATCH(J12,SourceData[ID],0))&lt;&gt;"","Complete source record",""))),IF(INDEX(SourceData[UEI],MATCH(J12,SourceData[ID],0))="","Add vendor UEI",IF(OR(SUMPRODUCT(--(CandidateData[Source ID]=J12))&lt;&gt;1,SUMPRODUCT(--(CandidateData[ID]&lt;&gt;""),--(RIGHT(CandidateData[Company / UEI],12)=INDEX(SourceData[UEI],MATCH(J12,SourceData[ID],0))))&gt;1),"Duplicate vendor",IF(OR(C12="",E12="",H12="",K12=""),"Add role, reason, issue and action",IF(NOT(OR(D12="Shortlist",D12="Research further",D12="Exclude")),"Choose recommendation",IF(SUMPRODUCT(--(MatchData[Candidate ID]=A12),--(MatchData[Input check]&lt;&gt;""))+SUMPRODUCT(--((CheckData[Candidate ID]=A12)+(CheckData[Candidate ID]="TEAM")&gt;0),--(CheckData[Input check]&lt;&gt;""))&gt;0,"Complete assessments","")))))))))</f>
        <v/>
      </c>
    </row>
    <row r="13" customFormat="false" ht="64" hidden="false" customHeight="true" outlineLevel="0" collapsed="false">
      <c r="A13" s="14" t="s">
        <v>35</v>
      </c>
      <c r="B13" s="15" t="str">
        <f aca="false">IF(A13="","",IF(IF(J13="","Add source ID",IF(NOT(SUMPRODUCT(--(SourceData[ID]=J13))=1),"Unknown or duplicate source",IF(INDEX(SourceData[Input check],MATCH(J13,SourceData[ID],0))&lt;&gt;"","Complete source record","")))&lt;&gt;"","Check vendor source",HYPERLINK(INDEX(SourceData[URL],MATCH(J13,SourceData[ID],0)),INDEX(SourceData[Title],MATCH(J13,SourceData[ID],0))&amp;IF(INDEX(SourceData[UEI],MATCH(J13,SourceData[ID],0))="","",CHAR(10)&amp;"UEI "&amp;INDEX(SourceData[UEI],MATCH(J13,SourceData[ID],0))))))</f>
        <v>NV5 Geospatial, Inc.
UEI EMJEL3XM6A87</v>
      </c>
      <c r="C13" s="14" t="s">
        <v>36</v>
      </c>
      <c r="D13" s="14" t="s">
        <v>30</v>
      </c>
      <c r="E13" s="14" t="s">
        <v>37</v>
      </c>
      <c r="F13" s="16" t="str">
        <f aca="false">IF(A13="","",K13&amp;CHAR(10)&amp;I13&amp;IF(L13&lt;&gt;"",CHAR(10)&amp;"Check inputs; counts may be incomplete",""))</f>
        <v>Recent evaluated project and proposed team are unconfirmed.
0 failed; 6 unresolved</v>
      </c>
      <c r="G13" s="16" t="str">
        <f aca="false">IF(A13="","",A13&amp;CHAR(10)&amp;B13)</f>
        <v>C02
NV5 Geospatial, Inc.
UEI EMJEL3XM6A87</v>
      </c>
      <c r="H13" s="14" t="s">
        <v>38</v>
      </c>
      <c r="I13" s="16" t="str">
        <f aca="false">IF(A13="","",IF(SUMPRODUCT(--(MatchData[Candidate ID]=A13))+SUMPRODUCT(--((CheckData[Candidate ID]=A13)+(CheckData[Candidate ID]="TEAM")&gt;0))=0,"No assessments recorded",(SUMPRODUCT(--((CheckData[Candidate ID]=A13)+(CheckData[Candidate ID]="TEAM")&gt;0),--(CheckData[Required]="Yes"),--(CheckData[Status]="Fail"))+SUMPRODUCT(--(MatchData[Candidate ID]=A13),--(MatchData[Priority]="Required"),--(MatchData[Status]="Fail")))&amp;" failed; "&amp;(SUMPRODUCT(--((CheckData[Candidate ID]=A13)+(CheckData[Candidate ID]="TEAM")&gt;0),--(CheckData[Required]="Yes"),--(CheckData[Status]="Unresolved"))+SUMPRODUCT(--(MatchData[Candidate ID]=A13),--(MatchData[Priority]="Required"),--(MatchData[Status]="Unresolved")))&amp;" unresolved"&amp;IF(COUNTIF(NeedData[Priority],"Required")&gt;SUMPRODUCT(--(MatchData[Candidate ID]=A13),--(MatchData[Priority]="Required")),"; needs not assessed","")))</f>
        <v>0 failed; 6 unresolved</v>
      </c>
      <c r="J13" s="14" t="s">
        <v>39</v>
      </c>
      <c r="K13" s="14" t="s">
        <v>40</v>
      </c>
      <c r="L13" s="16" t="str">
        <f aca="false">IF(NOT(OR(A13&lt;&gt;"",C13&lt;&gt;"",D13&lt;&gt;"",E13&lt;&gt;"",H13&lt;&gt;"",J13&lt;&gt;"",K13&lt;&gt;"")),"",IF(A13="","Add ID",IF(NOT(SUMPRODUCT(--(CandidateData[ID]=A13))=1),"Duplicate ID",IF(IF(J13="","Add source ID",IF(NOT(SUMPRODUCT(--(SourceData[ID]=J13))=1),"Unknown or duplicate source",IF(INDEX(SourceData[Input check],MATCH(J13,SourceData[ID],0))&lt;&gt;"","Complete source record","")))&lt;&gt;"",IF(J13="","Add source ID",IF(NOT(SUMPRODUCT(--(SourceData[ID]=J13))=1),"Unknown or duplicate source",IF(INDEX(SourceData[Input check],MATCH(J13,SourceData[ID],0))&lt;&gt;"","Complete source record",""))),IF(INDEX(SourceData[UEI],MATCH(J13,SourceData[ID],0))="","Add vendor UEI",IF(OR(SUMPRODUCT(--(CandidateData[Source ID]=J13))&lt;&gt;1,SUMPRODUCT(--(CandidateData[ID]&lt;&gt;""),--(RIGHT(CandidateData[Company / UEI],12)=INDEX(SourceData[UEI],MATCH(J13,SourceData[ID],0))))&gt;1),"Duplicate vendor",IF(OR(C13="",E13="",H13="",K13=""),"Add role, reason, issue and action",IF(NOT(OR(D13="Shortlist",D13="Research further",D13="Exclude")),"Choose recommendation",IF(SUMPRODUCT(--(MatchData[Candidate ID]=A13),--(MatchData[Input check]&lt;&gt;""))+SUMPRODUCT(--((CheckData[Candidate ID]=A13)+(CheckData[Candidate ID]="TEAM")&gt;0),--(CheckData[Input check]&lt;&gt;""))&gt;0,"Complete assessments","")))))))))</f>
        <v/>
      </c>
    </row>
    <row r="14" customFormat="false" ht="64" hidden="false" customHeight="true" outlineLevel="0" collapsed="false">
      <c r="A14" s="14" t="s">
        <v>41</v>
      </c>
      <c r="B14" s="15" t="str">
        <f aca="false">IF(A14="","",IF(IF(J14="","Add source ID",IF(NOT(SUMPRODUCT(--(SourceData[ID]=J14))=1),"Unknown or duplicate source",IF(INDEX(SourceData[Input check],MATCH(J14,SourceData[ID],0))&lt;&gt;"","Complete source record","")))&lt;&gt;"","Check vendor source",HYPERLINK(INDEX(SourceData[URL],MATCH(J14,SourceData[ID],0)),INDEX(SourceData[Title],MATCH(J14,SourceData[ID],0))&amp;IF(INDEX(SourceData[UEI],MATCH(J14,SourceData[ID],0))="","",CHAR(10)&amp;"UEI "&amp;INDEX(SourceData[UEI],MATCH(J14,SourceData[ID],0))))))</f>
        <v>Woolpert, Inc.
UEI LD8UDJB9JLU1</v>
      </c>
      <c r="C14" s="14" t="s">
        <v>42</v>
      </c>
      <c r="D14" s="14" t="s">
        <v>43</v>
      </c>
      <c r="E14" s="14" t="s">
        <v>44</v>
      </c>
      <c r="F14" s="16" t="str">
        <f aca="false">IF(A14="","",K14&amp;CHAR(10)&amp;I14&amp;IF(L14&lt;&gt;"",CHAR(10)&amp;"Check inputs; counts may be incomplete",""))</f>
        <v>Airborne bathymetric method and staff are unconfirmed.
0 failed; 8 unresolved</v>
      </c>
      <c r="G14" s="16" t="str">
        <f aca="false">IF(A14="","",A14&amp;CHAR(10)&amp;B14)</f>
        <v>C03
Woolpert, Inc.
UEI LD8UDJB9JLU1</v>
      </c>
      <c r="H14" s="14" t="s">
        <v>45</v>
      </c>
      <c r="I14" s="16" t="str">
        <f aca="false">IF(A14="","",IF(SUMPRODUCT(--(MatchData[Candidate ID]=A14))+SUMPRODUCT(--((CheckData[Candidate ID]=A14)+(CheckData[Candidate ID]="TEAM")&gt;0))=0,"No assessments recorded",(SUMPRODUCT(--((CheckData[Candidate ID]=A14)+(CheckData[Candidate ID]="TEAM")&gt;0),--(CheckData[Required]="Yes"),--(CheckData[Status]="Fail"))+SUMPRODUCT(--(MatchData[Candidate ID]=A14),--(MatchData[Priority]="Required"),--(MatchData[Status]="Fail")))&amp;" failed; "&amp;(SUMPRODUCT(--((CheckData[Candidate ID]=A14)+(CheckData[Candidate ID]="TEAM")&gt;0),--(CheckData[Required]="Yes"),--(CheckData[Status]="Unresolved"))+SUMPRODUCT(--(MatchData[Candidate ID]=A14),--(MatchData[Priority]="Required"),--(MatchData[Status]="Unresolved")))&amp;" unresolved"&amp;IF(COUNTIF(NeedData[Priority],"Required")&gt;SUMPRODUCT(--(MatchData[Candidate ID]=A14),--(MatchData[Priority]="Required")),"; needs not assessed","")))</f>
        <v>0 failed; 8 unresolved</v>
      </c>
      <c r="J14" s="14" t="s">
        <v>46</v>
      </c>
      <c r="K14" s="14" t="s">
        <v>47</v>
      </c>
      <c r="L14" s="16" t="str">
        <f aca="false">IF(NOT(OR(A14&lt;&gt;"",C14&lt;&gt;"",D14&lt;&gt;"",E14&lt;&gt;"",H14&lt;&gt;"",J14&lt;&gt;"",K14&lt;&gt;"")),"",IF(A14="","Add ID",IF(NOT(SUMPRODUCT(--(CandidateData[ID]=A14))=1),"Duplicate ID",IF(IF(J14="","Add source ID",IF(NOT(SUMPRODUCT(--(SourceData[ID]=J14))=1),"Unknown or duplicate source",IF(INDEX(SourceData[Input check],MATCH(J14,SourceData[ID],0))&lt;&gt;"","Complete source record","")))&lt;&gt;"",IF(J14="","Add source ID",IF(NOT(SUMPRODUCT(--(SourceData[ID]=J14))=1),"Unknown or duplicate source",IF(INDEX(SourceData[Input check],MATCH(J14,SourceData[ID],0))&lt;&gt;"","Complete source record",""))),IF(INDEX(SourceData[UEI],MATCH(J14,SourceData[ID],0))="","Add vendor UEI",IF(OR(SUMPRODUCT(--(CandidateData[Source ID]=J14))&lt;&gt;1,SUMPRODUCT(--(CandidateData[ID]&lt;&gt;""),--(RIGHT(CandidateData[Company / UEI],12)=INDEX(SourceData[UEI],MATCH(J14,SourceData[ID],0))))&gt;1),"Duplicate vendor",IF(OR(C14="",E14="",H14="",K14=""),"Add role, reason, issue and action",IF(NOT(OR(D14="Shortlist",D14="Research further",D14="Exclude")),"Choose recommendation",IF(SUMPRODUCT(--(MatchData[Candidate ID]=A14),--(MatchData[Input check]&lt;&gt;""))+SUMPRODUCT(--((CheckData[Candidate ID]=A14)+(CheckData[Candidate ID]="TEAM")&gt;0),--(CheckData[Input check]&lt;&gt;""))&gt;0,"Complete assessments","")))))))))</f>
        <v/>
      </c>
    </row>
    <row r="15" customFormat="false" ht="64" hidden="false" customHeight="true" outlineLevel="0" collapsed="false">
      <c r="A15" s="14" t="s">
        <v>48</v>
      </c>
      <c r="B15" s="15" t="str">
        <f aca="false">IF(A15="","",IF(IF(J15="","Add source ID",IF(NOT(SUMPRODUCT(--(SourceData[ID]=J15))=1),"Unknown or duplicate source",IF(INDEX(SourceData[Input check],MATCH(J15,SourceData[ID],0))&lt;&gt;"","Complete source record","")))&lt;&gt;"","Check vendor source",HYPERLINK(INDEX(SourceData[URL],MATCH(J15,SourceData[ID],0)),INDEX(SourceData[Title],MATCH(J15,SourceData[ID],0))&amp;IF(INDEX(SourceData[UEI],MATCH(J15,SourceData[ID],0))="","",CHAR(10)&amp;"UEI "&amp;INDEX(SourceData[UEI],MATCH(J15,SourceData[ID],0))))))</f>
        <v>Surdex Corporation
UEI KHTMVK6LLH11</v>
      </c>
      <c r="C15" s="14" t="s">
        <v>49</v>
      </c>
      <c r="D15" s="14" t="s">
        <v>43</v>
      </c>
      <c r="E15" s="14" t="s">
        <v>50</v>
      </c>
      <c r="F15" s="16" t="str">
        <f aca="false">IF(A15="","",K15&amp;CHAR(10)&amp;I15&amp;IF(L15&lt;&gt;"",CHAR(10)&amp;"Check inputs; counts may be incomplete",""))</f>
        <v>Bathymetric capability and workshare are unconfirmed.
0 failed; 8 unresolved</v>
      </c>
      <c r="G15" s="16" t="str">
        <f aca="false">IF(A15="","",A15&amp;CHAR(10)&amp;B15)</f>
        <v>C04
Surdex Corporation
UEI KHTMVK6LLH11</v>
      </c>
      <c r="H15" s="14" t="s">
        <v>51</v>
      </c>
      <c r="I15" s="16" t="str">
        <f aca="false">IF(A15="","",IF(SUMPRODUCT(--(MatchData[Candidate ID]=A15))+SUMPRODUCT(--((CheckData[Candidate ID]=A15)+(CheckData[Candidate ID]="TEAM")&gt;0))=0,"No assessments recorded",(SUMPRODUCT(--((CheckData[Candidate ID]=A15)+(CheckData[Candidate ID]="TEAM")&gt;0),--(CheckData[Required]="Yes"),--(CheckData[Status]="Fail"))+SUMPRODUCT(--(MatchData[Candidate ID]=A15),--(MatchData[Priority]="Required"),--(MatchData[Status]="Fail")))&amp;" failed; "&amp;(SUMPRODUCT(--((CheckData[Candidate ID]=A15)+(CheckData[Candidate ID]="TEAM")&gt;0),--(CheckData[Required]="Yes"),--(CheckData[Status]="Unresolved"))+SUMPRODUCT(--(MatchData[Candidate ID]=A15),--(MatchData[Priority]="Required"),--(MatchData[Status]="Unresolved")))&amp;" unresolved"&amp;IF(COUNTIF(NeedData[Priority],"Required")&gt;SUMPRODUCT(--(MatchData[Candidate ID]=A15),--(MatchData[Priority]="Required")),"; needs not assessed","")))</f>
        <v>0 failed; 8 unresolved</v>
      </c>
      <c r="J15" s="14" t="s">
        <v>52</v>
      </c>
      <c r="K15" s="14" t="s">
        <v>53</v>
      </c>
      <c r="L15" s="16" t="str">
        <f aca="false">IF(NOT(OR(A15&lt;&gt;"",C15&lt;&gt;"",D15&lt;&gt;"",E15&lt;&gt;"",H15&lt;&gt;"",J15&lt;&gt;"",K15&lt;&gt;"")),"",IF(A15="","Add ID",IF(NOT(SUMPRODUCT(--(CandidateData[ID]=A15))=1),"Duplicate ID",IF(IF(J15="","Add source ID",IF(NOT(SUMPRODUCT(--(SourceData[ID]=J15))=1),"Unknown or duplicate source",IF(INDEX(SourceData[Input check],MATCH(J15,SourceData[ID],0))&lt;&gt;"","Complete source record","")))&lt;&gt;"",IF(J15="","Add source ID",IF(NOT(SUMPRODUCT(--(SourceData[ID]=J15))=1),"Unknown or duplicate source",IF(INDEX(SourceData[Input check],MATCH(J15,SourceData[ID],0))&lt;&gt;"","Complete source record",""))),IF(INDEX(SourceData[UEI],MATCH(J15,SourceData[ID],0))="","Add vendor UEI",IF(OR(SUMPRODUCT(--(CandidateData[Source ID]=J15))&lt;&gt;1,SUMPRODUCT(--(CandidateData[ID]&lt;&gt;""),--(RIGHT(CandidateData[Company / UEI],12)=INDEX(SourceData[UEI],MATCH(J15,SourceData[ID],0))))&gt;1),"Duplicate vendor",IF(OR(C15="",E15="",H15="",K15=""),"Add role, reason, issue and action",IF(NOT(OR(D15="Shortlist",D15="Research further",D15="Exclude")),"Choose recommendation",IF(SUMPRODUCT(--(MatchData[Candidate ID]=A15),--(MatchData[Input check]&lt;&gt;""))+SUMPRODUCT(--((CheckData[Candidate ID]=A15)+(CheckData[Candidate ID]="TEAM")&gt;0),--(CheckData[Input check]&lt;&gt;""))&gt;0,"Complete assessments","")))))))))</f>
        <v/>
      </c>
    </row>
    <row r="16" customFormat="false" ht="26" hidden="false" customHeight="true" outlineLevel="0" collapsed="false">
      <c r="A16" s="14"/>
      <c r="B16" s="15" t="str">
        <f aca="false">IF(A16="","",IF(IF(J16="","Add source ID",IF(NOT(SUMPRODUCT(--(SourceData[ID]=J16))=1),"Unknown or duplicate source",IF(INDEX(SourceData[Input check],MATCH(J16,SourceData[ID],0))&lt;&gt;"","Complete source record","")))&lt;&gt;"","Check vendor source",HYPERLINK(INDEX(SourceData[URL],MATCH(J16,SourceData[ID],0)),INDEX(SourceData[Title],MATCH(J16,SourceData[ID],0))&amp;IF(INDEX(SourceData[UEI],MATCH(J16,SourceData[ID],0))="","",CHAR(10)&amp;"UEI "&amp;INDEX(SourceData[UEI],MATCH(J16,SourceData[ID],0))))))</f>
        <v/>
      </c>
      <c r="C16" s="14"/>
      <c r="D16" s="14"/>
      <c r="E16" s="14"/>
      <c r="F16" s="16" t="str">
        <f aca="false">IF(A16="","",K16&amp;CHAR(10)&amp;I16&amp;IF(L16&lt;&gt;"",CHAR(10)&amp;"Check inputs; counts may be incomplete",""))</f>
        <v/>
      </c>
      <c r="G16" s="16" t="str">
        <f aca="false">IF(A16="","",A16&amp;CHAR(10)&amp;B16)</f>
        <v/>
      </c>
      <c r="H16" s="14"/>
      <c r="I16" s="16" t="str">
        <f aca="false">IF(A16="","",IF(SUMPRODUCT(--(MatchData[Candidate ID]=A16))+SUMPRODUCT(--((CheckData[Candidate ID]=A16)+(CheckData[Candidate ID]="TEAM")&gt;0))=0,"No assessments recorded",(SUMPRODUCT(--((CheckData[Candidate ID]=A16)+(CheckData[Candidate ID]="TEAM")&gt;0),--(CheckData[Required]="Yes"),--(CheckData[Status]="Fail"))+SUMPRODUCT(--(MatchData[Candidate ID]=A16),--(MatchData[Priority]="Required"),--(MatchData[Status]="Fail")))&amp;" failed; "&amp;(SUMPRODUCT(--((CheckData[Candidate ID]=A16)+(CheckData[Candidate ID]="TEAM")&gt;0),--(CheckData[Required]="Yes"),--(CheckData[Status]="Unresolved"))+SUMPRODUCT(--(MatchData[Candidate ID]=A16),--(MatchData[Priority]="Required"),--(MatchData[Status]="Unresolved")))&amp;" unresolved"&amp;IF(COUNTIF(NeedData[Priority],"Required")&gt;SUMPRODUCT(--(MatchData[Candidate ID]=A16),--(MatchData[Priority]="Required")),"; needs not assessed","")))</f>
        <v/>
      </c>
      <c r="J16" s="14"/>
      <c r="K16" s="14"/>
      <c r="L16" s="16" t="str">
        <f aca="false">IF(NOT(OR(A16&lt;&gt;"",C16&lt;&gt;"",D16&lt;&gt;"",E16&lt;&gt;"",H16&lt;&gt;"",J16&lt;&gt;"",K16&lt;&gt;"")),"",IF(A16="","Add ID",IF(NOT(SUMPRODUCT(--(CandidateData[ID]=A16))=1),"Duplicate ID",IF(IF(J16="","Add source ID",IF(NOT(SUMPRODUCT(--(SourceData[ID]=J16))=1),"Unknown or duplicate source",IF(INDEX(SourceData[Input check],MATCH(J16,SourceData[ID],0))&lt;&gt;"","Complete source record","")))&lt;&gt;"",IF(J16="","Add source ID",IF(NOT(SUMPRODUCT(--(SourceData[ID]=J16))=1),"Unknown or duplicate source",IF(INDEX(SourceData[Input check],MATCH(J16,SourceData[ID],0))&lt;&gt;"","Complete source record",""))),IF(INDEX(SourceData[UEI],MATCH(J16,SourceData[ID],0))="","Add vendor UEI",IF(OR(SUMPRODUCT(--(CandidateData[Source ID]=J16))&lt;&gt;1,SUMPRODUCT(--(CandidateData[ID]&lt;&gt;""),--(RIGHT(CandidateData[Company / UEI],12)=INDEX(SourceData[UEI],MATCH(J16,SourceData[ID],0))))&gt;1),"Duplicate vendor",IF(OR(C16="",E16="",H16="",K16=""),"Add role, reason, issue and action",IF(NOT(OR(D16="Shortlist",D16="Research further",D16="Exclude")),"Choose recommendation",IF(SUMPRODUCT(--(MatchData[Candidate ID]=A16),--(MatchData[Input check]&lt;&gt;""))+SUMPRODUCT(--((CheckData[Candidate ID]=A16)+(CheckData[Candidate ID]="TEAM")&gt;0),--(CheckData[Input check]&lt;&gt;""))&gt;0,"Complete assessments","")))))))))</f>
        <v/>
      </c>
    </row>
    <row r="17" customFormat="false" ht="26" hidden="false" customHeight="true" outlineLevel="0" collapsed="false">
      <c r="A17" s="17"/>
      <c r="B17" s="18" t="str">
        <f aca="false">IF(A17="","",IF(IF(J17="","Add source ID",IF(NOT(SUMPRODUCT(--(SourceData[ID]=J17))=1),"Unknown or duplicate source",IF(INDEX(SourceData[Input check],MATCH(J17,SourceData[ID],0))&lt;&gt;"","Complete source record","")))&lt;&gt;"","Check vendor source",HYPERLINK(INDEX(SourceData[URL],MATCH(J17,SourceData[ID],0)),INDEX(SourceData[Title],MATCH(J17,SourceData[ID],0))&amp;IF(INDEX(SourceData[UEI],MATCH(J17,SourceData[ID],0))="","",CHAR(10)&amp;"UEI "&amp;INDEX(SourceData[UEI],MATCH(J17,SourceData[ID],0))))))</f>
        <v/>
      </c>
      <c r="C17" s="17"/>
      <c r="D17" s="17"/>
      <c r="E17" s="17"/>
      <c r="F17" s="19" t="str">
        <f aca="false">IF(A17="","",K17&amp;CHAR(10)&amp;I17&amp;IF(L17&lt;&gt;"",CHAR(10)&amp;"Check inputs; counts may be incomplete",""))</f>
        <v/>
      </c>
      <c r="G17" s="19" t="str">
        <f aca="false">IF(A17="","",A17&amp;CHAR(10)&amp;B17)</f>
        <v/>
      </c>
      <c r="H17" s="17"/>
      <c r="I17" s="19" t="str">
        <f aca="false">IF(A17="","",IF(SUMPRODUCT(--(MatchData[Candidate ID]=A17))+SUMPRODUCT(--((CheckData[Candidate ID]=A17)+(CheckData[Candidate ID]="TEAM")&gt;0))=0,"No assessments recorded",(SUMPRODUCT(--((CheckData[Candidate ID]=A17)+(CheckData[Candidate ID]="TEAM")&gt;0),--(CheckData[Required]="Yes"),--(CheckData[Status]="Fail"))+SUMPRODUCT(--(MatchData[Candidate ID]=A17),--(MatchData[Priority]="Required"),--(MatchData[Status]="Fail")))&amp;" failed; "&amp;(SUMPRODUCT(--((CheckData[Candidate ID]=A17)+(CheckData[Candidate ID]="TEAM")&gt;0),--(CheckData[Required]="Yes"),--(CheckData[Status]="Unresolved"))+SUMPRODUCT(--(MatchData[Candidate ID]=A17),--(MatchData[Priority]="Required"),--(MatchData[Status]="Unresolved")))&amp;" unresolved"&amp;IF(COUNTIF(NeedData[Priority],"Required")&gt;SUMPRODUCT(--(MatchData[Candidate ID]=A17),--(MatchData[Priority]="Required")),"; needs not assessed","")))</f>
        <v/>
      </c>
      <c r="J17" s="17"/>
      <c r="K17" s="17"/>
      <c r="L17" s="19" t="str">
        <f aca="false">IF(NOT(OR(A17&lt;&gt;"",C17&lt;&gt;"",D17&lt;&gt;"",E17&lt;&gt;"",H17&lt;&gt;"",J17&lt;&gt;"",K17&lt;&gt;"")),"",IF(A17="","Add ID",IF(NOT(SUMPRODUCT(--(CandidateData[ID]=A17))=1),"Duplicate ID",IF(IF(J17="","Add source ID",IF(NOT(SUMPRODUCT(--(SourceData[ID]=J17))=1),"Unknown or duplicate source",IF(INDEX(SourceData[Input check],MATCH(J17,SourceData[ID],0))&lt;&gt;"","Complete source record","")))&lt;&gt;"",IF(J17="","Add source ID",IF(NOT(SUMPRODUCT(--(SourceData[ID]=J17))=1),"Unknown or duplicate source",IF(INDEX(SourceData[Input check],MATCH(J17,SourceData[ID],0))&lt;&gt;"","Complete source record",""))),IF(INDEX(SourceData[UEI],MATCH(J17,SourceData[ID],0))="","Add vendor UEI",IF(OR(SUMPRODUCT(--(CandidateData[Source ID]=J17))&lt;&gt;1,SUMPRODUCT(--(CandidateData[ID]&lt;&gt;""),--(RIGHT(CandidateData[Company / UEI],12)=INDEX(SourceData[UEI],MATCH(J17,SourceData[ID],0))))&gt;1),"Duplicate vendor",IF(OR(C17="",E17="",H17="",K17=""),"Add role, reason, issue and action",IF(NOT(OR(D17="Shortlist",D17="Research further",D17="Exclude")),"Choose recommendation",IF(SUMPRODUCT(--(MatchData[Candidate ID]=A17),--(MatchData[Input check]&lt;&gt;""))+SUMPRODUCT(--((CheckData[Candidate ID]=A17)+(CheckData[Candidate ID]="TEAM")&gt;0),--(CheckData[Input check]&lt;&gt;""))&gt;0,"Complete assessments","")))))))))</f>
        <v/>
      </c>
    </row>
  </sheetData>
  <mergeCells count="9">
    <mergeCell ref="A2:E2"/>
    <mergeCell ref="B4:D4"/>
    <mergeCell ref="B5:F5"/>
    <mergeCell ref="B6:C6"/>
    <mergeCell ref="E6:F6"/>
    <mergeCell ref="C7:D7"/>
    <mergeCell ref="A8:F8"/>
    <mergeCell ref="A9:F9"/>
    <mergeCell ref="G10:L10"/>
  </mergeCells>
  <conditionalFormatting sqref="D12:D17">
    <cfRule type="expression" priority="2" aboveAverage="0" equalAverage="0" bottom="0" percent="0" rank="0" text="" dxfId="8">
      <formula>D12="Pass"</formula>
    </cfRule>
    <cfRule type="expression" priority="3" aboveAverage="0" equalAverage="0" bottom="0" percent="0" rank="0" text="" dxfId="9">
      <formula>D12="Shortlist"</formula>
    </cfRule>
    <cfRule type="expression" priority="4" aboveAverage="0" equalAverage="0" bottom="0" percent="0" rank="0" text="" dxfId="10">
      <formula>D12="Fail"</formula>
    </cfRule>
    <cfRule type="expression" priority="5" aboveAverage="0" equalAverage="0" bottom="0" percent="0" rank="0" text="" dxfId="11">
      <formula>D12="Exclude"</formula>
    </cfRule>
    <cfRule type="expression" priority="6" aboveAverage="0" equalAverage="0" bottom="0" percent="0" rank="0" text="" dxfId="12">
      <formula>D12="Unresolved"</formula>
    </cfRule>
    <cfRule type="expression" priority="7" aboveAverage="0" equalAverage="0" bottom="0" percent="0" rank="0" text="" dxfId="13">
      <formula>D12="Research further"</formula>
    </cfRule>
  </conditionalFormatting>
  <conditionalFormatting sqref="L12:L17">
    <cfRule type="expression" priority="8" aboveAverage="0" equalAverage="0" bottom="0" percent="0" rank="0" text="" dxfId="14">
      <formula>LEN(L12)&gt;0</formula>
    </cfRule>
  </conditionalFormatting>
  <dataValidations count="1">
    <dataValidation allowBlank="false" errorStyle="stop" operator="between" showDropDown="false" showErrorMessage="false" showInputMessage="false" sqref="D12:D17" type="list">
      <formula1>"Shortlist,Research further,Exclude"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Footer>&amp;LShortlist&amp;RPage &amp;P of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9.44"/>
    <col customWidth="true" max="3" min="3" style="0" width="11.11"/>
    <col customWidth="true" max="4" min="4" style="0" width="34.44"/>
    <col customWidth="true" max="5" min="5" style="0" width="32.22"/>
    <col customWidth="true" max="6" min="6" style="0" width="16.67"/>
    <col customWidth="true" max="7" min="7" style="0" width="19.44"/>
    <col customWidth="true" max="8" min="8" style="0" width="13.89" hidden="1" outlineLevel="1"/>
    <col customWidth="true" max="9" min="9" style="0" width="17.78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3" hidden="false" customHeight="true" outlineLevel="0" collapsed="false">
      <c r="A2" s="2" t="s">
        <v>54</v>
      </c>
      <c r="B2" s="2"/>
      <c r="C2" s="2"/>
      <c r="D2" s="2"/>
      <c r="E2" s="2"/>
      <c r="F2" s="2"/>
      <c r="G2" s="1"/>
      <c r="H2" s="1"/>
      <c r="I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</row>
    <row r="4" customFormat="false" ht="42" hidden="false" customHeight="true" outlineLevel="0" collapsed="false">
      <c r="A4" s="11" t="s">
        <v>55</v>
      </c>
      <c r="B4" s="11"/>
      <c r="C4" s="4" t="s">
        <v>56</v>
      </c>
      <c r="D4" s="4"/>
      <c r="E4" s="4"/>
      <c r="F4" s="4"/>
      <c r="G4" s="1"/>
      <c r="H4" s="1"/>
      <c r="I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1" t="s">
        <v>57</v>
      </c>
      <c r="B6" s="11"/>
      <c r="C6" s="9" t="s">
        <v>58</v>
      </c>
      <c r="D6" s="9"/>
      <c r="E6" s="9"/>
      <c r="F6" s="9"/>
      <c r="G6" s="1"/>
      <c r="H6" s="1"/>
      <c r="I6" s="1"/>
    </row>
    <row r="7" customFormat="false" ht="20" hidden="false" customHeight="true" outlineLevel="0" collapsed="false">
      <c r="A7" s="20" t="s">
        <v>59</v>
      </c>
      <c r="B7" s="20"/>
      <c r="C7" s="20"/>
      <c r="D7" s="20"/>
      <c r="E7" s="20"/>
      <c r="F7" s="20"/>
      <c r="G7" s="1"/>
      <c r="H7" s="1"/>
      <c r="I7" s="1"/>
    </row>
    <row r="8" customFormat="false" ht="30" hidden="false" customHeight="true" outlineLevel="0" collapsed="false">
      <c r="A8" s="13" t="s">
        <v>16</v>
      </c>
      <c r="B8" s="13" t="s">
        <v>60</v>
      </c>
      <c r="C8" s="13" t="s">
        <v>61</v>
      </c>
      <c r="D8" s="13" t="s">
        <v>62</v>
      </c>
      <c r="E8" s="13" t="s">
        <v>63</v>
      </c>
      <c r="F8" s="13" t="s">
        <v>64</v>
      </c>
      <c r="G8" s="13" t="s">
        <v>27</v>
      </c>
      <c r="H8" s="13" t="s">
        <v>25</v>
      </c>
      <c r="I8" s="13" t="s">
        <v>65</v>
      </c>
    </row>
    <row r="9" customFormat="false" ht="78" hidden="false" customHeight="true" outlineLevel="0" collapsed="false">
      <c r="A9" s="14" t="s">
        <v>66</v>
      </c>
      <c r="B9" s="14" t="s">
        <v>67</v>
      </c>
      <c r="C9" s="14" t="s">
        <v>68</v>
      </c>
      <c r="D9" s="14" t="s">
        <v>69</v>
      </c>
      <c r="E9" s="14" t="s">
        <v>70</v>
      </c>
      <c r="F9" s="15" t="str">
        <f aca="false">IF(H9="","",IF(IF(H9="","Add source ID",IF(NOT(SUMPRODUCT(--(SourceData[ID]=H9))=1),"Unknown or duplicate source",IF(INDEX(SourceData[Input check],MATCH(H9,SourceData[ID],0))&lt;&gt;"","Complete source record","")))&lt;&gt;"","Check source",IF(INDEX(SourceData[URL],MATCH(H9,SourceData[ID],0))="",H9&amp;IF(I9="",""," "&amp;I9),HYPERLINK(INDEX(SourceData[URL],MATCH(H9,SourceData[ID],0)),H9&amp;IF(I9="",""," "&amp;I9)))))</f>
        <v>S04 pp2,8–9; RFI 01,20,24,25</v>
      </c>
      <c r="G9" s="16" t="str">
        <f aca="false">IF(NOT(OR(A9&lt;&gt;"",B9&lt;&gt;"",C9&lt;&gt;"",D9&lt;&gt;"",E9&lt;&gt;"",H9&lt;&gt;"",I9&lt;&gt;"")),"",IF(A9="","Add ID",IF(NOT(SUMPRODUCT(--(NeedData[ID]=A9))=1),"Duplicate ID",IF(OR(B9="",D9="",E9=""),"Add need, requirement and gap",IF(NOT(OR(C9="Required",C9="Preferred")),"Choose priority",IF(H9="","Add source ID",IF(NOT(SUMPRODUCT(--(SourceData[ID]=H9))=1),"Unknown or duplicate source",IF(INDEX(SourceData[Input check],MATCH(H9,SourceData[ID],0))&lt;&gt;"","Complete source record",""))))))))</f>
        <v/>
      </c>
      <c r="H9" s="14" t="s">
        <v>71</v>
      </c>
      <c r="I9" s="14" t="s">
        <v>72</v>
      </c>
    </row>
    <row r="10" customFormat="false" ht="78" hidden="false" customHeight="true" outlineLevel="0" collapsed="false">
      <c r="A10" s="14" t="s">
        <v>73</v>
      </c>
      <c r="B10" s="14" t="s">
        <v>74</v>
      </c>
      <c r="C10" s="14" t="s">
        <v>68</v>
      </c>
      <c r="D10" s="14" t="s">
        <v>75</v>
      </c>
      <c r="E10" s="14" t="s">
        <v>76</v>
      </c>
      <c r="F10" s="15" t="str">
        <f aca="false">IF(H10="","",IF(IF(H10="","Add source ID",IF(NOT(SUMPRODUCT(--(SourceData[ID]=H10))=1),"Unknown or duplicate source",IF(INDEX(SourceData[Input check],MATCH(H10,SourceData[ID],0))&lt;&gt;"","Complete source record","")))&lt;&gt;"","Check source",IF(INDEX(SourceData[URL],MATCH(H10,SourceData[ID],0))="",H10&amp;IF(I10="",""," "&amp;I10),HYPERLINK(INDEX(SourceData[URL],MATCH(H10,SourceData[ID],0)),H10&amp;IF(I10="",""," "&amp;I10)))))</f>
        <v>S02 pp5–6,10–11</v>
      </c>
      <c r="G10" s="16" t="str">
        <f aca="false">IF(NOT(OR(A10&lt;&gt;"",B10&lt;&gt;"",C10&lt;&gt;"",D10&lt;&gt;"",E10&lt;&gt;"",H10&lt;&gt;"",I10&lt;&gt;"")),"",IF(A10="","Add ID",IF(NOT(SUMPRODUCT(--(NeedData[ID]=A10))=1),"Duplicate ID",IF(OR(B10="",D10="",E10=""),"Add need, requirement and gap",IF(NOT(OR(C10="Required",C10="Preferred")),"Choose priority",IF(H10="","Add source ID",IF(NOT(SUMPRODUCT(--(SourceData[ID]=H10))=1),"Unknown or duplicate source",IF(INDEX(SourceData[Input check],MATCH(H10,SourceData[ID],0))&lt;&gt;"","Complete source record",""))))))))</f>
        <v/>
      </c>
      <c r="H10" s="14" t="s">
        <v>77</v>
      </c>
      <c r="I10" s="14" t="s">
        <v>78</v>
      </c>
    </row>
    <row r="11" customFormat="false" ht="78" hidden="false" customHeight="true" outlineLevel="0" collapsed="false">
      <c r="A11" s="14" t="s">
        <v>79</v>
      </c>
      <c r="B11" s="14" t="s">
        <v>80</v>
      </c>
      <c r="C11" s="14" t="s">
        <v>68</v>
      </c>
      <c r="D11" s="14" t="s">
        <v>81</v>
      </c>
      <c r="E11" s="14" t="s">
        <v>82</v>
      </c>
      <c r="F11" s="15" t="str">
        <f aca="false">IF(H11="","",IF(IF(H11="","Add source ID",IF(NOT(SUMPRODUCT(--(SourceData[ID]=H11))=1),"Unknown or duplicate source",IF(INDEX(SourceData[Input check],MATCH(H11,SourceData[ID],0))&lt;&gt;"","Complete source record","")))&lt;&gt;"","Check source",IF(INDEX(SourceData[URL],MATCH(H11,SourceData[ID],0))="",H11&amp;IF(I11="",""," "&amp;I11),HYPERLINK(INDEX(SourceData[URL],MATCH(H11,SourceData[ID],0)),H11&amp;IF(I11="",""," "&amp;I11)))))</f>
        <v>S04 pp2–3,9; RFI 04,06,25</v>
      </c>
      <c r="G11" s="16" t="str">
        <f aca="false">IF(NOT(OR(A11&lt;&gt;"",B11&lt;&gt;"",C11&lt;&gt;"",D11&lt;&gt;"",E11&lt;&gt;"",H11&lt;&gt;"",I11&lt;&gt;"")),"",IF(A11="","Add ID",IF(NOT(SUMPRODUCT(--(NeedData[ID]=A11))=1),"Duplicate ID",IF(OR(B11="",D11="",E11=""),"Add need, requirement and gap",IF(NOT(OR(C11="Required",C11="Preferred")),"Choose priority",IF(H11="","Add source ID",IF(NOT(SUMPRODUCT(--(SourceData[ID]=H11))=1),"Unknown or duplicate source",IF(INDEX(SourceData[Input check],MATCH(H11,SourceData[ID],0))&lt;&gt;"","Complete source record",""))))))))</f>
        <v/>
      </c>
      <c r="H11" s="14" t="s">
        <v>71</v>
      </c>
      <c r="I11" s="14" t="s">
        <v>83</v>
      </c>
    </row>
    <row r="12" customFormat="false" ht="78" hidden="false" customHeight="true" outlineLevel="0" collapsed="false">
      <c r="A12" s="14" t="s">
        <v>84</v>
      </c>
      <c r="B12" s="14" t="s">
        <v>85</v>
      </c>
      <c r="C12" s="14" t="s">
        <v>68</v>
      </c>
      <c r="D12" s="14" t="s">
        <v>86</v>
      </c>
      <c r="E12" s="14" t="s">
        <v>87</v>
      </c>
      <c r="F12" s="15" t="str">
        <f aca="false">IF(H12="","",IF(IF(H12="","Add source ID",IF(NOT(SUMPRODUCT(--(SourceData[ID]=H12))=1),"Unknown or duplicate source",IF(INDEX(SourceData[Input check],MATCH(H12,SourceData[ID],0))&lt;&gt;"","Complete source record","")))&lt;&gt;"","Check source",IF(INDEX(SourceData[URL],MATCH(H12,SourceData[ID],0))="",H12&amp;IF(I12="",""," "&amp;I12),HYPERLINK(INDEX(SourceData[URL],MATCH(H12,SourceData[ID],0)),H12&amp;IF(I12="",""," "&amp;I12)))))</f>
        <v>S04 pp4–5,9; RFI 09,23</v>
      </c>
      <c r="G12" s="16" t="str">
        <f aca="false">IF(NOT(OR(A12&lt;&gt;"",B12&lt;&gt;"",C12&lt;&gt;"",D12&lt;&gt;"",E12&lt;&gt;"",H12&lt;&gt;"",I12&lt;&gt;"")),"",IF(A12="","Add ID",IF(NOT(SUMPRODUCT(--(NeedData[ID]=A12))=1),"Duplicate ID",IF(OR(B12="",D12="",E12=""),"Add need, requirement and gap",IF(NOT(OR(C12="Required",C12="Preferred")),"Choose priority",IF(H12="","Add source ID",IF(NOT(SUMPRODUCT(--(SourceData[ID]=H12))=1),"Unknown or duplicate source",IF(INDEX(SourceData[Input check],MATCH(H12,SourceData[ID],0))&lt;&gt;"","Complete source record",""))))))))</f>
        <v/>
      </c>
      <c r="H12" s="14" t="s">
        <v>71</v>
      </c>
      <c r="I12" s="14" t="s">
        <v>88</v>
      </c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5" t="str">
        <f aca="false">IF(H13="","",IF(IF(H13="","Add source ID",IF(NOT(SUMPRODUCT(--(SourceData[ID]=H13))=1),"Unknown or duplicate source",IF(INDEX(SourceData[Input check],MATCH(H13,SourceData[ID],0))&lt;&gt;"","Complete source record","")))&lt;&gt;"","Check source",IF(INDEX(SourceData[URL],MATCH(H13,SourceData[ID],0))="",H13&amp;IF(I13="",""," "&amp;I13),HYPERLINK(INDEX(SourceData[URL],MATCH(H13,SourceData[ID],0)),H13&amp;IF(I13="",""," "&amp;I13)))))</f>
        <v/>
      </c>
      <c r="G13" s="16" t="str">
        <f aca="false">IF(NOT(OR(A13&lt;&gt;"",B13&lt;&gt;"",C13&lt;&gt;"",D13&lt;&gt;"",E13&lt;&gt;"",H13&lt;&gt;"",I13&lt;&gt;"")),"",IF(A13="","Add ID",IF(NOT(SUMPRODUCT(--(NeedData[ID]=A13))=1),"Duplicate ID",IF(OR(B13="",D13="",E13=""),"Add need, requirement and gap",IF(NOT(OR(C13="Required",C13="Preferred")),"Choose priority",IF(H13="","Add source ID",IF(NOT(SUMPRODUCT(--(SourceData[ID]=H13))=1),"Unknown or duplicate source",IF(INDEX(SourceData[Input check],MATCH(H13,SourceData[ID],0))&lt;&gt;"","Complete source record",""))))))))</f>
        <v/>
      </c>
      <c r="H13" s="14"/>
      <c r="I13" s="14"/>
    </row>
    <row r="14" customFormat="false" ht="26" hidden="false" customHeight="true" outlineLevel="0" collapsed="false">
      <c r="A14" s="17"/>
      <c r="B14" s="17"/>
      <c r="C14" s="17"/>
      <c r="D14" s="17"/>
      <c r="E14" s="17"/>
      <c r="F14" s="18" t="str">
        <f aca="false">IF(H14="","",IF(IF(H14="","Add source ID",IF(NOT(SUMPRODUCT(--(SourceData[ID]=H14))=1),"Unknown or duplicate source",IF(INDEX(SourceData[Input check],MATCH(H14,SourceData[ID],0))&lt;&gt;"","Complete source record","")))&lt;&gt;"","Check source",IF(INDEX(SourceData[URL],MATCH(H14,SourceData[ID],0))="",H14&amp;IF(I14="",""," "&amp;I14),HYPERLINK(INDEX(SourceData[URL],MATCH(H14,SourceData[ID],0)),H14&amp;IF(I14="",""," "&amp;I14)))))</f>
        <v/>
      </c>
      <c r="G14" s="19" t="str">
        <f aca="false">IF(NOT(OR(A14&lt;&gt;"",B14&lt;&gt;"",C14&lt;&gt;"",D14&lt;&gt;"",E14&lt;&gt;"",H14&lt;&gt;"",I14&lt;&gt;"")),"",IF(A14="","Add ID",IF(NOT(SUMPRODUCT(--(NeedData[ID]=A14))=1),"Duplicate ID",IF(OR(B14="",D14="",E14=""),"Add need, requirement and gap",IF(NOT(OR(C14="Required",C14="Preferred")),"Choose priority",IF(H14="","Add source ID",IF(NOT(SUMPRODUCT(--(SourceData[ID]=H14))=1),"Unknown or duplicate source",IF(INDEX(SourceData[Input check],MATCH(H14,SourceData[ID],0))&lt;&gt;"","Complete source record",""))))))))</f>
        <v/>
      </c>
      <c r="H14" s="17"/>
      <c r="I14" s="17"/>
    </row>
  </sheetData>
  <mergeCells count="6">
    <mergeCell ref="A2:F2"/>
    <mergeCell ref="A4:B4"/>
    <mergeCell ref="C4:F4"/>
    <mergeCell ref="A6:B6"/>
    <mergeCell ref="C6:F6"/>
    <mergeCell ref="A7:F7"/>
  </mergeCells>
  <conditionalFormatting sqref="G9:G14">
    <cfRule type="expression" priority="2" aboveAverage="0" equalAverage="0" bottom="0" percent="0" rank="0" text="" dxfId="15">
      <formula>LEN(G9)&gt;0</formula>
    </cfRule>
  </conditionalFormatting>
  <dataValidations count="1">
    <dataValidation allowBlank="false" errorStyle="stop" operator="between" showDropDown="false" showErrorMessage="false" showInputMessage="false" sqref="C9:C14" type="list">
      <formula1>"Required,Preferred"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&amp;L&amp;"Arial,Bold"&amp;11Teaming Needs</oddHeader>
    <oddFooter>&amp;LTeaming Needs&amp;RPage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K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6.67"/>
    <col customWidth="true" max="3" min="3" style="0" width="11.67"/>
    <col customWidth="true" max="4" min="4" style="0" width="13.89"/>
    <col customWidth="true" max="5" min="5" style="0" width="38.33"/>
    <col customWidth="true" max="6" min="6" style="0" width="18.34"/>
    <col customWidth="true" max="7" min="7" style="0" width="36.67"/>
    <col customWidth="true" max="8" min="8" style="0" width="18.89"/>
    <col customWidth="true" max="9" min="9" style="0" width="13.89" hidden="1" outlineLevel="1"/>
    <col customWidth="true" max="10" min="10" style="0" width="19.44" hidden="1" outlineLevel="1"/>
    <col customWidth="true" max="11" min="11" style="0" width="11.11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" hidden="false" customHeight="true" outlineLevel="0" collapsed="false">
      <c r="A2" s="2" t="s">
        <v>89</v>
      </c>
      <c r="B2" s="2"/>
      <c r="C2" s="2"/>
      <c r="D2" s="2"/>
      <c r="E2" s="2"/>
      <c r="F2" s="2"/>
      <c r="G2" s="1"/>
      <c r="H2" s="1"/>
      <c r="I2" s="1"/>
      <c r="J2" s="1"/>
      <c r="K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</row>
    <row r="4" customFormat="false" ht="20" hidden="false" customHeight="true" outlineLevel="0" collapsed="false">
      <c r="A4" s="21" t="s">
        <v>90</v>
      </c>
      <c r="B4" s="21"/>
      <c r="C4" s="21"/>
      <c r="D4" s="21"/>
      <c r="E4" s="21"/>
      <c r="F4" s="21"/>
      <c r="G4" s="21"/>
      <c r="H4" s="21"/>
      <c r="I4" s="1"/>
      <c r="J4" s="1"/>
      <c r="K4" s="1"/>
    </row>
    <row r="5" customFormat="false" ht="20" hidden="false" customHeight="true" outlineLevel="0" collapsed="false">
      <c r="A5" s="21"/>
      <c r="B5" s="21"/>
      <c r="C5" s="21"/>
      <c r="D5" s="21"/>
      <c r="E5" s="21"/>
      <c r="F5" s="21"/>
      <c r="G5" s="21"/>
      <c r="H5" s="21"/>
      <c r="I5" s="1"/>
      <c r="J5" s="1"/>
      <c r="K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30" hidden="false" customHeight="true" outlineLevel="0" collapsed="false">
      <c r="A7" s="13" t="s">
        <v>16</v>
      </c>
      <c r="B7" s="13" t="s">
        <v>91</v>
      </c>
      <c r="C7" s="13" t="s">
        <v>92</v>
      </c>
      <c r="D7" s="13" t="s">
        <v>93</v>
      </c>
      <c r="E7" s="13" t="s">
        <v>94</v>
      </c>
      <c r="F7" s="13" t="s">
        <v>64</v>
      </c>
      <c r="G7" s="13" t="s">
        <v>95</v>
      </c>
      <c r="H7" s="13" t="s">
        <v>27</v>
      </c>
      <c r="I7" s="13" t="s">
        <v>25</v>
      </c>
      <c r="J7" s="13" t="s">
        <v>65</v>
      </c>
      <c r="K7" s="13" t="s">
        <v>61</v>
      </c>
    </row>
    <row r="8" customFormat="false" ht="76" hidden="false" customHeight="true" outlineLevel="0" collapsed="false">
      <c r="A8" s="14" t="s">
        <v>96</v>
      </c>
      <c r="B8" s="14" t="s">
        <v>28</v>
      </c>
      <c r="C8" s="14" t="s">
        <v>66</v>
      </c>
      <c r="D8" s="14" t="s">
        <v>97</v>
      </c>
      <c r="E8" s="14" t="s">
        <v>98</v>
      </c>
      <c r="F8" s="15" t="str">
        <f aca="false">IF(I8="","",IF(IF(I8="","Add source ID",IF(NOT(SUMPRODUCT(--(SourceData[ID]=I8))=1),"Unknown or duplicate source",IF(INDEX(SourceData[Input check],MATCH(I8,SourceData[ID],0))&lt;&gt;"","Complete source record","")))&lt;&gt;"","Check source",IF(INDEX(SourceData[URL],MATCH(I8,SourceData[ID],0))="",I8&amp;IF(J8="",""," "&amp;J8),HYPERLINK(INDEX(SourceData[URL],MATCH(I8,SourceData[ID],0)),I8&amp;IF(J8="",""," "&amp;J8)))))</f>
        <v>T01 Company announcement</v>
      </c>
      <c r="G8" s="14" t="s">
        <v>99</v>
      </c>
      <c r="H8" s="16" t="str">
        <f aca="false">IF(NOT(OR(A8&lt;&gt;"",B8&lt;&gt;"",C8&lt;&gt;"",D8&lt;&gt;"",E8&lt;&gt;"",G8&lt;&gt;"",I8&lt;&gt;"",J8&lt;&gt;"")),"",IF(A8="","Add ID",IF(NOT(SUMPRODUCT(--(MatchData[ID]=A8))=1),"Duplicate ID",IF(IF(B8="","Add candidate ID",IF(NOT(SUMPRODUCT(--(CandidateData[ID]=B8))=1),"Unknown or duplicate candidate",""))&lt;&gt;"",IF(B8="","Add candidate ID",IF(NOT(SUMPRODUCT(--(CandidateData[ID]=B8))=1),"Unknown or duplicate candidate","")),IF(IF(C8="","Add need ID",IF(NOT(SUMPRODUCT(--(NeedData[ID]=C8))=1),"Unknown or duplicate need",IF(INDEX(NeedData[Input check],MATCH(C8,NeedData[ID],0))&lt;&gt;"","Complete teaming need","")))&lt;&gt;"",IF(C8="","Add need ID",IF(NOT(SUMPRODUCT(--(NeedData[ID]=C8))=1),"Unknown or duplicate need",IF(INDEX(NeedData[Input check],MATCH(C8,NeedData[ID],0))&lt;&gt;"","Complete teaming need",""))),IF(SUMPRODUCT(--(MatchData[Candidate ID]=B8),--(MatchData[Need ID]=C8))&lt;&gt;1,"Duplicate candidate/need",IF(NOT(OR(D8="Pass",D8="Fail",D8="Unresolved")),"Choose status",IF(OR(E8="",G8=""),"Add assessment and next step",IF(AND(D8&lt;&gt;"Unresolved",I8=""),"Add evidence source",IF(I8="","",IF(I8="","Add source ID",IF(NOT(SUMPRODUCT(--(SourceData[ID]=I8))=1),"Unknown or duplicate source",IF(INDEX(SourceData[Input check],MATCH(I8,SourceData[ID],0))&lt;&gt;"","Complete source record","")))))))))))))</f>
        <v/>
      </c>
      <c r="I8" s="14" t="s">
        <v>100</v>
      </c>
      <c r="J8" s="14" t="s">
        <v>101</v>
      </c>
      <c r="K8" s="16" t="str">
        <f aca="false">IF(C8="","",IF(IF(C8="","Add need ID",IF(NOT(SUMPRODUCT(--(NeedData[ID]=C8))=1),"Unknown or duplicate need",IF(INDEX(NeedData[Input check],MATCH(C8,NeedData[ID],0))&lt;&gt;"","Complete teaming need","")))&lt;&gt;"","",INDEX(NeedData[Priority],MATCH(C8,NeedData[ID],0))))</f>
        <v>Required</v>
      </c>
    </row>
    <row r="9" customFormat="false" ht="76" hidden="false" customHeight="true" outlineLevel="0" collapsed="false">
      <c r="A9" s="14" t="s">
        <v>102</v>
      </c>
      <c r="B9" s="14" t="s">
        <v>28</v>
      </c>
      <c r="C9" s="14" t="s">
        <v>73</v>
      </c>
      <c r="D9" s="14" t="s">
        <v>97</v>
      </c>
      <c r="E9" s="14" t="s">
        <v>103</v>
      </c>
      <c r="F9" s="15" t="str">
        <f aca="false">IF(I9="","",IF(IF(I9="","Add source ID",IF(NOT(SUMPRODUCT(--(SourceData[ID]=I9))=1),"Unknown or duplicate source",IF(INDEX(SourceData[Input check],MATCH(I9,SourceData[ID],0))&lt;&gt;"","Complete source record","")))&lt;&gt;"","Check source",IF(INDEX(SourceData[URL],MATCH(I9,SourceData[ID],0))="",I9&amp;IF(J9="",""," "&amp;J9),HYPERLINK(INDEX(SourceData[URL],MATCH(I9,SourceData[ID],0)),I9&amp;IF(J9="",""," "&amp;J9)))))</f>
        <v>W01 Raw award description</v>
      </c>
      <c r="G9" s="14" t="s">
        <v>104</v>
      </c>
      <c r="H9" s="16" t="str">
        <f aca="false">IF(NOT(OR(A9&lt;&gt;"",B9&lt;&gt;"",C9&lt;&gt;"",D9&lt;&gt;"",E9&lt;&gt;"",G9&lt;&gt;"",I9&lt;&gt;"",J9&lt;&gt;"")),"",IF(A9="","Add ID",IF(NOT(SUMPRODUCT(--(MatchData[ID]=A9))=1),"Duplicate ID",IF(IF(B9="","Add candidate ID",IF(NOT(SUMPRODUCT(--(CandidateData[ID]=B9))=1),"Unknown or duplicate candidate",""))&lt;&gt;"",IF(B9="","Add candidate ID",IF(NOT(SUMPRODUCT(--(CandidateData[ID]=B9))=1),"Unknown or duplicate candidate","")),IF(IF(C9="","Add need ID",IF(NOT(SUMPRODUCT(--(NeedData[ID]=C9))=1),"Unknown or duplicate need",IF(INDEX(NeedData[Input check],MATCH(C9,NeedData[ID],0))&lt;&gt;"","Complete teaming need","")))&lt;&gt;"",IF(C9="","Add need ID",IF(NOT(SUMPRODUCT(--(NeedData[ID]=C9))=1),"Unknown or duplicate need",IF(INDEX(NeedData[Input check],MATCH(C9,NeedData[ID],0))&lt;&gt;"","Complete teaming need",""))),IF(SUMPRODUCT(--(MatchData[Candidate ID]=B9),--(MatchData[Need ID]=C9))&lt;&gt;1,"Duplicate candidate/need",IF(NOT(OR(D9="Pass",D9="Fail",D9="Unresolved")),"Choose status",IF(OR(E9="",G9=""),"Add assessment and next step",IF(AND(D9&lt;&gt;"Unresolved",I9=""),"Add evidence source",IF(I9="","",IF(I9="","Add source ID",IF(NOT(SUMPRODUCT(--(SourceData[ID]=I9))=1),"Unknown or duplicate source",IF(INDEX(SourceData[Input check],MATCH(I9,SourceData[ID],0))&lt;&gt;"","Complete source record","")))))))))))))</f>
        <v/>
      </c>
      <c r="I9" s="14" t="s">
        <v>105</v>
      </c>
      <c r="J9" s="14" t="s">
        <v>106</v>
      </c>
      <c r="K9" s="16" t="str">
        <f aca="false">IF(C9="","",IF(IF(C9="","Add need ID",IF(NOT(SUMPRODUCT(--(NeedData[ID]=C9))=1),"Unknown or duplicate need",IF(INDEX(NeedData[Input check],MATCH(C9,NeedData[ID],0))&lt;&gt;"","Complete teaming need","")))&lt;&gt;"","",INDEX(NeedData[Priority],MATCH(C9,NeedData[ID],0))))</f>
        <v>Required</v>
      </c>
    </row>
    <row r="10" customFormat="false" ht="76" hidden="false" customHeight="true" outlineLevel="0" collapsed="false">
      <c r="A10" s="14" t="s">
        <v>107</v>
      </c>
      <c r="B10" s="14" t="s">
        <v>28</v>
      </c>
      <c r="C10" s="14" t="s">
        <v>79</v>
      </c>
      <c r="D10" s="14" t="s">
        <v>108</v>
      </c>
      <c r="E10" s="14" t="s">
        <v>109</v>
      </c>
      <c r="F10" s="15" t="str">
        <f aca="false">IF(I10="","",IF(IF(I10="","Add source ID",IF(NOT(SUMPRODUCT(--(SourceData[ID]=I10))=1),"Unknown or duplicate source",IF(INDEX(SourceData[Input check],MATCH(I10,SourceData[ID],0))&lt;&gt;"","Complete source record","")))&lt;&gt;"","Check source",IF(INDEX(SourceData[URL],MATCH(I10,SourceData[ID],0))="",I10&amp;IF(J10="",""," "&amp;J10),HYPERLINK(INDEX(SourceData[URL],MATCH(I10,SourceData[ID],0)),I10&amp;IF(J10="",""," "&amp;J10)))))</f>
        <v/>
      </c>
      <c r="G10" s="14" t="s">
        <v>110</v>
      </c>
      <c r="H10" s="16" t="str">
        <f aca="false">IF(NOT(OR(A10&lt;&gt;"",B10&lt;&gt;"",C10&lt;&gt;"",D10&lt;&gt;"",E10&lt;&gt;"",G10&lt;&gt;"",I10&lt;&gt;"",J10&lt;&gt;"")),"",IF(A10="","Add ID",IF(NOT(SUMPRODUCT(--(MatchData[ID]=A10))=1),"Duplicate ID",IF(IF(B10="","Add candidate ID",IF(NOT(SUMPRODUCT(--(CandidateData[ID]=B10))=1),"Unknown or duplicate candidate",""))&lt;&gt;"",IF(B10="","Add candidate ID",IF(NOT(SUMPRODUCT(--(CandidateData[ID]=B10))=1),"Unknown or duplicate candidate","")),IF(IF(C10="","Add need ID",IF(NOT(SUMPRODUCT(--(NeedData[ID]=C10))=1),"Unknown or duplicate need",IF(INDEX(NeedData[Input check],MATCH(C10,NeedData[ID],0))&lt;&gt;"","Complete teaming need","")))&lt;&gt;"",IF(C10="","Add need ID",IF(NOT(SUMPRODUCT(--(NeedData[ID]=C10))=1),"Unknown or duplicate need",IF(INDEX(NeedData[Input check],MATCH(C10,NeedData[ID],0))&lt;&gt;"","Complete teaming need",""))),IF(SUMPRODUCT(--(MatchData[Candidate ID]=B10),--(MatchData[Need ID]=C10))&lt;&gt;1,"Duplicate candidate/need",IF(NOT(OR(D10="Pass",D10="Fail",D10="Unresolved")),"Choose status",IF(OR(E10="",G10=""),"Add assessment and next step",IF(AND(D10&lt;&gt;"Unresolved",I10=""),"Add evidence source",IF(I10="","",IF(I10="","Add source ID",IF(NOT(SUMPRODUCT(--(SourceData[ID]=I10))=1),"Unknown or duplicate source",IF(INDEX(SourceData[Input check],MATCH(I10,SourceData[ID],0))&lt;&gt;"","Complete source record","")))))))))))))</f>
        <v/>
      </c>
      <c r="I10" s="14"/>
      <c r="J10" s="14"/>
      <c r="K10" s="16" t="str">
        <f aca="false">IF(C10="","",IF(IF(C10="","Add need ID",IF(NOT(SUMPRODUCT(--(NeedData[ID]=C10))=1),"Unknown or duplicate need",IF(INDEX(NeedData[Input check],MATCH(C10,NeedData[ID],0))&lt;&gt;"","Complete teaming need","")))&lt;&gt;"","",INDEX(NeedData[Priority],MATCH(C10,NeedData[ID],0))))</f>
        <v>Required</v>
      </c>
    </row>
    <row r="11" customFormat="false" ht="76" hidden="false" customHeight="true" outlineLevel="0" collapsed="false">
      <c r="A11" s="14" t="s">
        <v>111</v>
      </c>
      <c r="B11" s="14" t="s">
        <v>28</v>
      </c>
      <c r="C11" s="14" t="s">
        <v>84</v>
      </c>
      <c r="D11" s="14" t="s">
        <v>108</v>
      </c>
      <c r="E11" s="14" t="s">
        <v>109</v>
      </c>
      <c r="F11" s="15" t="str">
        <f aca="false">IF(I11="","",IF(IF(I11="","Add source ID",IF(NOT(SUMPRODUCT(--(SourceData[ID]=I11))=1),"Unknown or duplicate source",IF(INDEX(SourceData[Input check],MATCH(I11,SourceData[ID],0))&lt;&gt;"","Complete source record","")))&lt;&gt;"","Check source",IF(INDEX(SourceData[URL],MATCH(I11,SourceData[ID],0))="",I11&amp;IF(J11="",""," "&amp;J11),HYPERLINK(INDEX(SourceData[URL],MATCH(I11,SourceData[ID],0)),I11&amp;IF(J11="",""," "&amp;J11)))))</f>
        <v/>
      </c>
      <c r="G11" s="14" t="s">
        <v>112</v>
      </c>
      <c r="H11" s="16" t="str">
        <f aca="false">IF(NOT(OR(A11&lt;&gt;"",B11&lt;&gt;"",C11&lt;&gt;"",D11&lt;&gt;"",E11&lt;&gt;"",G11&lt;&gt;"",I11&lt;&gt;"",J11&lt;&gt;"")),"",IF(A11="","Add ID",IF(NOT(SUMPRODUCT(--(MatchData[ID]=A11))=1),"Duplicate ID",IF(IF(B11="","Add candidate ID",IF(NOT(SUMPRODUCT(--(CandidateData[ID]=B11))=1),"Unknown or duplicate candidate",""))&lt;&gt;"",IF(B11="","Add candidate ID",IF(NOT(SUMPRODUCT(--(CandidateData[ID]=B11))=1),"Unknown or duplicate candidate","")),IF(IF(C11="","Add need ID",IF(NOT(SUMPRODUCT(--(NeedData[ID]=C11))=1),"Unknown or duplicate need",IF(INDEX(NeedData[Input check],MATCH(C11,NeedData[ID],0))&lt;&gt;"","Complete teaming need","")))&lt;&gt;"",IF(C11="","Add need ID",IF(NOT(SUMPRODUCT(--(NeedData[ID]=C11))=1),"Unknown or duplicate need",IF(INDEX(NeedData[Input check],MATCH(C11,NeedData[ID],0))&lt;&gt;"","Complete teaming need",""))),IF(SUMPRODUCT(--(MatchData[Candidate ID]=B11),--(MatchData[Need ID]=C11))&lt;&gt;1,"Duplicate candidate/need",IF(NOT(OR(D11="Pass",D11="Fail",D11="Unresolved")),"Choose status",IF(OR(E11="",G11=""),"Add assessment and next step",IF(AND(D11&lt;&gt;"Unresolved",I11=""),"Add evidence source",IF(I11="","",IF(I11="","Add source ID",IF(NOT(SUMPRODUCT(--(SourceData[ID]=I11))=1),"Unknown or duplicate source",IF(INDEX(SourceData[Input check],MATCH(I11,SourceData[ID],0))&lt;&gt;"","Complete source record","")))))))))))))</f>
        <v/>
      </c>
      <c r="I11" s="14"/>
      <c r="J11" s="14"/>
      <c r="K11" s="16" t="str">
        <f aca="false">IF(C11="","",IF(IF(C11="","Add need ID",IF(NOT(SUMPRODUCT(--(NeedData[ID]=C11))=1),"Unknown or duplicate need",IF(INDEX(NeedData[Input check],MATCH(C11,NeedData[ID],0))&lt;&gt;"","Complete teaming need","")))&lt;&gt;"","",INDEX(NeedData[Priority],MATCH(C11,NeedData[ID],0))))</f>
        <v>Required</v>
      </c>
    </row>
    <row r="12" customFormat="false" ht="76" hidden="false" customHeight="true" outlineLevel="0" collapsed="false">
      <c r="A12" s="14" t="s">
        <v>113</v>
      </c>
      <c r="B12" s="14" t="s">
        <v>35</v>
      </c>
      <c r="C12" s="14" t="s">
        <v>66</v>
      </c>
      <c r="D12" s="14" t="s">
        <v>97</v>
      </c>
      <c r="E12" s="14" t="s">
        <v>114</v>
      </c>
      <c r="F12" s="15" t="str">
        <f aca="false">IF(I12="","",IF(IF(I12="","Add source ID",IF(NOT(SUMPRODUCT(--(SourceData[ID]=I12))=1),"Unknown or duplicate source",IF(INDEX(SourceData[Input check],MATCH(I12,SourceData[ID],0))&lt;&gt;"","Complete source record","")))&lt;&gt;"","Check source",IF(INDEX(SourceData[URL],MATCH(I12,SourceData[ID],0))="",I12&amp;IF(J12="",""," "&amp;J12),HYPERLINK(INDEX(SourceData[URL],MATCH(I12,SourceData[ID],0)),I12&amp;IF(J12="",""," "&amp;J12)))))</f>
        <v>T02 Abstract; supplemental information</v>
      </c>
      <c r="G12" s="14" t="s">
        <v>99</v>
      </c>
      <c r="H12" s="16" t="str">
        <f aca="false">IF(NOT(OR(A12&lt;&gt;"",B12&lt;&gt;"",C12&lt;&gt;"",D12&lt;&gt;"",E12&lt;&gt;"",G12&lt;&gt;"",I12&lt;&gt;"",J12&lt;&gt;"")),"",IF(A12="","Add ID",IF(NOT(SUMPRODUCT(--(MatchData[ID]=A12))=1),"Duplicate ID",IF(IF(B12="","Add candidate ID",IF(NOT(SUMPRODUCT(--(CandidateData[ID]=B12))=1),"Unknown or duplicate candidate",""))&lt;&gt;"",IF(B12="","Add candidate ID",IF(NOT(SUMPRODUCT(--(CandidateData[ID]=B12))=1),"Unknown or duplicate candidate","")),IF(IF(C12="","Add need ID",IF(NOT(SUMPRODUCT(--(NeedData[ID]=C12))=1),"Unknown or duplicate need",IF(INDEX(NeedData[Input check],MATCH(C12,NeedData[ID],0))&lt;&gt;"","Complete teaming need","")))&lt;&gt;"",IF(C12="","Add need ID",IF(NOT(SUMPRODUCT(--(NeedData[ID]=C12))=1),"Unknown or duplicate need",IF(INDEX(NeedData[Input check],MATCH(C12,NeedData[ID],0))&lt;&gt;"","Complete teaming need",""))),IF(SUMPRODUCT(--(MatchData[Candidate ID]=B12),--(MatchData[Need ID]=C12))&lt;&gt;1,"Duplicate candidate/need",IF(NOT(OR(D12="Pass",D12="Fail",D12="Unresolved")),"Choose status",IF(OR(E12="",G12=""),"Add assessment and next step",IF(AND(D12&lt;&gt;"Unresolved",I12=""),"Add evidence source",IF(I12="","",IF(I12="","Add source ID",IF(NOT(SUMPRODUCT(--(SourceData[ID]=I12))=1),"Unknown or duplicate source",IF(INDEX(SourceData[Input check],MATCH(I12,SourceData[ID],0))&lt;&gt;"","Complete source record","")))))))))))))</f>
        <v/>
      </c>
      <c r="I12" s="14" t="s">
        <v>115</v>
      </c>
      <c r="J12" s="14" t="s">
        <v>116</v>
      </c>
      <c r="K12" s="16" t="str">
        <f aca="false">IF(C12="","",IF(IF(C12="","Add need ID",IF(NOT(SUMPRODUCT(--(NeedData[ID]=C12))=1),"Unknown or duplicate need",IF(INDEX(NeedData[Input check],MATCH(C12,NeedData[ID],0))&lt;&gt;"","Complete teaming need","")))&lt;&gt;"","",INDEX(NeedData[Priority],MATCH(C12,NeedData[ID],0))))</f>
        <v>Required</v>
      </c>
    </row>
    <row r="13" customFormat="false" ht="76" hidden="false" customHeight="true" outlineLevel="0" collapsed="false">
      <c r="A13" s="14" t="s">
        <v>117</v>
      </c>
      <c r="B13" s="14" t="s">
        <v>35</v>
      </c>
      <c r="C13" s="14" t="s">
        <v>73</v>
      </c>
      <c r="D13" s="14" t="s">
        <v>97</v>
      </c>
      <c r="E13" s="14" t="s">
        <v>103</v>
      </c>
      <c r="F13" s="15" t="str">
        <f aca="false">IF(I13="","",IF(IF(I13="","Add source ID",IF(NOT(SUMPRODUCT(--(SourceData[ID]=I13))=1),"Unknown or duplicate source",IF(INDEX(SourceData[Input check],MATCH(I13,SourceData[ID],0))&lt;&gt;"","Complete source record","")))&lt;&gt;"","Check source",IF(INDEX(SourceData[URL],MATCH(I13,SourceData[ID],0))="",I13&amp;IF(J13="",""," "&amp;J13),HYPERLINK(INDEX(SourceData[URL],MATCH(I13,SourceData[ID],0)),I13&amp;IF(J13="",""," "&amp;J13)))))</f>
        <v>W02 Raw award description</v>
      </c>
      <c r="G13" s="14" t="s">
        <v>104</v>
      </c>
      <c r="H13" s="16" t="str">
        <f aca="false">IF(NOT(OR(A13&lt;&gt;"",B13&lt;&gt;"",C13&lt;&gt;"",D13&lt;&gt;"",E13&lt;&gt;"",G13&lt;&gt;"",I13&lt;&gt;"",J13&lt;&gt;"")),"",IF(A13="","Add ID",IF(NOT(SUMPRODUCT(--(MatchData[ID]=A13))=1),"Duplicate ID",IF(IF(B13="","Add candidate ID",IF(NOT(SUMPRODUCT(--(CandidateData[ID]=B13))=1),"Unknown or duplicate candidate",""))&lt;&gt;"",IF(B13="","Add candidate ID",IF(NOT(SUMPRODUCT(--(CandidateData[ID]=B13))=1),"Unknown or duplicate candidate","")),IF(IF(C13="","Add need ID",IF(NOT(SUMPRODUCT(--(NeedData[ID]=C13))=1),"Unknown or duplicate need",IF(INDEX(NeedData[Input check],MATCH(C13,NeedData[ID],0))&lt;&gt;"","Complete teaming need","")))&lt;&gt;"",IF(C13="","Add need ID",IF(NOT(SUMPRODUCT(--(NeedData[ID]=C13))=1),"Unknown or duplicate need",IF(INDEX(NeedData[Input check],MATCH(C13,NeedData[ID],0))&lt;&gt;"","Complete teaming need",""))),IF(SUMPRODUCT(--(MatchData[Candidate ID]=B13),--(MatchData[Need ID]=C13))&lt;&gt;1,"Duplicate candidate/need",IF(NOT(OR(D13="Pass",D13="Fail",D13="Unresolved")),"Choose status",IF(OR(E13="",G13=""),"Add assessment and next step",IF(AND(D13&lt;&gt;"Unresolved",I13=""),"Add evidence source",IF(I13="","",IF(I13="","Add source ID",IF(NOT(SUMPRODUCT(--(SourceData[ID]=I13))=1),"Unknown or duplicate source",IF(INDEX(SourceData[Input check],MATCH(I13,SourceData[ID],0))&lt;&gt;"","Complete source record","")))))))))))))</f>
        <v/>
      </c>
      <c r="I13" s="14" t="s">
        <v>118</v>
      </c>
      <c r="J13" s="14" t="s">
        <v>106</v>
      </c>
      <c r="K13" s="16" t="str">
        <f aca="false">IF(C13="","",IF(IF(C13="","Add need ID",IF(NOT(SUMPRODUCT(--(NeedData[ID]=C13))=1),"Unknown or duplicate need",IF(INDEX(NeedData[Input check],MATCH(C13,NeedData[ID],0))&lt;&gt;"","Complete teaming need","")))&lt;&gt;"","",INDEX(NeedData[Priority],MATCH(C13,NeedData[ID],0))))</f>
        <v>Required</v>
      </c>
    </row>
    <row r="14" customFormat="false" ht="76" hidden="false" customHeight="true" outlineLevel="0" collapsed="false">
      <c r="A14" s="14" t="s">
        <v>119</v>
      </c>
      <c r="B14" s="14" t="s">
        <v>35</v>
      </c>
      <c r="C14" s="14" t="s">
        <v>79</v>
      </c>
      <c r="D14" s="14" t="s">
        <v>108</v>
      </c>
      <c r="E14" s="14" t="s">
        <v>109</v>
      </c>
      <c r="F14" s="15" t="str">
        <f aca="false">IF(I14="","",IF(IF(I14="","Add source ID",IF(NOT(SUMPRODUCT(--(SourceData[ID]=I14))=1),"Unknown or duplicate source",IF(INDEX(SourceData[Input check],MATCH(I14,SourceData[ID],0))&lt;&gt;"","Complete source record","")))&lt;&gt;"","Check source",IF(INDEX(SourceData[URL],MATCH(I14,SourceData[ID],0))="",I14&amp;IF(J14="",""," "&amp;J14),HYPERLINK(INDEX(SourceData[URL],MATCH(I14,SourceData[ID],0)),I14&amp;IF(J14="",""," "&amp;J14)))))</f>
        <v/>
      </c>
      <c r="G14" s="14" t="s">
        <v>110</v>
      </c>
      <c r="H14" s="16" t="str">
        <f aca="false">IF(NOT(OR(A14&lt;&gt;"",B14&lt;&gt;"",C14&lt;&gt;"",D14&lt;&gt;"",E14&lt;&gt;"",G14&lt;&gt;"",I14&lt;&gt;"",J14&lt;&gt;"")),"",IF(A14="","Add ID",IF(NOT(SUMPRODUCT(--(MatchData[ID]=A14))=1),"Duplicate ID",IF(IF(B14="","Add candidate ID",IF(NOT(SUMPRODUCT(--(CandidateData[ID]=B14))=1),"Unknown or duplicate candidate",""))&lt;&gt;"",IF(B14="","Add candidate ID",IF(NOT(SUMPRODUCT(--(CandidateData[ID]=B14))=1),"Unknown or duplicate candidate","")),IF(IF(C14="","Add need ID",IF(NOT(SUMPRODUCT(--(NeedData[ID]=C14))=1),"Unknown or duplicate need",IF(INDEX(NeedData[Input check],MATCH(C14,NeedData[ID],0))&lt;&gt;"","Complete teaming need","")))&lt;&gt;"",IF(C14="","Add need ID",IF(NOT(SUMPRODUCT(--(NeedData[ID]=C14))=1),"Unknown or duplicate need",IF(INDEX(NeedData[Input check],MATCH(C14,NeedData[ID],0))&lt;&gt;"","Complete teaming need",""))),IF(SUMPRODUCT(--(MatchData[Candidate ID]=B14),--(MatchData[Need ID]=C14))&lt;&gt;1,"Duplicate candidate/need",IF(NOT(OR(D14="Pass",D14="Fail",D14="Unresolved")),"Choose status",IF(OR(E14="",G14=""),"Add assessment and next step",IF(AND(D14&lt;&gt;"Unresolved",I14=""),"Add evidence source",IF(I14="","",IF(I14="","Add source ID",IF(NOT(SUMPRODUCT(--(SourceData[ID]=I14))=1),"Unknown or duplicate source",IF(INDEX(SourceData[Input check],MATCH(I14,SourceData[ID],0))&lt;&gt;"","Complete source record","")))))))))))))</f>
        <v/>
      </c>
      <c r="I14" s="14"/>
      <c r="J14" s="14"/>
      <c r="K14" s="16" t="str">
        <f aca="false">IF(C14="","",IF(IF(C14="","Add need ID",IF(NOT(SUMPRODUCT(--(NeedData[ID]=C14))=1),"Unknown or duplicate need",IF(INDEX(NeedData[Input check],MATCH(C14,NeedData[ID],0))&lt;&gt;"","Complete teaming need","")))&lt;&gt;"","",INDEX(NeedData[Priority],MATCH(C14,NeedData[ID],0))))</f>
        <v>Required</v>
      </c>
    </row>
    <row r="15" customFormat="false" ht="76" hidden="false" customHeight="true" outlineLevel="0" collapsed="false">
      <c r="A15" s="14" t="s">
        <v>120</v>
      </c>
      <c r="B15" s="14" t="s">
        <v>35</v>
      </c>
      <c r="C15" s="14" t="s">
        <v>84</v>
      </c>
      <c r="D15" s="14" t="s">
        <v>97</v>
      </c>
      <c r="E15" s="14" t="s">
        <v>114</v>
      </c>
      <c r="F15" s="15" t="str">
        <f aca="false">IF(I15="","",IF(IF(I15="","Add source ID",IF(NOT(SUMPRODUCT(--(SourceData[ID]=I15))=1),"Unknown or duplicate source",IF(INDEX(SourceData[Input check],MATCH(I15,SourceData[ID],0))&lt;&gt;"","Complete source record","")))&lt;&gt;"","Check source",IF(INDEX(SourceData[URL],MATCH(I15,SourceData[ID],0))="",I15&amp;IF(J15="",""," "&amp;J15),HYPERLINK(INDEX(SourceData[URL],MATCH(I15,SourceData[ID],0)),I15&amp;IF(J15="",""," "&amp;J15)))))</f>
        <v>T02 Abstract; supplemental information</v>
      </c>
      <c r="G15" s="14" t="s">
        <v>112</v>
      </c>
      <c r="H15" s="16" t="str">
        <f aca="false">IF(NOT(OR(A15&lt;&gt;"",B15&lt;&gt;"",C15&lt;&gt;"",D15&lt;&gt;"",E15&lt;&gt;"",G15&lt;&gt;"",I15&lt;&gt;"",J15&lt;&gt;"")),"",IF(A15="","Add ID",IF(NOT(SUMPRODUCT(--(MatchData[ID]=A15))=1),"Duplicate ID",IF(IF(B15="","Add candidate ID",IF(NOT(SUMPRODUCT(--(CandidateData[ID]=B15))=1),"Unknown or duplicate candidate",""))&lt;&gt;"",IF(B15="","Add candidate ID",IF(NOT(SUMPRODUCT(--(CandidateData[ID]=B15))=1),"Unknown or duplicate candidate","")),IF(IF(C15="","Add need ID",IF(NOT(SUMPRODUCT(--(NeedData[ID]=C15))=1),"Unknown or duplicate need",IF(INDEX(NeedData[Input check],MATCH(C15,NeedData[ID],0))&lt;&gt;"","Complete teaming need","")))&lt;&gt;"",IF(C15="","Add need ID",IF(NOT(SUMPRODUCT(--(NeedData[ID]=C15))=1),"Unknown or duplicate need",IF(INDEX(NeedData[Input check],MATCH(C15,NeedData[ID],0))&lt;&gt;"","Complete teaming need",""))),IF(SUMPRODUCT(--(MatchData[Candidate ID]=B15),--(MatchData[Need ID]=C15))&lt;&gt;1,"Duplicate candidate/need",IF(NOT(OR(D15="Pass",D15="Fail",D15="Unresolved")),"Choose status",IF(OR(E15="",G15=""),"Add assessment and next step",IF(AND(D15&lt;&gt;"Unresolved",I15=""),"Add evidence source",IF(I15="","",IF(I15="","Add source ID",IF(NOT(SUMPRODUCT(--(SourceData[ID]=I15))=1),"Unknown or duplicate source",IF(INDEX(SourceData[Input check],MATCH(I15,SourceData[ID],0))&lt;&gt;"","Complete source record","")))))))))))))</f>
        <v/>
      </c>
      <c r="I15" s="14" t="s">
        <v>115</v>
      </c>
      <c r="J15" s="14" t="s">
        <v>116</v>
      </c>
      <c r="K15" s="16" t="str">
        <f aca="false">IF(C15="","",IF(IF(C15="","Add need ID",IF(NOT(SUMPRODUCT(--(NeedData[ID]=C15))=1),"Unknown or duplicate need",IF(INDEX(NeedData[Input check],MATCH(C15,NeedData[ID],0))&lt;&gt;"","Complete teaming need","")))&lt;&gt;"","",INDEX(NeedData[Priority],MATCH(C15,NeedData[ID],0))))</f>
        <v>Required</v>
      </c>
    </row>
    <row r="16" customFormat="false" ht="76" hidden="false" customHeight="true" outlineLevel="0" collapsed="false">
      <c r="A16" s="14" t="s">
        <v>121</v>
      </c>
      <c r="B16" s="14" t="s">
        <v>41</v>
      </c>
      <c r="C16" s="14" t="s">
        <v>66</v>
      </c>
      <c r="D16" s="14" t="s">
        <v>108</v>
      </c>
      <c r="E16" s="14" t="s">
        <v>109</v>
      </c>
      <c r="F16" s="15" t="str">
        <f aca="false">IF(I16="","",IF(IF(I16="","Add source ID",IF(NOT(SUMPRODUCT(--(SourceData[ID]=I16))=1),"Unknown or duplicate source",IF(INDEX(SourceData[Input check],MATCH(I16,SourceData[ID],0))&lt;&gt;"","Complete source record","")))&lt;&gt;"","Check source",IF(INDEX(SourceData[URL],MATCH(I16,SourceData[ID],0))="",I16&amp;IF(J16="",""," "&amp;J16),HYPERLINK(INDEX(SourceData[URL],MATCH(I16,SourceData[ID],0)),I16&amp;IF(J16="",""," "&amp;J16)))))</f>
        <v/>
      </c>
      <c r="G16" s="14" t="s">
        <v>99</v>
      </c>
      <c r="H16" s="16" t="str">
        <f aca="false">IF(NOT(OR(A16&lt;&gt;"",B16&lt;&gt;"",C16&lt;&gt;"",D16&lt;&gt;"",E16&lt;&gt;"",G16&lt;&gt;"",I16&lt;&gt;"",J16&lt;&gt;"")),"",IF(A16="","Add ID",IF(NOT(SUMPRODUCT(--(MatchData[ID]=A16))=1),"Duplicate ID",IF(IF(B16="","Add candidate ID",IF(NOT(SUMPRODUCT(--(CandidateData[ID]=B16))=1),"Unknown or duplicate candidate",""))&lt;&gt;"",IF(B16="","Add candidate ID",IF(NOT(SUMPRODUCT(--(CandidateData[ID]=B16))=1),"Unknown or duplicate candidate","")),IF(IF(C16="","Add need ID",IF(NOT(SUMPRODUCT(--(NeedData[ID]=C16))=1),"Unknown or duplicate need",IF(INDEX(NeedData[Input check],MATCH(C16,NeedData[ID],0))&lt;&gt;"","Complete teaming need","")))&lt;&gt;"",IF(C16="","Add need ID",IF(NOT(SUMPRODUCT(--(NeedData[ID]=C16))=1),"Unknown or duplicate need",IF(INDEX(NeedData[Input check],MATCH(C16,NeedData[ID],0))&lt;&gt;"","Complete teaming need",""))),IF(SUMPRODUCT(--(MatchData[Candidate ID]=B16),--(MatchData[Need ID]=C16))&lt;&gt;1,"Duplicate candidate/need",IF(NOT(OR(D16="Pass",D16="Fail",D16="Unresolved")),"Choose status",IF(OR(E16="",G16=""),"Add assessment and next step",IF(AND(D16&lt;&gt;"Unresolved",I16=""),"Add evidence source",IF(I16="","",IF(I16="","Add source ID",IF(NOT(SUMPRODUCT(--(SourceData[ID]=I16))=1),"Unknown or duplicate source",IF(INDEX(SourceData[Input check],MATCH(I16,SourceData[ID],0))&lt;&gt;"","Complete source record","")))))))))))))</f>
        <v/>
      </c>
      <c r="I16" s="14"/>
      <c r="J16" s="14"/>
      <c r="K16" s="16" t="str">
        <f aca="false">IF(C16="","",IF(IF(C16="","Add need ID",IF(NOT(SUMPRODUCT(--(NeedData[ID]=C16))=1),"Unknown or duplicate need",IF(INDEX(NeedData[Input check],MATCH(C16,NeedData[ID],0))&lt;&gt;"","Complete teaming need","")))&lt;&gt;"","",INDEX(NeedData[Priority],MATCH(C16,NeedData[ID],0))))</f>
        <v>Required</v>
      </c>
    </row>
    <row r="17" customFormat="false" ht="76" hidden="false" customHeight="true" outlineLevel="0" collapsed="false">
      <c r="A17" s="14" t="s">
        <v>122</v>
      </c>
      <c r="B17" s="14" t="s">
        <v>41</v>
      </c>
      <c r="C17" s="14" t="s">
        <v>73</v>
      </c>
      <c r="D17" s="14" t="s">
        <v>97</v>
      </c>
      <c r="E17" s="14" t="s">
        <v>103</v>
      </c>
      <c r="F17" s="15" t="str">
        <f aca="false">IF(I17="","",IF(IF(I17="","Add source ID",IF(NOT(SUMPRODUCT(--(SourceData[ID]=I17))=1),"Unknown or duplicate source",IF(INDEX(SourceData[Input check],MATCH(I17,SourceData[ID],0))&lt;&gt;"","Complete source record","")))&lt;&gt;"","Check source",IF(INDEX(SourceData[URL],MATCH(I17,SourceData[ID],0))="",I17&amp;IF(J17="",""," "&amp;J17),HYPERLINK(INDEX(SourceData[URL],MATCH(I17,SourceData[ID],0)),I17&amp;IF(J17="",""," "&amp;J17)))))</f>
        <v>W03 Raw award description</v>
      </c>
      <c r="G17" s="14" t="s">
        <v>104</v>
      </c>
      <c r="H17" s="16" t="str">
        <f aca="false">IF(NOT(OR(A17&lt;&gt;"",B17&lt;&gt;"",C17&lt;&gt;"",D17&lt;&gt;"",E17&lt;&gt;"",G17&lt;&gt;"",I17&lt;&gt;"",J17&lt;&gt;"")),"",IF(A17="","Add ID",IF(NOT(SUMPRODUCT(--(MatchData[ID]=A17))=1),"Duplicate ID",IF(IF(B17="","Add candidate ID",IF(NOT(SUMPRODUCT(--(CandidateData[ID]=B17))=1),"Unknown or duplicate candidate",""))&lt;&gt;"",IF(B17="","Add candidate ID",IF(NOT(SUMPRODUCT(--(CandidateData[ID]=B17))=1),"Unknown or duplicate candidate","")),IF(IF(C17="","Add need ID",IF(NOT(SUMPRODUCT(--(NeedData[ID]=C17))=1),"Unknown or duplicate need",IF(INDEX(NeedData[Input check],MATCH(C17,NeedData[ID],0))&lt;&gt;"","Complete teaming need","")))&lt;&gt;"",IF(C17="","Add need ID",IF(NOT(SUMPRODUCT(--(NeedData[ID]=C17))=1),"Unknown or duplicate need",IF(INDEX(NeedData[Input check],MATCH(C17,NeedData[ID],0))&lt;&gt;"","Complete teaming need",""))),IF(SUMPRODUCT(--(MatchData[Candidate ID]=B17),--(MatchData[Need ID]=C17))&lt;&gt;1,"Duplicate candidate/need",IF(NOT(OR(D17="Pass",D17="Fail",D17="Unresolved")),"Choose status",IF(OR(E17="",G17=""),"Add assessment and next step",IF(AND(D17&lt;&gt;"Unresolved",I17=""),"Add evidence source",IF(I17="","",IF(I17="","Add source ID",IF(NOT(SUMPRODUCT(--(SourceData[ID]=I17))=1),"Unknown or duplicate source",IF(INDEX(SourceData[Input check],MATCH(I17,SourceData[ID],0))&lt;&gt;"","Complete source record","")))))))))))))</f>
        <v/>
      </c>
      <c r="I17" s="14" t="s">
        <v>123</v>
      </c>
      <c r="J17" s="14" t="s">
        <v>106</v>
      </c>
      <c r="K17" s="16" t="str">
        <f aca="false">IF(C17="","",IF(IF(C17="","Add need ID",IF(NOT(SUMPRODUCT(--(NeedData[ID]=C17))=1),"Unknown or duplicate need",IF(INDEX(NeedData[Input check],MATCH(C17,NeedData[ID],0))&lt;&gt;"","Complete teaming need","")))&lt;&gt;"","",INDEX(NeedData[Priority],MATCH(C17,NeedData[ID],0))))</f>
        <v>Required</v>
      </c>
    </row>
    <row r="18" customFormat="false" ht="76" hidden="false" customHeight="true" outlineLevel="0" collapsed="false">
      <c r="A18" s="14" t="s">
        <v>124</v>
      </c>
      <c r="B18" s="14" t="s">
        <v>41</v>
      </c>
      <c r="C18" s="14" t="s">
        <v>79</v>
      </c>
      <c r="D18" s="14" t="s">
        <v>108</v>
      </c>
      <c r="E18" s="14" t="s">
        <v>109</v>
      </c>
      <c r="F18" s="15" t="str">
        <f aca="false">IF(I18="","",IF(IF(I18="","Add source ID",IF(NOT(SUMPRODUCT(--(SourceData[ID]=I18))=1),"Unknown or duplicate source",IF(INDEX(SourceData[Input check],MATCH(I18,SourceData[ID],0))&lt;&gt;"","Complete source record","")))&lt;&gt;"","Check source",IF(INDEX(SourceData[URL],MATCH(I18,SourceData[ID],0))="",I18&amp;IF(J18="",""," "&amp;J18),HYPERLINK(INDEX(SourceData[URL],MATCH(I18,SourceData[ID],0)),I18&amp;IF(J18="",""," "&amp;J18)))))</f>
        <v/>
      </c>
      <c r="G18" s="14" t="s">
        <v>110</v>
      </c>
      <c r="H18" s="16" t="str">
        <f aca="false">IF(NOT(OR(A18&lt;&gt;"",B18&lt;&gt;"",C18&lt;&gt;"",D18&lt;&gt;"",E18&lt;&gt;"",G18&lt;&gt;"",I18&lt;&gt;"",J18&lt;&gt;"")),"",IF(A18="","Add ID",IF(NOT(SUMPRODUCT(--(MatchData[ID]=A18))=1),"Duplicate ID",IF(IF(B18="","Add candidate ID",IF(NOT(SUMPRODUCT(--(CandidateData[ID]=B18))=1),"Unknown or duplicate candidate",""))&lt;&gt;"",IF(B18="","Add candidate ID",IF(NOT(SUMPRODUCT(--(CandidateData[ID]=B18))=1),"Unknown or duplicate candidate","")),IF(IF(C18="","Add need ID",IF(NOT(SUMPRODUCT(--(NeedData[ID]=C18))=1),"Unknown or duplicate need",IF(INDEX(NeedData[Input check],MATCH(C18,NeedData[ID],0))&lt;&gt;"","Complete teaming need","")))&lt;&gt;"",IF(C18="","Add need ID",IF(NOT(SUMPRODUCT(--(NeedData[ID]=C18))=1),"Unknown or duplicate need",IF(INDEX(NeedData[Input check],MATCH(C18,NeedData[ID],0))&lt;&gt;"","Complete teaming need",""))),IF(SUMPRODUCT(--(MatchData[Candidate ID]=B18),--(MatchData[Need ID]=C18))&lt;&gt;1,"Duplicate candidate/need",IF(NOT(OR(D18="Pass",D18="Fail",D18="Unresolved")),"Choose status",IF(OR(E18="",G18=""),"Add assessment and next step",IF(AND(D18&lt;&gt;"Unresolved",I18=""),"Add evidence source",IF(I18="","",IF(I18="","Add source ID",IF(NOT(SUMPRODUCT(--(SourceData[ID]=I18))=1),"Unknown or duplicate source",IF(INDEX(SourceData[Input check],MATCH(I18,SourceData[ID],0))&lt;&gt;"","Complete source record","")))))))))))))</f>
        <v/>
      </c>
      <c r="I18" s="14"/>
      <c r="J18" s="14"/>
      <c r="K18" s="16" t="str">
        <f aca="false">IF(C18="","",IF(IF(C18="","Add need ID",IF(NOT(SUMPRODUCT(--(NeedData[ID]=C18))=1),"Unknown or duplicate need",IF(INDEX(NeedData[Input check],MATCH(C18,NeedData[ID],0))&lt;&gt;"","Complete teaming need","")))&lt;&gt;"","",INDEX(NeedData[Priority],MATCH(C18,NeedData[ID],0))))</f>
        <v>Required</v>
      </c>
    </row>
    <row r="19" customFormat="false" ht="76" hidden="false" customHeight="true" outlineLevel="0" collapsed="false">
      <c r="A19" s="14" t="s">
        <v>125</v>
      </c>
      <c r="B19" s="14" t="s">
        <v>41</v>
      </c>
      <c r="C19" s="14" t="s">
        <v>84</v>
      </c>
      <c r="D19" s="14" t="s">
        <v>108</v>
      </c>
      <c r="E19" s="14" t="s">
        <v>109</v>
      </c>
      <c r="F19" s="15" t="str">
        <f aca="false">IF(I19="","",IF(IF(I19="","Add source ID",IF(NOT(SUMPRODUCT(--(SourceData[ID]=I19))=1),"Unknown or duplicate source",IF(INDEX(SourceData[Input check],MATCH(I19,SourceData[ID],0))&lt;&gt;"","Complete source record","")))&lt;&gt;"","Check source",IF(INDEX(SourceData[URL],MATCH(I19,SourceData[ID],0))="",I19&amp;IF(J19="",""," "&amp;J19),HYPERLINK(INDEX(SourceData[URL],MATCH(I19,SourceData[ID],0)),I19&amp;IF(J19="",""," "&amp;J19)))))</f>
        <v/>
      </c>
      <c r="G19" s="14" t="s">
        <v>112</v>
      </c>
      <c r="H19" s="16" t="str">
        <f aca="false">IF(NOT(OR(A19&lt;&gt;"",B19&lt;&gt;"",C19&lt;&gt;"",D19&lt;&gt;"",E19&lt;&gt;"",G19&lt;&gt;"",I19&lt;&gt;"",J19&lt;&gt;"")),"",IF(A19="","Add ID",IF(NOT(SUMPRODUCT(--(MatchData[ID]=A19))=1),"Duplicate ID",IF(IF(B19="","Add candidate ID",IF(NOT(SUMPRODUCT(--(CandidateData[ID]=B19))=1),"Unknown or duplicate candidate",""))&lt;&gt;"",IF(B19="","Add candidate ID",IF(NOT(SUMPRODUCT(--(CandidateData[ID]=B19))=1),"Unknown or duplicate candidate","")),IF(IF(C19="","Add need ID",IF(NOT(SUMPRODUCT(--(NeedData[ID]=C19))=1),"Unknown or duplicate need",IF(INDEX(NeedData[Input check],MATCH(C19,NeedData[ID],0))&lt;&gt;"","Complete teaming need","")))&lt;&gt;"",IF(C19="","Add need ID",IF(NOT(SUMPRODUCT(--(NeedData[ID]=C19))=1),"Unknown or duplicate need",IF(INDEX(NeedData[Input check],MATCH(C19,NeedData[ID],0))&lt;&gt;"","Complete teaming need",""))),IF(SUMPRODUCT(--(MatchData[Candidate ID]=B19),--(MatchData[Need ID]=C19))&lt;&gt;1,"Duplicate candidate/need",IF(NOT(OR(D19="Pass",D19="Fail",D19="Unresolved")),"Choose status",IF(OR(E19="",G19=""),"Add assessment and next step",IF(AND(D19&lt;&gt;"Unresolved",I19=""),"Add evidence source",IF(I19="","",IF(I19="","Add source ID",IF(NOT(SUMPRODUCT(--(SourceData[ID]=I19))=1),"Unknown or duplicate source",IF(INDEX(SourceData[Input check],MATCH(I19,SourceData[ID],0))&lt;&gt;"","Complete source record","")))))))))))))</f>
        <v/>
      </c>
      <c r="I19" s="14"/>
      <c r="J19" s="14"/>
      <c r="K19" s="16" t="str">
        <f aca="false">IF(C19="","",IF(IF(C19="","Add need ID",IF(NOT(SUMPRODUCT(--(NeedData[ID]=C19))=1),"Unknown or duplicate need",IF(INDEX(NeedData[Input check],MATCH(C19,NeedData[ID],0))&lt;&gt;"","Complete teaming need","")))&lt;&gt;"","",INDEX(NeedData[Priority],MATCH(C19,NeedData[ID],0))))</f>
        <v>Required</v>
      </c>
    </row>
    <row r="20" customFormat="false" ht="76" hidden="false" customHeight="true" outlineLevel="0" collapsed="false">
      <c r="A20" s="14" t="s">
        <v>126</v>
      </c>
      <c r="B20" s="14" t="s">
        <v>48</v>
      </c>
      <c r="C20" s="14" t="s">
        <v>66</v>
      </c>
      <c r="D20" s="14" t="s">
        <v>108</v>
      </c>
      <c r="E20" s="14" t="s">
        <v>109</v>
      </c>
      <c r="F20" s="15" t="str">
        <f aca="false">IF(I20="","",IF(IF(I20="","Add source ID",IF(NOT(SUMPRODUCT(--(SourceData[ID]=I20))=1),"Unknown or duplicate source",IF(INDEX(SourceData[Input check],MATCH(I20,SourceData[ID],0))&lt;&gt;"","Complete source record","")))&lt;&gt;"","Check source",IF(INDEX(SourceData[URL],MATCH(I20,SourceData[ID],0))="",I20&amp;IF(J20="",""," "&amp;J20),HYPERLINK(INDEX(SourceData[URL],MATCH(I20,SourceData[ID],0)),I20&amp;IF(J20="",""," "&amp;J20)))))</f>
        <v/>
      </c>
      <c r="G20" s="14" t="s">
        <v>99</v>
      </c>
      <c r="H20" s="16" t="str">
        <f aca="false">IF(NOT(OR(A20&lt;&gt;"",B20&lt;&gt;"",C20&lt;&gt;"",D20&lt;&gt;"",E20&lt;&gt;"",G20&lt;&gt;"",I20&lt;&gt;"",J20&lt;&gt;"")),"",IF(A20="","Add ID",IF(NOT(SUMPRODUCT(--(MatchData[ID]=A20))=1),"Duplicate ID",IF(IF(B20="","Add candidate ID",IF(NOT(SUMPRODUCT(--(CandidateData[ID]=B20))=1),"Unknown or duplicate candidate",""))&lt;&gt;"",IF(B20="","Add candidate ID",IF(NOT(SUMPRODUCT(--(CandidateData[ID]=B20))=1),"Unknown or duplicate candidate","")),IF(IF(C20="","Add need ID",IF(NOT(SUMPRODUCT(--(NeedData[ID]=C20))=1),"Unknown or duplicate need",IF(INDEX(NeedData[Input check],MATCH(C20,NeedData[ID],0))&lt;&gt;"","Complete teaming need","")))&lt;&gt;"",IF(C20="","Add need ID",IF(NOT(SUMPRODUCT(--(NeedData[ID]=C20))=1),"Unknown or duplicate need",IF(INDEX(NeedData[Input check],MATCH(C20,NeedData[ID],0))&lt;&gt;"","Complete teaming need",""))),IF(SUMPRODUCT(--(MatchData[Candidate ID]=B20),--(MatchData[Need ID]=C20))&lt;&gt;1,"Duplicate candidate/need",IF(NOT(OR(D20="Pass",D20="Fail",D20="Unresolved")),"Choose status",IF(OR(E20="",G20=""),"Add assessment and next step",IF(AND(D20&lt;&gt;"Unresolved",I20=""),"Add evidence source",IF(I20="","",IF(I20="","Add source ID",IF(NOT(SUMPRODUCT(--(SourceData[ID]=I20))=1),"Unknown or duplicate source",IF(INDEX(SourceData[Input check],MATCH(I20,SourceData[ID],0))&lt;&gt;"","Complete source record","")))))))))))))</f>
        <v/>
      </c>
      <c r="I20" s="14"/>
      <c r="J20" s="14"/>
      <c r="K20" s="16" t="str">
        <f aca="false">IF(C20="","",IF(IF(C20="","Add need ID",IF(NOT(SUMPRODUCT(--(NeedData[ID]=C20))=1),"Unknown or duplicate need",IF(INDEX(NeedData[Input check],MATCH(C20,NeedData[ID],0))&lt;&gt;"","Complete teaming need","")))&lt;&gt;"","",INDEX(NeedData[Priority],MATCH(C20,NeedData[ID],0))))</f>
        <v>Required</v>
      </c>
    </row>
    <row r="21" customFormat="false" ht="76" hidden="false" customHeight="true" outlineLevel="0" collapsed="false">
      <c r="A21" s="14" t="s">
        <v>127</v>
      </c>
      <c r="B21" s="14" t="s">
        <v>48</v>
      </c>
      <c r="C21" s="14" t="s">
        <v>73</v>
      </c>
      <c r="D21" s="14" t="s">
        <v>97</v>
      </c>
      <c r="E21" s="14" t="s">
        <v>103</v>
      </c>
      <c r="F21" s="15" t="str">
        <f aca="false">IF(I21="","",IF(IF(I21="","Add source ID",IF(NOT(SUMPRODUCT(--(SourceData[ID]=I21))=1),"Unknown or duplicate source",IF(INDEX(SourceData[Input check],MATCH(I21,SourceData[ID],0))&lt;&gt;"","Complete source record","")))&lt;&gt;"","Check source",IF(INDEX(SourceData[URL],MATCH(I21,SourceData[ID],0))="",I21&amp;IF(J21="",""," "&amp;J21),HYPERLINK(INDEX(SourceData[URL],MATCH(I21,SourceData[ID],0)),I21&amp;IF(J21="",""," "&amp;J21)))))</f>
        <v>W04 Raw award description</v>
      </c>
      <c r="G21" s="14" t="s">
        <v>104</v>
      </c>
      <c r="H21" s="16" t="str">
        <f aca="false">IF(NOT(OR(A21&lt;&gt;"",B21&lt;&gt;"",C21&lt;&gt;"",D21&lt;&gt;"",E21&lt;&gt;"",G21&lt;&gt;"",I21&lt;&gt;"",J21&lt;&gt;"")),"",IF(A21="","Add ID",IF(NOT(SUMPRODUCT(--(MatchData[ID]=A21))=1),"Duplicate ID",IF(IF(B21="","Add candidate ID",IF(NOT(SUMPRODUCT(--(CandidateData[ID]=B21))=1),"Unknown or duplicate candidate",""))&lt;&gt;"",IF(B21="","Add candidate ID",IF(NOT(SUMPRODUCT(--(CandidateData[ID]=B21))=1),"Unknown or duplicate candidate","")),IF(IF(C21="","Add need ID",IF(NOT(SUMPRODUCT(--(NeedData[ID]=C21))=1),"Unknown or duplicate need",IF(INDEX(NeedData[Input check],MATCH(C21,NeedData[ID],0))&lt;&gt;"","Complete teaming need","")))&lt;&gt;"",IF(C21="","Add need ID",IF(NOT(SUMPRODUCT(--(NeedData[ID]=C21))=1),"Unknown or duplicate need",IF(INDEX(NeedData[Input check],MATCH(C21,NeedData[ID],0))&lt;&gt;"","Complete teaming need",""))),IF(SUMPRODUCT(--(MatchData[Candidate ID]=B21),--(MatchData[Need ID]=C21))&lt;&gt;1,"Duplicate candidate/need",IF(NOT(OR(D21="Pass",D21="Fail",D21="Unresolved")),"Choose status",IF(OR(E21="",G21=""),"Add assessment and next step",IF(AND(D21&lt;&gt;"Unresolved",I21=""),"Add evidence source",IF(I21="","",IF(I21="","Add source ID",IF(NOT(SUMPRODUCT(--(SourceData[ID]=I21))=1),"Unknown or duplicate source",IF(INDEX(SourceData[Input check],MATCH(I21,SourceData[ID],0))&lt;&gt;"","Complete source record","")))))))))))))</f>
        <v/>
      </c>
      <c r="I21" s="14" t="s">
        <v>128</v>
      </c>
      <c r="J21" s="14" t="s">
        <v>106</v>
      </c>
      <c r="K21" s="16" t="str">
        <f aca="false">IF(C21="","",IF(IF(C21="","Add need ID",IF(NOT(SUMPRODUCT(--(NeedData[ID]=C21))=1),"Unknown or duplicate need",IF(INDEX(NeedData[Input check],MATCH(C21,NeedData[ID],0))&lt;&gt;"","Complete teaming need","")))&lt;&gt;"","",INDEX(NeedData[Priority],MATCH(C21,NeedData[ID],0))))</f>
        <v>Required</v>
      </c>
    </row>
    <row r="22" customFormat="false" ht="76" hidden="false" customHeight="true" outlineLevel="0" collapsed="false">
      <c r="A22" s="14" t="s">
        <v>129</v>
      </c>
      <c r="B22" s="14" t="s">
        <v>48</v>
      </c>
      <c r="C22" s="14" t="s">
        <v>79</v>
      </c>
      <c r="D22" s="14" t="s">
        <v>108</v>
      </c>
      <c r="E22" s="14" t="s">
        <v>109</v>
      </c>
      <c r="F22" s="15" t="str">
        <f aca="false">IF(I22="","",IF(IF(I22="","Add source ID",IF(NOT(SUMPRODUCT(--(SourceData[ID]=I22))=1),"Unknown or duplicate source",IF(INDEX(SourceData[Input check],MATCH(I22,SourceData[ID],0))&lt;&gt;"","Complete source record","")))&lt;&gt;"","Check source",IF(INDEX(SourceData[URL],MATCH(I22,SourceData[ID],0))="",I22&amp;IF(J22="",""," "&amp;J22),HYPERLINK(INDEX(SourceData[URL],MATCH(I22,SourceData[ID],0)),I22&amp;IF(J22="",""," "&amp;J22)))))</f>
        <v/>
      </c>
      <c r="G22" s="14" t="s">
        <v>110</v>
      </c>
      <c r="H22" s="16" t="str">
        <f aca="false">IF(NOT(OR(A22&lt;&gt;"",B22&lt;&gt;"",C22&lt;&gt;"",D22&lt;&gt;"",E22&lt;&gt;"",G22&lt;&gt;"",I22&lt;&gt;"",J22&lt;&gt;"")),"",IF(A22="","Add ID",IF(NOT(SUMPRODUCT(--(MatchData[ID]=A22))=1),"Duplicate ID",IF(IF(B22="","Add candidate ID",IF(NOT(SUMPRODUCT(--(CandidateData[ID]=B22))=1),"Unknown or duplicate candidate",""))&lt;&gt;"",IF(B22="","Add candidate ID",IF(NOT(SUMPRODUCT(--(CandidateData[ID]=B22))=1),"Unknown or duplicate candidate","")),IF(IF(C22="","Add need ID",IF(NOT(SUMPRODUCT(--(NeedData[ID]=C22))=1),"Unknown or duplicate need",IF(INDEX(NeedData[Input check],MATCH(C22,NeedData[ID],0))&lt;&gt;"","Complete teaming need","")))&lt;&gt;"",IF(C22="","Add need ID",IF(NOT(SUMPRODUCT(--(NeedData[ID]=C22))=1),"Unknown or duplicate need",IF(INDEX(NeedData[Input check],MATCH(C22,NeedData[ID],0))&lt;&gt;"","Complete teaming need",""))),IF(SUMPRODUCT(--(MatchData[Candidate ID]=B22),--(MatchData[Need ID]=C22))&lt;&gt;1,"Duplicate candidate/need",IF(NOT(OR(D22="Pass",D22="Fail",D22="Unresolved")),"Choose status",IF(OR(E22="",G22=""),"Add assessment and next step",IF(AND(D22&lt;&gt;"Unresolved",I22=""),"Add evidence source",IF(I22="","",IF(I22="","Add source ID",IF(NOT(SUMPRODUCT(--(SourceData[ID]=I22))=1),"Unknown or duplicate source",IF(INDEX(SourceData[Input check],MATCH(I22,SourceData[ID],0))&lt;&gt;"","Complete source record","")))))))))))))</f>
        <v/>
      </c>
      <c r="I22" s="14"/>
      <c r="J22" s="14"/>
      <c r="K22" s="16" t="str">
        <f aca="false">IF(C22="","",IF(IF(C22="","Add need ID",IF(NOT(SUMPRODUCT(--(NeedData[ID]=C22))=1),"Unknown or duplicate need",IF(INDEX(NeedData[Input check],MATCH(C22,NeedData[ID],0))&lt;&gt;"","Complete teaming need","")))&lt;&gt;"","",INDEX(NeedData[Priority],MATCH(C22,NeedData[ID],0))))</f>
        <v>Required</v>
      </c>
    </row>
    <row r="23" customFormat="false" ht="76" hidden="false" customHeight="true" outlineLevel="0" collapsed="false">
      <c r="A23" s="14" t="s">
        <v>130</v>
      </c>
      <c r="B23" s="14" t="s">
        <v>48</v>
      </c>
      <c r="C23" s="14" t="s">
        <v>84</v>
      </c>
      <c r="D23" s="14" t="s">
        <v>108</v>
      </c>
      <c r="E23" s="14" t="s">
        <v>109</v>
      </c>
      <c r="F23" s="15" t="str">
        <f aca="false">IF(I23="","",IF(IF(I23="","Add source ID",IF(NOT(SUMPRODUCT(--(SourceData[ID]=I23))=1),"Unknown or duplicate source",IF(INDEX(SourceData[Input check],MATCH(I23,SourceData[ID],0))&lt;&gt;"","Complete source record","")))&lt;&gt;"","Check source",IF(INDEX(SourceData[URL],MATCH(I23,SourceData[ID],0))="",I23&amp;IF(J23="",""," "&amp;J23),HYPERLINK(INDEX(SourceData[URL],MATCH(I23,SourceData[ID],0)),I23&amp;IF(J23="",""," "&amp;J23)))))</f>
        <v/>
      </c>
      <c r="G23" s="14" t="s">
        <v>112</v>
      </c>
      <c r="H23" s="16" t="str">
        <f aca="false">IF(NOT(OR(A23&lt;&gt;"",B23&lt;&gt;"",C23&lt;&gt;"",D23&lt;&gt;"",E23&lt;&gt;"",G23&lt;&gt;"",I23&lt;&gt;"",J23&lt;&gt;"")),"",IF(A23="","Add ID",IF(NOT(SUMPRODUCT(--(MatchData[ID]=A23))=1),"Duplicate ID",IF(IF(B23="","Add candidate ID",IF(NOT(SUMPRODUCT(--(CandidateData[ID]=B23))=1),"Unknown or duplicate candidate",""))&lt;&gt;"",IF(B23="","Add candidate ID",IF(NOT(SUMPRODUCT(--(CandidateData[ID]=B23))=1),"Unknown or duplicate candidate","")),IF(IF(C23="","Add need ID",IF(NOT(SUMPRODUCT(--(NeedData[ID]=C23))=1),"Unknown or duplicate need",IF(INDEX(NeedData[Input check],MATCH(C23,NeedData[ID],0))&lt;&gt;"","Complete teaming need","")))&lt;&gt;"",IF(C23="","Add need ID",IF(NOT(SUMPRODUCT(--(NeedData[ID]=C23))=1),"Unknown or duplicate need",IF(INDEX(NeedData[Input check],MATCH(C23,NeedData[ID],0))&lt;&gt;"","Complete teaming need",""))),IF(SUMPRODUCT(--(MatchData[Candidate ID]=B23),--(MatchData[Need ID]=C23))&lt;&gt;1,"Duplicate candidate/need",IF(NOT(OR(D23="Pass",D23="Fail",D23="Unresolved")),"Choose status",IF(OR(E23="",G23=""),"Add assessment and next step",IF(AND(D23&lt;&gt;"Unresolved",I23=""),"Add evidence source",IF(I23="","",IF(I23="","Add source ID",IF(NOT(SUMPRODUCT(--(SourceData[ID]=I23))=1),"Unknown or duplicate source",IF(INDEX(SourceData[Input check],MATCH(I23,SourceData[ID],0))&lt;&gt;"","Complete source record","")))))))))))))</f>
        <v/>
      </c>
      <c r="I23" s="14"/>
      <c r="J23" s="14"/>
      <c r="K23" s="16" t="str">
        <f aca="false">IF(C23="","",IF(IF(C23="","Add need ID",IF(NOT(SUMPRODUCT(--(NeedData[ID]=C23))=1),"Unknown or duplicate need",IF(INDEX(NeedData[Input check],MATCH(C23,NeedData[ID],0))&lt;&gt;"","Complete teaming need","")))&lt;&gt;"","",INDEX(NeedData[Priority],MATCH(C23,NeedData[ID],0))))</f>
        <v>Required</v>
      </c>
    </row>
    <row r="24" customFormat="false" ht="26" hidden="false" customHeight="true" outlineLevel="0" collapsed="false">
      <c r="A24" s="14"/>
      <c r="B24" s="14"/>
      <c r="C24" s="14"/>
      <c r="D24" s="14"/>
      <c r="E24" s="14"/>
      <c r="F24" s="15" t="str">
        <f aca="false">IF(I24="","",IF(IF(I24="","Add source ID",IF(NOT(SUMPRODUCT(--(SourceData[ID]=I24))=1),"Unknown or duplicate source",IF(INDEX(SourceData[Input check],MATCH(I24,SourceData[ID],0))&lt;&gt;"","Complete source record","")))&lt;&gt;"","Check source",IF(INDEX(SourceData[URL],MATCH(I24,SourceData[ID],0))="",I24&amp;IF(J24="",""," "&amp;J24),HYPERLINK(INDEX(SourceData[URL],MATCH(I24,SourceData[ID],0)),I24&amp;IF(J24="",""," "&amp;J24)))))</f>
        <v/>
      </c>
      <c r="G24" s="14"/>
      <c r="H24" s="16" t="str">
        <f aca="false">IF(NOT(OR(A24&lt;&gt;"",B24&lt;&gt;"",C24&lt;&gt;"",D24&lt;&gt;"",E24&lt;&gt;"",G24&lt;&gt;"",I24&lt;&gt;"",J24&lt;&gt;"")),"",IF(A24="","Add ID",IF(NOT(SUMPRODUCT(--(MatchData[ID]=A24))=1),"Duplicate ID",IF(IF(B24="","Add candidate ID",IF(NOT(SUMPRODUCT(--(CandidateData[ID]=B24))=1),"Unknown or duplicate candidate",""))&lt;&gt;"",IF(B24="","Add candidate ID",IF(NOT(SUMPRODUCT(--(CandidateData[ID]=B24))=1),"Unknown or duplicate candidate","")),IF(IF(C24="","Add need ID",IF(NOT(SUMPRODUCT(--(NeedData[ID]=C24))=1),"Unknown or duplicate need",IF(INDEX(NeedData[Input check],MATCH(C24,NeedData[ID],0))&lt;&gt;"","Complete teaming need","")))&lt;&gt;"",IF(C24="","Add need ID",IF(NOT(SUMPRODUCT(--(NeedData[ID]=C24))=1),"Unknown or duplicate need",IF(INDEX(NeedData[Input check],MATCH(C24,NeedData[ID],0))&lt;&gt;"","Complete teaming need",""))),IF(SUMPRODUCT(--(MatchData[Candidate ID]=B24),--(MatchData[Need ID]=C24))&lt;&gt;1,"Duplicate candidate/need",IF(NOT(OR(D24="Pass",D24="Fail",D24="Unresolved")),"Choose status",IF(OR(E24="",G24=""),"Add assessment and next step",IF(AND(D24&lt;&gt;"Unresolved",I24=""),"Add evidence source",IF(I24="","",IF(I24="","Add source ID",IF(NOT(SUMPRODUCT(--(SourceData[ID]=I24))=1),"Unknown or duplicate source",IF(INDEX(SourceData[Input check],MATCH(I24,SourceData[ID],0))&lt;&gt;"","Complete source record","")))))))))))))</f>
        <v/>
      </c>
      <c r="I24" s="14"/>
      <c r="J24" s="14"/>
      <c r="K24" s="16" t="str">
        <f aca="false">IF(C24="","",IF(IF(C24="","Add need ID",IF(NOT(SUMPRODUCT(--(NeedData[ID]=C24))=1),"Unknown or duplicate need",IF(INDEX(NeedData[Input check],MATCH(C24,NeedData[ID],0))&lt;&gt;"","Complete teaming need","")))&lt;&gt;"","",INDEX(NeedData[Priority],MATCH(C24,NeedData[ID],0))))</f>
        <v/>
      </c>
    </row>
    <row r="25" customFormat="false" ht="26" hidden="false" customHeight="true" outlineLevel="0" collapsed="false">
      <c r="A25" s="14"/>
      <c r="B25" s="14"/>
      <c r="C25" s="14"/>
      <c r="D25" s="14"/>
      <c r="E25" s="14"/>
      <c r="F25" s="15" t="str">
        <f aca="false">IF(I25="","",IF(IF(I25="","Add source ID",IF(NOT(SUMPRODUCT(--(SourceData[ID]=I25))=1),"Unknown or duplicate source",IF(INDEX(SourceData[Input check],MATCH(I25,SourceData[ID],0))&lt;&gt;"","Complete source record","")))&lt;&gt;"","Check source",IF(INDEX(SourceData[URL],MATCH(I25,SourceData[ID],0))="",I25&amp;IF(J25="",""," "&amp;J25),HYPERLINK(INDEX(SourceData[URL],MATCH(I25,SourceData[ID],0)),I25&amp;IF(J25="",""," "&amp;J25)))))</f>
        <v/>
      </c>
      <c r="G25" s="14"/>
      <c r="H25" s="16" t="str">
        <f aca="false">IF(NOT(OR(A25&lt;&gt;"",B25&lt;&gt;"",C25&lt;&gt;"",D25&lt;&gt;"",E25&lt;&gt;"",G25&lt;&gt;"",I25&lt;&gt;"",J25&lt;&gt;"")),"",IF(A25="","Add ID",IF(NOT(SUMPRODUCT(--(MatchData[ID]=A25))=1),"Duplicate ID",IF(IF(B25="","Add candidate ID",IF(NOT(SUMPRODUCT(--(CandidateData[ID]=B25))=1),"Unknown or duplicate candidate",""))&lt;&gt;"",IF(B25="","Add candidate ID",IF(NOT(SUMPRODUCT(--(CandidateData[ID]=B25))=1),"Unknown or duplicate candidate","")),IF(IF(C25="","Add need ID",IF(NOT(SUMPRODUCT(--(NeedData[ID]=C25))=1),"Unknown or duplicate need",IF(INDEX(NeedData[Input check],MATCH(C25,NeedData[ID],0))&lt;&gt;"","Complete teaming need","")))&lt;&gt;"",IF(C25="","Add need ID",IF(NOT(SUMPRODUCT(--(NeedData[ID]=C25))=1),"Unknown or duplicate need",IF(INDEX(NeedData[Input check],MATCH(C25,NeedData[ID],0))&lt;&gt;"","Complete teaming need",""))),IF(SUMPRODUCT(--(MatchData[Candidate ID]=B25),--(MatchData[Need ID]=C25))&lt;&gt;1,"Duplicate candidate/need",IF(NOT(OR(D25="Pass",D25="Fail",D25="Unresolved")),"Choose status",IF(OR(E25="",G25=""),"Add assessment and next step",IF(AND(D25&lt;&gt;"Unresolved",I25=""),"Add evidence source",IF(I25="","",IF(I25="","Add source ID",IF(NOT(SUMPRODUCT(--(SourceData[ID]=I25))=1),"Unknown or duplicate source",IF(INDEX(SourceData[Input check],MATCH(I25,SourceData[ID],0))&lt;&gt;"","Complete source record","")))))))))))))</f>
        <v/>
      </c>
      <c r="I25" s="14"/>
      <c r="J25" s="14"/>
      <c r="K25" s="16" t="str">
        <f aca="false">IF(C25="","",IF(IF(C25="","Add need ID",IF(NOT(SUMPRODUCT(--(NeedData[ID]=C25))=1),"Unknown or duplicate need",IF(INDEX(NeedData[Input check],MATCH(C25,NeedData[ID],0))&lt;&gt;"","Complete teaming need","")))&lt;&gt;"","",INDEX(NeedData[Priority],MATCH(C25,NeedData[ID],0))))</f>
        <v/>
      </c>
    </row>
    <row r="26" customFormat="false" ht="26" hidden="false" customHeight="true" outlineLevel="0" collapsed="false">
      <c r="A26" s="14"/>
      <c r="B26" s="14"/>
      <c r="C26" s="14"/>
      <c r="D26" s="14"/>
      <c r="E26" s="14"/>
      <c r="F26" s="15" t="str">
        <f aca="false">IF(I26="","",IF(IF(I26="","Add source ID",IF(NOT(SUMPRODUCT(--(SourceData[ID]=I26))=1),"Unknown or duplicate source",IF(INDEX(SourceData[Input check],MATCH(I26,SourceData[ID],0))&lt;&gt;"","Complete source record","")))&lt;&gt;"","Check source",IF(INDEX(SourceData[URL],MATCH(I26,SourceData[ID],0))="",I26&amp;IF(J26="",""," "&amp;J26),HYPERLINK(INDEX(SourceData[URL],MATCH(I26,SourceData[ID],0)),I26&amp;IF(J26="",""," "&amp;J26)))))</f>
        <v/>
      </c>
      <c r="G26" s="14"/>
      <c r="H26" s="16" t="str">
        <f aca="false">IF(NOT(OR(A26&lt;&gt;"",B26&lt;&gt;"",C26&lt;&gt;"",D26&lt;&gt;"",E26&lt;&gt;"",G26&lt;&gt;"",I26&lt;&gt;"",J26&lt;&gt;"")),"",IF(A26="","Add ID",IF(NOT(SUMPRODUCT(--(MatchData[ID]=A26))=1),"Duplicate ID",IF(IF(B26="","Add candidate ID",IF(NOT(SUMPRODUCT(--(CandidateData[ID]=B26))=1),"Unknown or duplicate candidate",""))&lt;&gt;"",IF(B26="","Add candidate ID",IF(NOT(SUMPRODUCT(--(CandidateData[ID]=B26))=1),"Unknown or duplicate candidate","")),IF(IF(C26="","Add need ID",IF(NOT(SUMPRODUCT(--(NeedData[ID]=C26))=1),"Unknown or duplicate need",IF(INDEX(NeedData[Input check],MATCH(C26,NeedData[ID],0))&lt;&gt;"","Complete teaming need","")))&lt;&gt;"",IF(C26="","Add need ID",IF(NOT(SUMPRODUCT(--(NeedData[ID]=C26))=1),"Unknown or duplicate need",IF(INDEX(NeedData[Input check],MATCH(C26,NeedData[ID],0))&lt;&gt;"","Complete teaming need",""))),IF(SUMPRODUCT(--(MatchData[Candidate ID]=B26),--(MatchData[Need ID]=C26))&lt;&gt;1,"Duplicate candidate/need",IF(NOT(OR(D26="Pass",D26="Fail",D26="Unresolved")),"Choose status",IF(OR(E26="",G26=""),"Add assessment and next step",IF(AND(D26&lt;&gt;"Unresolved",I26=""),"Add evidence source",IF(I26="","",IF(I26="","Add source ID",IF(NOT(SUMPRODUCT(--(SourceData[ID]=I26))=1),"Unknown or duplicate source",IF(INDEX(SourceData[Input check],MATCH(I26,SourceData[ID],0))&lt;&gt;"","Complete source record","")))))))))))))</f>
        <v/>
      </c>
      <c r="I26" s="14"/>
      <c r="J26" s="14"/>
      <c r="K26" s="16" t="str">
        <f aca="false">IF(C26="","",IF(IF(C26="","Add need ID",IF(NOT(SUMPRODUCT(--(NeedData[ID]=C26))=1),"Unknown or duplicate need",IF(INDEX(NeedData[Input check],MATCH(C26,NeedData[ID],0))&lt;&gt;"","Complete teaming need","")))&lt;&gt;"","",INDEX(NeedData[Priority],MATCH(C26,NeedData[ID],0))))</f>
        <v/>
      </c>
    </row>
    <row r="27" customFormat="false" ht="26" hidden="false" customHeight="true" outlineLevel="0" collapsed="false">
      <c r="A27" s="17"/>
      <c r="B27" s="17"/>
      <c r="C27" s="17"/>
      <c r="D27" s="17"/>
      <c r="E27" s="17"/>
      <c r="F27" s="18" t="str">
        <f aca="false">IF(I27="","",IF(IF(I27="","Add source ID",IF(NOT(SUMPRODUCT(--(SourceData[ID]=I27))=1),"Unknown or duplicate source",IF(INDEX(SourceData[Input check],MATCH(I27,SourceData[ID],0))&lt;&gt;"","Complete source record","")))&lt;&gt;"","Check source",IF(INDEX(SourceData[URL],MATCH(I27,SourceData[ID],0))="",I27&amp;IF(J27="",""," "&amp;J27),HYPERLINK(INDEX(SourceData[URL],MATCH(I27,SourceData[ID],0)),I27&amp;IF(J27="",""," "&amp;J27)))))</f>
        <v/>
      </c>
      <c r="G27" s="17"/>
      <c r="H27" s="19" t="str">
        <f aca="false">IF(NOT(OR(A27&lt;&gt;"",B27&lt;&gt;"",C27&lt;&gt;"",D27&lt;&gt;"",E27&lt;&gt;"",G27&lt;&gt;"",I27&lt;&gt;"",J27&lt;&gt;"")),"",IF(A27="","Add ID",IF(NOT(SUMPRODUCT(--(MatchData[ID]=A27))=1),"Duplicate ID",IF(IF(B27="","Add candidate ID",IF(NOT(SUMPRODUCT(--(CandidateData[ID]=B27))=1),"Unknown or duplicate candidate",""))&lt;&gt;"",IF(B27="","Add candidate ID",IF(NOT(SUMPRODUCT(--(CandidateData[ID]=B27))=1),"Unknown or duplicate candidate","")),IF(IF(C27="","Add need ID",IF(NOT(SUMPRODUCT(--(NeedData[ID]=C27))=1),"Unknown or duplicate need",IF(INDEX(NeedData[Input check],MATCH(C27,NeedData[ID],0))&lt;&gt;"","Complete teaming need","")))&lt;&gt;"",IF(C27="","Add need ID",IF(NOT(SUMPRODUCT(--(NeedData[ID]=C27))=1),"Unknown or duplicate need",IF(INDEX(NeedData[Input check],MATCH(C27,NeedData[ID],0))&lt;&gt;"","Complete teaming need",""))),IF(SUMPRODUCT(--(MatchData[Candidate ID]=B27),--(MatchData[Need ID]=C27))&lt;&gt;1,"Duplicate candidate/need",IF(NOT(OR(D27="Pass",D27="Fail",D27="Unresolved")),"Choose status",IF(OR(E27="",G27=""),"Add assessment and next step",IF(AND(D27&lt;&gt;"Unresolved",I27=""),"Add evidence source",IF(I27="","",IF(I27="","Add source ID",IF(NOT(SUMPRODUCT(--(SourceData[ID]=I27))=1),"Unknown or duplicate source",IF(INDEX(SourceData[Input check],MATCH(I27,SourceData[ID],0))&lt;&gt;"","Complete source record","")))))))))))))</f>
        <v/>
      </c>
      <c r="I27" s="17"/>
      <c r="J27" s="17"/>
      <c r="K27" s="19" t="str">
        <f aca="false">IF(C27="","",IF(IF(C27="","Add need ID",IF(NOT(SUMPRODUCT(--(NeedData[ID]=C27))=1),"Unknown or duplicate need",IF(INDEX(NeedData[Input check],MATCH(C27,NeedData[ID],0))&lt;&gt;"","Complete teaming need","")))&lt;&gt;"","",INDEX(NeedData[Priority],MATCH(C27,NeedData[ID],0))))</f>
        <v/>
      </c>
    </row>
  </sheetData>
  <mergeCells count="2">
    <mergeCell ref="A2:F2"/>
    <mergeCell ref="A4:H5"/>
  </mergeCells>
  <conditionalFormatting sqref="D8:D27">
    <cfRule type="expression" priority="2" aboveAverage="0" equalAverage="0" bottom="0" percent="0" rank="0" text="" dxfId="16">
      <formula>D8="Pass"</formula>
    </cfRule>
    <cfRule type="expression" priority="3" aboveAverage="0" equalAverage="0" bottom="0" percent="0" rank="0" text="" dxfId="17">
      <formula>D8="Shortlist"</formula>
    </cfRule>
    <cfRule type="expression" priority="4" aboveAverage="0" equalAverage="0" bottom="0" percent="0" rank="0" text="" dxfId="18">
      <formula>D8="Fail"</formula>
    </cfRule>
    <cfRule type="expression" priority="5" aboveAverage="0" equalAverage="0" bottom="0" percent="0" rank="0" text="" dxfId="19">
      <formula>D8="Exclude"</formula>
    </cfRule>
    <cfRule type="expression" priority="6" aboveAverage="0" equalAverage="0" bottom="0" percent="0" rank="0" text="" dxfId="20">
      <formula>D8="Unresolved"</formula>
    </cfRule>
    <cfRule type="expression" priority="7" aboveAverage="0" equalAverage="0" bottom="0" percent="0" rank="0" text="" dxfId="21">
      <formula>D8="Research further"</formula>
    </cfRule>
  </conditionalFormatting>
  <conditionalFormatting sqref="H8:H27">
    <cfRule type="expression" priority="8" aboveAverage="0" equalAverage="0" bottom="0" percent="0" rank="0" text="" dxfId="22">
      <formula>LEN(H8)&gt;0</formula>
    </cfRule>
  </conditionalFormatting>
  <dataValidations count="1">
    <dataValidation allowBlank="false" errorStyle="stop" operator="between" showDropDown="false" showErrorMessage="false" showInputMessage="false" sqref="D8:D27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&amp;L&amp;"Arial,Bold"&amp;11Capability Match</oddHeader>
    <oddFooter>&amp;LCapability Match&amp;RPage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O13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23.33"/>
    <col customWidth="true" max="3" min="3" style="0" width="27.22"/>
    <col customWidth="true" max="4" min="4" style="0" width="24.44"/>
    <col customWidth="true" max="5" min="5" style="0" width="22.22"/>
    <col customWidth="true" max="6" min="6" style="0" width="18.89"/>
    <col customWidth="true" max="7" min="7" style="0" width="28.33"/>
    <col customWidth="true" max="8" min="8" style="0" width="11.67"/>
    <col customWidth="true" max="9" min="9" style="0" width="33.33"/>
    <col customWidth="true" max="10" min="10" style="0" width="33.33"/>
    <col customWidth="true" max="11" min="11" style="0" width="13.89" hidden="1" outlineLevel="1"/>
    <col customWidth="true" max="12" min="12" style="0" width="17.78" hidden="1" outlineLevel="1"/>
    <col customWidth="true" max="13" min="13" style="0" width="13.89" hidden="1" outlineLevel="1"/>
    <col customWidth="true" max="14" min="14" style="0" width="12.78" hidden="1" outlineLevel="1"/>
    <col customWidth="true" max="15" min="15" style="0" width="20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" hidden="false" customHeight="true" outlineLevel="0" collapsed="false">
      <c r="A2" s="2" t="s">
        <v>131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</row>
    <row r="4" customFormat="false" ht="20" hidden="false" customHeight="true" outlineLevel="0" collapsed="false">
      <c r="A4" s="21" t="s">
        <v>132</v>
      </c>
      <c r="B4" s="21"/>
      <c r="C4" s="21"/>
      <c r="D4" s="21"/>
      <c r="E4" s="21"/>
      <c r="F4" s="21"/>
      <c r="G4" s="1"/>
      <c r="H4" s="1"/>
      <c r="I4" s="1"/>
      <c r="J4" s="1"/>
      <c r="K4" s="1"/>
      <c r="L4" s="1"/>
      <c r="M4" s="1"/>
      <c r="N4" s="1"/>
      <c r="O4" s="1"/>
    </row>
    <row r="5" customFormat="false" ht="20" hidden="false" customHeight="true" outlineLevel="0" collapsed="false">
      <c r="A5" s="21"/>
      <c r="B5" s="21"/>
      <c r="C5" s="21"/>
      <c r="D5" s="21"/>
      <c r="E5" s="21"/>
      <c r="F5" s="21"/>
      <c r="G5" s="1"/>
      <c r="H5" s="1"/>
      <c r="I5" s="1"/>
      <c r="J5" s="1"/>
      <c r="K5" s="1"/>
      <c r="L5" s="1"/>
      <c r="M5" s="1"/>
      <c r="N5" s="1"/>
      <c r="O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30" hidden="false" customHeight="true" outlineLevel="0" collapsed="false">
      <c r="A7" s="13" t="s">
        <v>16</v>
      </c>
      <c r="B7" s="13" t="s">
        <v>22</v>
      </c>
      <c r="C7" s="13" t="s">
        <v>133</v>
      </c>
      <c r="D7" s="13" t="s">
        <v>134</v>
      </c>
      <c r="E7" s="13" t="s">
        <v>135</v>
      </c>
      <c r="F7" s="13" t="s">
        <v>136</v>
      </c>
      <c r="G7" s="13" t="s">
        <v>137</v>
      </c>
      <c r="H7" s="13" t="s">
        <v>92</v>
      </c>
      <c r="I7" s="13" t="s">
        <v>138</v>
      </c>
      <c r="J7" s="13" t="s">
        <v>139</v>
      </c>
      <c r="K7" s="13" t="s">
        <v>25</v>
      </c>
      <c r="L7" s="13" t="s">
        <v>65</v>
      </c>
      <c r="M7" s="13" t="s">
        <v>140</v>
      </c>
      <c r="N7" s="13" t="s">
        <v>141</v>
      </c>
      <c r="O7" s="13" t="s">
        <v>27</v>
      </c>
    </row>
    <row r="8" customFormat="false" ht="65" hidden="false" customHeight="true" outlineLevel="0" collapsed="false">
      <c r="A8" s="14" t="s">
        <v>142</v>
      </c>
      <c r="B8" s="16" t="str">
        <f aca="false">IF(A8="","",IF(IF(G8="","Add candidate ID",IF(NOT(SUMPRODUCT(--(CandidateData[ID]=G8))=1),"Unknown or duplicate candidate",""))&lt;&gt;"",G8,INDEX(CandidateData[Company / UEI],MATCH(G8,CandidateData[ID],0))))</f>
        <v>Dewberry Engineers Inc.
UEI K3WDSCEDY1V5</v>
      </c>
      <c r="C8" s="15" t="str">
        <f aca="false">IF(A8="","",IF(IF(K8="","Add source ID",IF(NOT(SUMPRODUCT(--(SourceData[ID]=K8))=1),"Unknown or duplicate source",IF(INDEX(SourceData[Input check],MATCH(K8,SourceData[ID],0))&lt;&gt;"","Complete source record","")))&lt;&gt;"","Check source",HYPERLINK(INDEX(SourceData[URL],MATCH(K8,SourceData[ID],0)),INDEX(SourceData[Title],MATCH(K8,SourceData[ID],0)))))</f>
        <v>1305M225D0016-1305M226F0404</v>
      </c>
      <c r="D8" s="14" t="s">
        <v>143</v>
      </c>
      <c r="E8" s="14" t="s">
        <v>144</v>
      </c>
      <c r="F8" s="16" t="str">
        <f aca="false">IF(A8="","",IF(OR(M8="",N8=""),"Dates not established",TEXT(M8,"mmm d, yyyy")&amp;CHAR(10)&amp;"to "&amp;TEXT(N8,"mmm d, yyyy")))</f>
        <v>Aug 31, 2026
to Apr 19, 2029</v>
      </c>
      <c r="G8" s="14" t="s">
        <v>28</v>
      </c>
      <c r="H8" s="14" t="s">
        <v>73</v>
      </c>
      <c r="I8" s="14" t="s">
        <v>145</v>
      </c>
      <c r="J8" s="14" t="s">
        <v>146</v>
      </c>
      <c r="K8" s="14" t="s">
        <v>105</v>
      </c>
      <c r="L8" s="14" t="s">
        <v>147</v>
      </c>
      <c r="M8" s="22" t="n">
        <v>46265</v>
      </c>
      <c r="N8" s="22" t="n">
        <v>47227</v>
      </c>
      <c r="O8" s="16" t="str">
        <f aca="false">IF(NOT(OR(A8&lt;&gt;"",D8&lt;&gt;"",E8&lt;&gt;"",G8&lt;&gt;"",H8&lt;&gt;"",I8&lt;&gt;"",J8&lt;&gt;"",K8&lt;&gt;"",L8&lt;&gt;"",M8&lt;&gt;"",N8&lt;&gt;"")),"",IF(A8="","Add ID",IF(NOT(SUMPRODUCT(--(WorkData[ID]=A8))=1),"Duplicate ID",IF(IF(G8="","Add candidate ID",IF(NOT(SUMPRODUCT(--(CandidateData[ID]=G8))=1),"Unknown or duplicate candidate",""))&lt;&gt;"",IF(G8="","Add candidate ID",IF(NOT(SUMPRODUCT(--(CandidateData[ID]=G8))=1),"Unknown or duplicate candidate","")),IF(IF(H8="","Add need ID",IF(NOT(SUMPRODUCT(--(NeedData[ID]=H8))=1),"Unknown or duplicate need",IF(INDEX(NeedData[Input check],MATCH(H8,NeedData[ID],0))&lt;&gt;"","Complete teaming need","")))&lt;&gt;"",IF(H8="","Add need ID",IF(NOT(SUMPRODUCT(--(NeedData[ID]=H8))=1),"Unknown or duplicate need",IF(INDEX(NeedData[Input check],MATCH(H8,NeedData[ID],0))&lt;&gt;"","Complete teaming need",""))),IF(OR(D8="",E8="",I8="",J8=""),"Add role, scope and limits",IF(OR(AND(M8&lt;&gt;"",OR(NOT(ISNUMBER(M8)),M8&lt;=0)),AND(N8&lt;&gt;"",OR(NOT(ISNUMBER(N8)),N8&lt;=0)),AND(M8&lt;&gt;"",N8&lt;&gt;"",M8&gt;N8)),"Check dates",IF(K8="","Add source ID",IF(NOT(SUMPRODUCT(--(SourceData[ID]=K8))=1),"Unknown or duplicate source",IF(INDEX(SourceData[Input check],MATCH(K8,SourceData[ID],0))&lt;&gt;"","Complete source record",""))))))))))</f>
        <v/>
      </c>
    </row>
    <row r="9" customFormat="false" ht="65" hidden="false" customHeight="true" outlineLevel="0" collapsed="false">
      <c r="A9" s="14" t="s">
        <v>148</v>
      </c>
      <c r="B9" s="16" t="str">
        <f aca="false">IF(A9="","",IF(IF(G9="","Add candidate ID",IF(NOT(SUMPRODUCT(--(CandidateData[ID]=G9))=1),"Unknown or duplicate candidate",""))&lt;&gt;"",G9,INDEX(CandidateData[Company / UEI],MATCH(G9,CandidateData[ID],0))))</f>
        <v>NV5 Geospatial, Inc.
UEI EMJEL3XM6A87</v>
      </c>
      <c r="C9" s="15" t="str">
        <f aca="false">IF(A9="","",IF(IF(K9="","Add source ID",IF(NOT(SUMPRODUCT(--(SourceData[ID]=K9))=1),"Unknown or duplicate source",IF(INDEX(SourceData[Input check],MATCH(K9,SourceData[ID],0))&lt;&gt;"","Complete source record","")))&lt;&gt;"","Check source",HYPERLINK(INDEX(SourceData[URL],MATCH(K9,SourceData[ID],0)),INDEX(SourceData[Title],MATCH(K9,SourceData[ID],0)))))</f>
        <v>1305M225D0017-1305M226F0396</v>
      </c>
      <c r="D9" s="14" t="s">
        <v>143</v>
      </c>
      <c r="E9" s="14" t="s">
        <v>144</v>
      </c>
      <c r="F9" s="16" t="str">
        <f aca="false">IF(A9="","",IF(OR(M9="",N9=""),"Dates not established",TEXT(M9,"mmm d, yyyy")&amp;CHAR(10)&amp;"to "&amp;TEXT(N9,"mmm d, yyyy")))</f>
        <v>Aug 21, 2026
to Jun 30, 2028</v>
      </c>
      <c r="G9" s="14" t="s">
        <v>35</v>
      </c>
      <c r="H9" s="14" t="s">
        <v>73</v>
      </c>
      <c r="I9" s="14" t="s">
        <v>145</v>
      </c>
      <c r="J9" s="14" t="s">
        <v>146</v>
      </c>
      <c r="K9" s="14" t="s">
        <v>118</v>
      </c>
      <c r="L9" s="14" t="s">
        <v>147</v>
      </c>
      <c r="M9" s="22" t="n">
        <v>46255</v>
      </c>
      <c r="N9" s="22" t="n">
        <v>46934</v>
      </c>
      <c r="O9" s="16" t="str">
        <f aca="false">IF(NOT(OR(A9&lt;&gt;"",D9&lt;&gt;"",E9&lt;&gt;"",G9&lt;&gt;"",H9&lt;&gt;"",I9&lt;&gt;"",J9&lt;&gt;"",K9&lt;&gt;"",L9&lt;&gt;"",M9&lt;&gt;"",N9&lt;&gt;"")),"",IF(A9="","Add ID",IF(NOT(SUMPRODUCT(--(WorkData[ID]=A9))=1),"Duplicate ID",IF(IF(G9="","Add candidate ID",IF(NOT(SUMPRODUCT(--(CandidateData[ID]=G9))=1),"Unknown or duplicate candidate",""))&lt;&gt;"",IF(G9="","Add candidate ID",IF(NOT(SUMPRODUCT(--(CandidateData[ID]=G9))=1),"Unknown or duplicate candidate","")),IF(IF(H9="","Add need ID",IF(NOT(SUMPRODUCT(--(NeedData[ID]=H9))=1),"Unknown or duplicate need",IF(INDEX(NeedData[Input check],MATCH(H9,NeedData[ID],0))&lt;&gt;"","Complete teaming need","")))&lt;&gt;"",IF(H9="","Add need ID",IF(NOT(SUMPRODUCT(--(NeedData[ID]=H9))=1),"Unknown or duplicate need",IF(INDEX(NeedData[Input check],MATCH(H9,NeedData[ID],0))&lt;&gt;"","Complete teaming need",""))),IF(OR(D9="",E9="",I9="",J9=""),"Add role, scope and limits",IF(OR(AND(M9&lt;&gt;"",OR(NOT(ISNUMBER(M9)),M9&lt;=0)),AND(N9&lt;&gt;"",OR(NOT(ISNUMBER(N9)),N9&lt;=0)),AND(M9&lt;&gt;"",N9&lt;&gt;"",M9&gt;N9)),"Check dates",IF(K9="","Add source ID",IF(NOT(SUMPRODUCT(--(SourceData[ID]=K9))=1),"Unknown or duplicate source",IF(INDEX(SourceData[Input check],MATCH(K9,SourceData[ID],0))&lt;&gt;"","Complete source record",""))))))))))</f>
        <v/>
      </c>
    </row>
    <row r="10" customFormat="false" ht="65" hidden="false" customHeight="true" outlineLevel="0" collapsed="false">
      <c r="A10" s="14" t="s">
        <v>149</v>
      </c>
      <c r="B10" s="16" t="str">
        <f aca="false">IF(A10="","",IF(IF(G10="","Add candidate ID",IF(NOT(SUMPRODUCT(--(CandidateData[ID]=G10))=1),"Unknown or duplicate candidate",""))&lt;&gt;"",G10,INDEX(CandidateData[Company / UEI],MATCH(G10,CandidateData[ID],0))))</f>
        <v>Woolpert, Inc.
UEI LD8UDJB9JLU1</v>
      </c>
      <c r="C10" s="15" t="str">
        <f aca="false">IF(A10="","",IF(IF(K10="","Add source ID",IF(NOT(SUMPRODUCT(--(SourceData[ID]=K10))=1),"Unknown or duplicate source",IF(INDEX(SourceData[Input check],MATCH(K10,SourceData[ID],0))&lt;&gt;"","Complete source record","")))&lt;&gt;"","Check source",HYPERLINK(INDEX(SourceData[URL],MATCH(K10,SourceData[ID],0)),INDEX(SourceData[Title],MATCH(K10,SourceData[ID],0)))))</f>
        <v>1305M225D0018-1305M226F0340</v>
      </c>
      <c r="D10" s="14" t="s">
        <v>143</v>
      </c>
      <c r="E10" s="14" t="s">
        <v>144</v>
      </c>
      <c r="F10" s="16" t="str">
        <f aca="false">IF(A10="","",IF(OR(M10="",N10=""),"Dates not established",TEXT(M10,"mmm d, yyyy")&amp;CHAR(10)&amp;"to "&amp;TEXT(N10,"mmm d, yyyy")))</f>
        <v>Jul 27, 2026
to Sep 29, 2028</v>
      </c>
      <c r="G10" s="14" t="s">
        <v>41</v>
      </c>
      <c r="H10" s="14" t="s">
        <v>73</v>
      </c>
      <c r="I10" s="14" t="s">
        <v>145</v>
      </c>
      <c r="J10" s="14" t="s">
        <v>146</v>
      </c>
      <c r="K10" s="14" t="s">
        <v>123</v>
      </c>
      <c r="L10" s="14" t="s">
        <v>147</v>
      </c>
      <c r="M10" s="22" t="n">
        <v>46230</v>
      </c>
      <c r="N10" s="22" t="n">
        <v>47025</v>
      </c>
      <c r="O10" s="16" t="str">
        <f aca="false">IF(NOT(OR(A10&lt;&gt;"",D10&lt;&gt;"",E10&lt;&gt;"",G10&lt;&gt;"",H10&lt;&gt;"",I10&lt;&gt;"",J10&lt;&gt;"",K10&lt;&gt;"",L10&lt;&gt;"",M10&lt;&gt;"",N10&lt;&gt;"")),"",IF(A10="","Add ID",IF(NOT(SUMPRODUCT(--(WorkData[ID]=A10))=1),"Duplicate ID",IF(IF(G10="","Add candidate ID",IF(NOT(SUMPRODUCT(--(CandidateData[ID]=G10))=1),"Unknown or duplicate candidate",""))&lt;&gt;"",IF(G10="","Add candidate ID",IF(NOT(SUMPRODUCT(--(CandidateData[ID]=G10))=1),"Unknown or duplicate candidate","")),IF(IF(H10="","Add need ID",IF(NOT(SUMPRODUCT(--(NeedData[ID]=H10))=1),"Unknown or duplicate need",IF(INDEX(NeedData[Input check],MATCH(H10,NeedData[ID],0))&lt;&gt;"","Complete teaming need","")))&lt;&gt;"",IF(H10="","Add need ID",IF(NOT(SUMPRODUCT(--(NeedData[ID]=H10))=1),"Unknown or duplicate need",IF(INDEX(NeedData[Input check],MATCH(H10,NeedData[ID],0))&lt;&gt;"","Complete teaming need",""))),IF(OR(D10="",E10="",I10="",J10=""),"Add role, scope and limits",IF(OR(AND(M10&lt;&gt;"",OR(NOT(ISNUMBER(M10)),M10&lt;=0)),AND(N10&lt;&gt;"",OR(NOT(ISNUMBER(N10)),N10&lt;=0)),AND(M10&lt;&gt;"",N10&lt;&gt;"",M10&gt;N10)),"Check dates",IF(K10="","Add source ID",IF(NOT(SUMPRODUCT(--(SourceData[ID]=K10))=1),"Unknown or duplicate source",IF(INDEX(SourceData[Input check],MATCH(K10,SourceData[ID],0))&lt;&gt;"","Complete source record",""))))))))))</f>
        <v/>
      </c>
    </row>
    <row r="11" customFormat="false" ht="65" hidden="false" customHeight="true" outlineLevel="0" collapsed="false">
      <c r="A11" s="14" t="s">
        <v>150</v>
      </c>
      <c r="B11" s="16" t="str">
        <f aca="false">IF(A11="","",IF(IF(G11="","Add candidate ID",IF(NOT(SUMPRODUCT(--(CandidateData[ID]=G11))=1),"Unknown or duplicate candidate",""))&lt;&gt;"",G11,INDEX(CandidateData[Company / UEI],MATCH(G11,CandidateData[ID],0))))</f>
        <v>Surdex Corporation
UEI KHTMVK6LLH11</v>
      </c>
      <c r="C11" s="15" t="str">
        <f aca="false">IF(A11="","",IF(IF(K11="","Add source ID",IF(NOT(SUMPRODUCT(--(SourceData[ID]=K11))=1),"Unknown or duplicate source",IF(INDEX(SourceData[Input check],MATCH(K11,SourceData[ID],0))&lt;&gt;"","Complete source record","")))&lt;&gt;"","Check source",HYPERLINK(INDEX(SourceData[URL],MATCH(K11,SourceData[ID],0)),INDEX(SourceData[Title],MATCH(K11,SourceData[ID],0)))))</f>
        <v>47QTCA18D00J5-140S0326F0009</v>
      </c>
      <c r="D11" s="14" t="s">
        <v>151</v>
      </c>
      <c r="E11" s="14" t="s">
        <v>144</v>
      </c>
      <c r="F11" s="16" t="str">
        <f aca="false">IF(A11="","",IF(OR(M11="",N11=""),"Dates not established",TEXT(M11,"mmm d, yyyy")&amp;CHAR(10)&amp;"to "&amp;TEXT(N11,"mmm d, yyyy")))</f>
        <v>Sep 10, 2026
to Jan 31, 2027</v>
      </c>
      <c r="G11" s="14" t="s">
        <v>48</v>
      </c>
      <c r="H11" s="14" t="s">
        <v>73</v>
      </c>
      <c r="I11" s="14" t="s">
        <v>152</v>
      </c>
      <c r="J11" s="14" t="s">
        <v>146</v>
      </c>
      <c r="K11" s="14" t="s">
        <v>128</v>
      </c>
      <c r="L11" s="14" t="s">
        <v>147</v>
      </c>
      <c r="M11" s="22" t="n">
        <v>46275</v>
      </c>
      <c r="N11" s="22" t="n">
        <v>46418</v>
      </c>
      <c r="O11" s="16" t="str">
        <f aca="false">IF(NOT(OR(A11&lt;&gt;"",D11&lt;&gt;"",E11&lt;&gt;"",G11&lt;&gt;"",H11&lt;&gt;"",I11&lt;&gt;"",J11&lt;&gt;"",K11&lt;&gt;"",L11&lt;&gt;"",M11&lt;&gt;"",N11&lt;&gt;"")),"",IF(A11="","Add ID",IF(NOT(SUMPRODUCT(--(WorkData[ID]=A11))=1),"Duplicate ID",IF(IF(G11="","Add candidate ID",IF(NOT(SUMPRODUCT(--(CandidateData[ID]=G11))=1),"Unknown or duplicate candidate",""))&lt;&gt;"",IF(G11="","Add candidate ID",IF(NOT(SUMPRODUCT(--(CandidateData[ID]=G11))=1),"Unknown or duplicate candidate","")),IF(IF(H11="","Add need ID",IF(NOT(SUMPRODUCT(--(NeedData[ID]=H11))=1),"Unknown or duplicate need",IF(INDEX(NeedData[Input check],MATCH(H11,NeedData[ID],0))&lt;&gt;"","Complete teaming need","")))&lt;&gt;"",IF(H11="","Add need ID",IF(NOT(SUMPRODUCT(--(NeedData[ID]=H11))=1),"Unknown or duplicate need",IF(INDEX(NeedData[Input check],MATCH(H11,NeedData[ID],0))&lt;&gt;"","Complete teaming need",""))),IF(OR(D11="",E11="",I11="",J11=""),"Add role, scope and limits",IF(OR(AND(M11&lt;&gt;"",OR(NOT(ISNUMBER(M11)),M11&lt;=0)),AND(N11&lt;&gt;"",OR(NOT(ISNUMBER(N11)),N11&lt;=0)),AND(M11&lt;&gt;"",N11&lt;&gt;"",M11&gt;N11)),"Check dates",IF(K11="","Add source ID",IF(NOT(SUMPRODUCT(--(SourceData[ID]=K11))=1),"Unknown or duplicate source",IF(INDEX(SourceData[Input check],MATCH(K11,SourceData[ID],0))&lt;&gt;"","Complete source record",""))))))))))</f>
        <v/>
      </c>
    </row>
    <row r="12" customFormat="false" ht="65" hidden="false" customHeight="true" outlineLevel="0" collapsed="false">
      <c r="A12" s="14" t="s">
        <v>153</v>
      </c>
      <c r="B12" s="16" t="str">
        <f aca="false">IF(A12="","",IF(IF(G12="","Add candidate ID",IF(NOT(SUMPRODUCT(--(CandidateData[ID]=G12))=1),"Unknown or duplicate candidate",""))&lt;&gt;"",G12,INDEX(CandidateData[Company / UEI],MATCH(G12,CandidateData[ID],0))))</f>
        <v>NV5 Geospatial, Inc.
UEI EMJEL3XM6A87</v>
      </c>
      <c r="C12" s="15" t="str">
        <f aca="false">IF(A12="","",IF(IF(K12="","Add source ID",IF(NOT(SUMPRODUCT(--(SourceData[ID]=K12))=1),"Unknown or duplicate source",IF(INDEX(SourceData[Input check],MATCH(K12,SourceData[ID],0))&lt;&gt;"","Complete source record","")))&lt;&gt;"","Check source",HYPERLINK(INDEX(SourceData[URL],MATCH(K12,SourceData[ID],0)),INDEX(SourceData[Title],MATCH(K12,SourceData[ID],0)))))</f>
        <v>NOAA: 2019–2020 coastal topobathymetric LiDAR</v>
      </c>
      <c r="D12" s="14" t="s">
        <v>143</v>
      </c>
      <c r="E12" s="14" t="s">
        <v>154</v>
      </c>
      <c r="F12" s="16" t="str">
        <f aca="false">IF(A12="","",IF(OR(M12="",N12=""),"Dates not established",TEXT(M12,"mmm d, yyyy")&amp;CHAR(10)&amp;"to "&amp;TEXT(N12,"mmm d, yyyy")))</f>
        <v>Nov 26, 2019
to Aug 25, 2020</v>
      </c>
      <c r="G12" s="14" t="s">
        <v>35</v>
      </c>
      <c r="H12" s="14" t="s">
        <v>66</v>
      </c>
      <c r="I12" s="14" t="s">
        <v>155</v>
      </c>
      <c r="J12" s="14" t="s">
        <v>156</v>
      </c>
      <c r="K12" s="14" t="s">
        <v>115</v>
      </c>
      <c r="L12" s="14" t="s">
        <v>157</v>
      </c>
      <c r="M12" s="22" t="n">
        <v>43795</v>
      </c>
      <c r="N12" s="22" t="n">
        <v>44068</v>
      </c>
      <c r="O12" s="16" t="str">
        <f aca="false">IF(NOT(OR(A12&lt;&gt;"",D12&lt;&gt;"",E12&lt;&gt;"",G12&lt;&gt;"",H12&lt;&gt;"",I12&lt;&gt;"",J12&lt;&gt;"",K12&lt;&gt;"",L12&lt;&gt;"",M12&lt;&gt;"",N12&lt;&gt;"")),"",IF(A12="","Add ID",IF(NOT(SUMPRODUCT(--(WorkData[ID]=A12))=1),"Duplicate ID",IF(IF(G12="","Add candidate ID",IF(NOT(SUMPRODUCT(--(CandidateData[ID]=G12))=1),"Unknown or duplicate candidate",""))&lt;&gt;"",IF(G12="","Add candidate ID",IF(NOT(SUMPRODUCT(--(CandidateData[ID]=G12))=1),"Unknown or duplicate candidate","")),IF(IF(H12="","Add need ID",IF(NOT(SUMPRODUCT(--(NeedData[ID]=H12))=1),"Unknown or duplicate need",IF(INDEX(NeedData[Input check],MATCH(H12,NeedData[ID],0))&lt;&gt;"","Complete teaming need","")))&lt;&gt;"",IF(H12="","Add need ID",IF(NOT(SUMPRODUCT(--(NeedData[ID]=H12))=1),"Unknown or duplicate need",IF(INDEX(NeedData[Input check],MATCH(H12,NeedData[ID],0))&lt;&gt;"","Complete teaming need",""))),IF(OR(D12="",E12="",I12="",J12=""),"Add role, scope and limits",IF(OR(AND(M12&lt;&gt;"",OR(NOT(ISNUMBER(M12)),M12&lt;=0)),AND(N12&lt;&gt;"",OR(NOT(ISNUMBER(N12)),N12&lt;=0)),AND(M12&lt;&gt;"",N12&lt;&gt;"",M12&gt;N12)),"Check dates",IF(K12="","Add source ID",IF(NOT(SUMPRODUCT(--(SourceData[ID]=K12))=1),"Unknown or duplicate source",IF(INDEX(SourceData[Input check],MATCH(K12,SourceData[ID],0))&lt;&gt;"","Complete source record",""))))))))))</f>
        <v/>
      </c>
    </row>
    <row r="13" customFormat="false" ht="26" hidden="false" customHeight="true" outlineLevel="0" collapsed="false">
      <c r="A13" s="17"/>
      <c r="B13" s="19" t="str">
        <f aca="false">IF(A13="","",IF(IF(G13="","Add candidate ID",IF(NOT(SUMPRODUCT(--(CandidateData[ID]=G13))=1),"Unknown or duplicate candidate",""))&lt;&gt;"",G13,INDEX(CandidateData[Company / UEI],MATCH(G13,CandidateData[ID],0))))</f>
        <v/>
      </c>
      <c r="C13" s="18" t="str">
        <f aca="false">IF(A13="","",IF(IF(K13="","Add source ID",IF(NOT(SUMPRODUCT(--(SourceData[ID]=K13))=1),"Unknown or duplicate source",IF(INDEX(SourceData[Input check],MATCH(K13,SourceData[ID],0))&lt;&gt;"","Complete source record","")))&lt;&gt;"","Check source",HYPERLINK(INDEX(SourceData[URL],MATCH(K13,SourceData[ID],0)),INDEX(SourceData[Title],MATCH(K13,SourceData[ID],0)))))</f>
        <v/>
      </c>
      <c r="D13" s="17"/>
      <c r="E13" s="17"/>
      <c r="F13" s="19" t="str">
        <f aca="false">IF(A13="","",IF(OR(M13="",N13=""),"Dates not established",TEXT(M13,"mmm d, yyyy")&amp;CHAR(10)&amp;"to "&amp;TEXT(N13,"mmm d, yyyy")))</f>
        <v/>
      </c>
      <c r="G13" s="17"/>
      <c r="H13" s="17"/>
      <c r="I13" s="17"/>
      <c r="J13" s="17"/>
      <c r="K13" s="17"/>
      <c r="L13" s="17"/>
      <c r="M13" s="23"/>
      <c r="N13" s="23"/>
      <c r="O13" s="19" t="str">
        <f aca="false">IF(NOT(OR(A13&lt;&gt;"",D13&lt;&gt;"",E13&lt;&gt;"",G13&lt;&gt;"",H13&lt;&gt;"",I13&lt;&gt;"",J13&lt;&gt;"",K13&lt;&gt;"",L13&lt;&gt;"",M13&lt;&gt;"",N13&lt;&gt;"")),"",IF(A13="","Add ID",IF(NOT(SUMPRODUCT(--(WorkData[ID]=A13))=1),"Duplicate ID",IF(IF(G13="","Add candidate ID",IF(NOT(SUMPRODUCT(--(CandidateData[ID]=G13))=1),"Unknown or duplicate candidate",""))&lt;&gt;"",IF(G13="","Add candidate ID",IF(NOT(SUMPRODUCT(--(CandidateData[ID]=G13))=1),"Unknown or duplicate candidate","")),IF(IF(H13="","Add need ID",IF(NOT(SUMPRODUCT(--(NeedData[ID]=H13))=1),"Unknown or duplicate need",IF(INDEX(NeedData[Input check],MATCH(H13,NeedData[ID],0))&lt;&gt;"","Complete teaming need","")))&lt;&gt;"",IF(H13="","Add need ID",IF(NOT(SUMPRODUCT(--(NeedData[ID]=H13))=1),"Unknown or duplicate need",IF(INDEX(NeedData[Input check],MATCH(H13,NeedData[ID],0))&lt;&gt;"","Complete teaming need",""))),IF(OR(D13="",E13="",I13="",J13=""),"Add role, scope and limits",IF(OR(AND(M13&lt;&gt;"",OR(NOT(ISNUMBER(M13)),M13&lt;=0)),AND(N13&lt;&gt;"",OR(NOT(ISNUMBER(N13)),N13&lt;=0)),AND(M13&lt;&gt;"",N13&lt;&gt;"",M13&gt;N13)),"Check dates",IF(K13="","Add source ID",IF(NOT(SUMPRODUCT(--(SourceData[ID]=K13))=1),"Unknown or duplicate source",IF(INDEX(SourceData[Input check],MATCH(K13,SourceData[ID],0))&lt;&gt;"","Complete source record",""))))))))))</f>
        <v/>
      </c>
    </row>
  </sheetData>
  <mergeCells count="2">
    <mergeCell ref="A2:F2"/>
    <mergeCell ref="A4:F5"/>
  </mergeCells>
  <conditionalFormatting sqref="O8:O13">
    <cfRule type="expression" priority="2" aboveAverage="0" equalAverage="0" bottom="0" percent="0" rank="0" text="" dxfId="23">
      <formula>LEN(O8)&gt;0</formula>
    </cfRule>
  </conditionalFormatting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&amp;L&amp;"Arial,Bold"&amp;11Relevant Work</oddHeader>
    <oddFooter>&amp;LRelevant Work&amp;RPage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23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16.67"/>
    <col customWidth="true" max="3" min="3" style="0" width="24.44"/>
    <col customWidth="true" max="4" min="4" style="0" width="12.78"/>
    <col customWidth="true" max="5" min="5" style="0" width="13.89"/>
    <col customWidth="true" max="6" min="6" style="0" width="40.56"/>
    <col customWidth="true" max="7" min="7" style="0" width="16.67"/>
    <col customWidth="true" max="8" min="8" style="0" width="12.22"/>
    <col customWidth="true" max="9" min="9" style="0" width="16.11"/>
    <col customWidth="true" max="10" min="10" style="0" width="37.22"/>
    <col customWidth="true" max="11" min="11" style="0" width="23.33"/>
    <col customWidth="true" max="12" min="12" style="0" width="13.89" hidden="1" outlineLevel="1"/>
    <col customWidth="true" max="13" min="13" style="0" width="17.78" hidden="1" outlineLevel="1"/>
    <col customWidth="true" max="14" min="14" style="0" width="22.78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" hidden="false" customHeight="true" outlineLevel="0" collapsed="false">
      <c r="A2" s="2" t="s">
        <v>158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</row>
    <row r="4" customFormat="false" ht="20" hidden="false" customHeight="true" outlineLevel="0" collapsed="false">
      <c r="A4" s="21" t="s">
        <v>159</v>
      </c>
      <c r="B4" s="21"/>
      <c r="C4" s="21"/>
      <c r="D4" s="21"/>
      <c r="E4" s="21"/>
      <c r="F4" s="21"/>
      <c r="G4" s="21"/>
      <c r="H4" s="21"/>
      <c r="I4" s="1"/>
      <c r="J4" s="1"/>
      <c r="K4" s="1"/>
      <c r="L4" s="1"/>
      <c r="M4" s="1"/>
      <c r="N4" s="1"/>
    </row>
    <row r="5" customFormat="false" ht="20" hidden="false" customHeight="true" outlineLevel="0" collapsed="false">
      <c r="A5" s="21"/>
      <c r="B5" s="21"/>
      <c r="C5" s="21"/>
      <c r="D5" s="21"/>
      <c r="E5" s="21"/>
      <c r="F5" s="21"/>
      <c r="G5" s="21"/>
      <c r="H5" s="21"/>
      <c r="I5" s="1"/>
      <c r="J5" s="1"/>
      <c r="K5" s="1"/>
      <c r="L5" s="1"/>
      <c r="M5" s="1"/>
      <c r="N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30" hidden="false" customHeight="true" outlineLevel="0" collapsed="false">
      <c r="A7" s="13" t="s">
        <v>16</v>
      </c>
      <c r="B7" s="13" t="s">
        <v>91</v>
      </c>
      <c r="C7" s="13" t="s">
        <v>160</v>
      </c>
      <c r="D7" s="13" t="s">
        <v>68</v>
      </c>
      <c r="E7" s="13" t="s">
        <v>93</v>
      </c>
      <c r="F7" s="13" t="s">
        <v>161</v>
      </c>
      <c r="G7" s="13" t="s">
        <v>162</v>
      </c>
      <c r="H7" s="13" t="s">
        <v>163</v>
      </c>
      <c r="I7" s="13" t="s">
        <v>164</v>
      </c>
      <c r="J7" s="13" t="s">
        <v>165</v>
      </c>
      <c r="K7" s="13" t="s">
        <v>64</v>
      </c>
      <c r="L7" s="13" t="s">
        <v>25</v>
      </c>
      <c r="M7" s="13" t="s">
        <v>65</v>
      </c>
      <c r="N7" s="13" t="s">
        <v>27</v>
      </c>
    </row>
    <row r="8" customFormat="false" ht="66" hidden="false" customHeight="true" outlineLevel="0" collapsed="false">
      <c r="A8" s="14" t="s">
        <v>166</v>
      </c>
      <c r="B8" s="14" t="s">
        <v>28</v>
      </c>
      <c r="C8" s="14" t="s">
        <v>167</v>
      </c>
      <c r="D8" s="14" t="s">
        <v>168</v>
      </c>
      <c r="E8" s="14" t="s">
        <v>108</v>
      </c>
      <c r="F8" s="14" t="s">
        <v>169</v>
      </c>
      <c r="G8" s="24" t="n">
        <v>46283</v>
      </c>
      <c r="H8" s="16" t="str">
        <f aca="false">IF(A8="","",IF(N8&lt;&gt;"","Check inputs",IF(E8="Pass","Complete",IF(OR(NOT(ISNUMBER(Shortlist!$F$4)),Shortlist!$F$4&lt;=0),"Add as-of date",IF(G8&lt;Shortlist!$F$4,"Overdue",IF(G8=Shortlist!$F$4,"Due today","Upcoming"))))))</f>
        <v>Upcoming</v>
      </c>
      <c r="I8" s="16" t="str">
        <f aca="false">IF(A8="","",A8&amp;" / "&amp;B8)</f>
        <v>K1L / C01</v>
      </c>
      <c r="J8" s="14"/>
      <c r="K8" s="15" t="str">
        <f aca="false">IF(L8="","",IF(IF(L8="","Add source ID",IF(NOT(SUMPRODUCT(--(SourceData[ID]=L8))=1),"Unknown or duplicate source",IF(INDEX(SourceData[Input check],MATCH(L8,SourceData[ID],0))&lt;&gt;"","Complete source record","")))&lt;&gt;"","Check source",IF(INDEX(SourceData[URL],MATCH(L8,SourceData[ID],0))="",L8&amp;IF(M8="",""," "&amp;M8),HYPERLINK(INDEX(SourceData[URL],MATCH(L8,SourceData[ID],0)),L8&amp;IF(M8="",""," "&amp;M8)))))</f>
        <v>S04 pp3–4,7; RFI 07,18</v>
      </c>
      <c r="L8" s="14" t="s">
        <v>71</v>
      </c>
      <c r="M8" s="14" t="s">
        <v>170</v>
      </c>
      <c r="N8" s="16" t="str">
        <f aca="false">IF(NOT(OR(A8&lt;&gt;"",B8&lt;&gt;"",C8&lt;&gt;"",D8&lt;&gt;"",E8&lt;&gt;"",F8&lt;&gt;"",G8&lt;&gt;"",J8&lt;&gt;"",L8&lt;&gt;"",M8&lt;&gt;"")),"",IF(A8="","Add ID",IF(NOT(SUMPRODUCT(--(CheckData[ID]=A8))=1),"Duplicate ID",IF(AND(B8&lt;&gt;"TEAM",IF(B8="","Add candidate ID",IF(NOT(SUMPRODUCT(--(CandidateData[ID]=B8))=1),"Unknown or duplicate candidate",""))&lt;&gt;""),"Check candidate ID",IF(OR(C8="",F8=""),"Add check and action",IF(NOT(OR(D8="Yes",D8="No")),"Choose required",IF(NOT(OR(E8="Pass",E8="Fail",E8="Unresolved")),"Choose status",IF(OR(NOT(ISNUMBER(G8)),G8&lt;=0),"Add valid due date",IF(AND(E8&lt;&gt;"Unresolved",OR(J8="",L8="")),"Add confirmation evidence",IF(L8="","",IF(L8="","Add source ID",IF(NOT(SUMPRODUCT(--(SourceData[ID]=L8))=1),"Unknown or duplicate source",IF(INDEX(SourceData[Input check],MATCH(L8,SourceData[ID],0))&lt;&gt;"","Complete source record","")))))))))))))</f>
        <v/>
      </c>
    </row>
    <row r="9" customFormat="false" ht="66" hidden="false" customHeight="true" outlineLevel="0" collapsed="false">
      <c r="A9" s="14" t="s">
        <v>171</v>
      </c>
      <c r="B9" s="14" t="s">
        <v>28</v>
      </c>
      <c r="C9" s="14" t="s">
        <v>172</v>
      </c>
      <c r="D9" s="14" t="s">
        <v>168</v>
      </c>
      <c r="E9" s="14" t="s">
        <v>108</v>
      </c>
      <c r="F9" s="14" t="s">
        <v>173</v>
      </c>
      <c r="G9" s="24" t="n">
        <v>46282</v>
      </c>
      <c r="H9" s="16" t="str">
        <f aca="false">IF(A9="","",IF(N9&lt;&gt;"","Check inputs",IF(E9="Pass","Complete",IF(OR(NOT(ISNUMBER(Shortlist!$F$4)),Shortlist!$F$4&lt;=0),"Add as-of date",IF(G9&lt;Shortlist!$F$4,"Overdue",IF(G9=Shortlist!$F$4,"Due today","Upcoming"))))))</f>
        <v>Upcoming</v>
      </c>
      <c r="I9" s="16" t="str">
        <f aca="false">IF(A9="","",A9&amp;" / "&amp;B9)</f>
        <v>K1A / C01</v>
      </c>
      <c r="J9" s="14"/>
      <c r="K9" s="15" t="str">
        <f aca="false">IF(L9="","",IF(IF(L9="","Add source ID",IF(NOT(SUMPRODUCT(--(SourceData[ID]=L9))=1),"Unknown or duplicate source",IF(INDEX(SourceData[Input check],MATCH(L9,SourceData[ID],0))&lt;&gt;"","Complete source record","")))&lt;&gt;"","Check source",IF(INDEX(SourceData[URL],MATCH(L9,SourceData[ID],0))="",L9&amp;IF(M9="",""," "&amp;M9),HYPERLINK(INDEX(SourceData[URL],MATCH(L9,SourceData[ID],0)),L9&amp;IF(M9="",""," "&amp;M9)))))</f>
        <v>S03 p2 criteria 6–7; S04 pp6–8</v>
      </c>
      <c r="L9" s="14" t="s">
        <v>174</v>
      </c>
      <c r="M9" s="14" t="s">
        <v>175</v>
      </c>
      <c r="N9" s="16" t="str">
        <f aca="false">IF(NOT(OR(A9&lt;&gt;"",B9&lt;&gt;"",C9&lt;&gt;"",D9&lt;&gt;"",E9&lt;&gt;"",F9&lt;&gt;"",G9&lt;&gt;"",J9&lt;&gt;"",L9&lt;&gt;"",M9&lt;&gt;"")),"",IF(A9="","Add ID",IF(NOT(SUMPRODUCT(--(CheckData[ID]=A9))=1),"Duplicate ID",IF(AND(B9&lt;&gt;"TEAM",IF(B9="","Add candidate ID",IF(NOT(SUMPRODUCT(--(CandidateData[ID]=B9))=1),"Unknown or duplicate candidate",""))&lt;&gt;""),"Check candidate ID",IF(OR(C9="",F9=""),"Add check and action",IF(NOT(OR(D9="Yes",D9="No")),"Choose required",IF(NOT(OR(E9="Pass",E9="Fail",E9="Unresolved")),"Choose status",IF(OR(NOT(ISNUMBER(G9)),G9&lt;=0),"Add valid due date",IF(AND(E9&lt;&gt;"Unresolved",OR(J9="",L9="")),"Add confirmation evidence",IF(L9="","",IF(L9="","Add source ID",IF(NOT(SUMPRODUCT(--(SourceData[ID]=L9))=1),"Unknown or duplicate source",IF(INDEX(SourceData[Input check],MATCH(L9,SourceData[ID],0))&lt;&gt;"","Complete source record","")))))))))))))</f>
        <v/>
      </c>
    </row>
    <row r="10" customFormat="false" ht="66" hidden="false" customHeight="true" outlineLevel="0" collapsed="false">
      <c r="A10" s="14" t="s">
        <v>176</v>
      </c>
      <c r="B10" s="14" t="s">
        <v>28</v>
      </c>
      <c r="C10" s="14" t="s">
        <v>177</v>
      </c>
      <c r="D10" s="14" t="s">
        <v>168</v>
      </c>
      <c r="E10" s="14" t="s">
        <v>108</v>
      </c>
      <c r="F10" s="14" t="s">
        <v>178</v>
      </c>
      <c r="G10" s="24" t="n">
        <v>46283</v>
      </c>
      <c r="H10" s="16" t="str">
        <f aca="false">IF(A10="","",IF(N10&lt;&gt;"","Check inputs",IF(E10="Pass","Complete",IF(OR(NOT(ISNUMBER(Shortlist!$F$4)),Shortlist!$F$4&lt;=0),"Add as-of date",IF(G10&lt;Shortlist!$F$4,"Overdue",IF(G10=Shortlist!$F$4,"Due today","Upcoming"))))))</f>
        <v>Upcoming</v>
      </c>
      <c r="I10" s="16" t="str">
        <f aca="false">IF(A10="","",A10&amp;" / "&amp;B10)</f>
        <v>K1P / C01</v>
      </c>
      <c r="J10" s="14"/>
      <c r="K10" s="15" t="str">
        <f aca="false">IF(L10="","",IF(IF(L10="","Add source ID",IF(NOT(SUMPRODUCT(--(SourceData[ID]=L10))=1),"Unknown or duplicate source",IF(INDEX(SourceData[Input check],MATCH(L10,SourceData[ID],0))&lt;&gt;"","Complete source record","")))&lt;&gt;"","Check source",IF(INDEX(SourceData[URL],MATCH(L10,SourceData[ID],0))="",L10&amp;IF(M10="",""," "&amp;M10),HYPERLINK(INDEX(SourceData[URL],MATCH(L10,SourceData[ID],0)),L10&amp;IF(M10="",""," "&amp;M10)))))</f>
        <v>S04 pp5–6; RFI 13–14</v>
      </c>
      <c r="L10" s="14" t="s">
        <v>71</v>
      </c>
      <c r="M10" s="14" t="s">
        <v>179</v>
      </c>
      <c r="N10" s="16" t="str">
        <f aca="false">IF(NOT(OR(A10&lt;&gt;"",B10&lt;&gt;"",C10&lt;&gt;"",D10&lt;&gt;"",E10&lt;&gt;"",F10&lt;&gt;"",G10&lt;&gt;"",J10&lt;&gt;"",L10&lt;&gt;"",M10&lt;&gt;"")),"",IF(A10="","Add ID",IF(NOT(SUMPRODUCT(--(CheckData[ID]=A10))=1),"Duplicate ID",IF(AND(B10&lt;&gt;"TEAM",IF(B10="","Add candidate ID",IF(NOT(SUMPRODUCT(--(CandidateData[ID]=B10))=1),"Unknown or duplicate candidate",""))&lt;&gt;""),"Check candidate ID",IF(OR(C10="",F10=""),"Add check and action",IF(NOT(OR(D10="Yes",D10="No")),"Choose required",IF(NOT(OR(E10="Pass",E10="Fail",E10="Unresolved")),"Choose status",IF(OR(NOT(ISNUMBER(G10)),G10&lt;=0),"Add valid due date",IF(AND(E10&lt;&gt;"Unresolved",OR(J10="",L10="")),"Add confirmation evidence",IF(L10="","",IF(L10="","Add source ID",IF(NOT(SUMPRODUCT(--(SourceData[ID]=L10))=1),"Unknown or duplicate source",IF(INDEX(SourceData[Input check],MATCH(L10,SourceData[ID],0))&lt;&gt;"","Complete source record","")))))))))))))</f>
        <v/>
      </c>
    </row>
    <row r="11" customFormat="false" ht="66" hidden="false" customHeight="true" outlineLevel="0" collapsed="false">
      <c r="A11" s="14" t="s">
        <v>180</v>
      </c>
      <c r="B11" s="14" t="s">
        <v>35</v>
      </c>
      <c r="C11" s="14" t="s">
        <v>167</v>
      </c>
      <c r="D11" s="14" t="s">
        <v>168</v>
      </c>
      <c r="E11" s="14" t="s">
        <v>108</v>
      </c>
      <c r="F11" s="14" t="s">
        <v>169</v>
      </c>
      <c r="G11" s="24" t="n">
        <v>46283</v>
      </c>
      <c r="H11" s="16" t="str">
        <f aca="false">IF(A11="","",IF(N11&lt;&gt;"","Check inputs",IF(E11="Pass","Complete",IF(OR(NOT(ISNUMBER(Shortlist!$F$4)),Shortlist!$F$4&lt;=0),"Add as-of date",IF(G11&lt;Shortlist!$F$4,"Overdue",IF(G11=Shortlist!$F$4,"Due today","Upcoming"))))))</f>
        <v>Upcoming</v>
      </c>
      <c r="I11" s="16" t="str">
        <f aca="false">IF(A11="","",A11&amp;" / "&amp;B11)</f>
        <v>K2L / C02</v>
      </c>
      <c r="J11" s="14"/>
      <c r="K11" s="15" t="str">
        <f aca="false">IF(L11="","",IF(IF(L11="","Add source ID",IF(NOT(SUMPRODUCT(--(SourceData[ID]=L11))=1),"Unknown or duplicate source",IF(INDEX(SourceData[Input check],MATCH(L11,SourceData[ID],0))&lt;&gt;"","Complete source record","")))&lt;&gt;"","Check source",IF(INDEX(SourceData[URL],MATCH(L11,SourceData[ID],0))="",L11&amp;IF(M11="",""," "&amp;M11),HYPERLINK(INDEX(SourceData[URL],MATCH(L11,SourceData[ID],0)),L11&amp;IF(M11="",""," "&amp;M11)))))</f>
        <v>S04 pp3–4,7; RFI 07,18</v>
      </c>
      <c r="L11" s="14" t="s">
        <v>71</v>
      </c>
      <c r="M11" s="14" t="s">
        <v>170</v>
      </c>
      <c r="N11" s="16" t="str">
        <f aca="false">IF(NOT(OR(A11&lt;&gt;"",B11&lt;&gt;"",C11&lt;&gt;"",D11&lt;&gt;"",E11&lt;&gt;"",F11&lt;&gt;"",G11&lt;&gt;"",J11&lt;&gt;"",L11&lt;&gt;"",M11&lt;&gt;"")),"",IF(A11="","Add ID",IF(NOT(SUMPRODUCT(--(CheckData[ID]=A11))=1),"Duplicate ID",IF(AND(B11&lt;&gt;"TEAM",IF(B11="","Add candidate ID",IF(NOT(SUMPRODUCT(--(CandidateData[ID]=B11))=1),"Unknown or duplicate candidate",""))&lt;&gt;""),"Check candidate ID",IF(OR(C11="",F11=""),"Add check and action",IF(NOT(OR(D11="Yes",D11="No")),"Choose required",IF(NOT(OR(E11="Pass",E11="Fail",E11="Unresolved")),"Choose status",IF(OR(NOT(ISNUMBER(G11)),G11&lt;=0),"Add valid due date",IF(AND(E11&lt;&gt;"Unresolved",OR(J11="",L11="")),"Add confirmation evidence",IF(L11="","",IF(L11="","Add source ID",IF(NOT(SUMPRODUCT(--(SourceData[ID]=L11))=1),"Unknown or duplicate source",IF(INDEX(SourceData[Input check],MATCH(L11,SourceData[ID],0))&lt;&gt;"","Complete source record","")))))))))))))</f>
        <v/>
      </c>
    </row>
    <row r="12" customFormat="false" ht="66" hidden="false" customHeight="true" outlineLevel="0" collapsed="false">
      <c r="A12" s="14" t="s">
        <v>181</v>
      </c>
      <c r="B12" s="14" t="s">
        <v>35</v>
      </c>
      <c r="C12" s="14" t="s">
        <v>172</v>
      </c>
      <c r="D12" s="14" t="s">
        <v>168</v>
      </c>
      <c r="E12" s="14" t="s">
        <v>108</v>
      </c>
      <c r="F12" s="14" t="s">
        <v>173</v>
      </c>
      <c r="G12" s="24" t="n">
        <v>46282</v>
      </c>
      <c r="H12" s="16" t="str">
        <f aca="false">IF(A12="","",IF(N12&lt;&gt;"","Check inputs",IF(E12="Pass","Complete",IF(OR(NOT(ISNUMBER(Shortlist!$F$4)),Shortlist!$F$4&lt;=0),"Add as-of date",IF(G12&lt;Shortlist!$F$4,"Overdue",IF(G12=Shortlist!$F$4,"Due today","Upcoming"))))))</f>
        <v>Upcoming</v>
      </c>
      <c r="I12" s="16" t="str">
        <f aca="false">IF(A12="","",A12&amp;" / "&amp;B12)</f>
        <v>K2A / C02</v>
      </c>
      <c r="J12" s="14"/>
      <c r="K12" s="15" t="str">
        <f aca="false">IF(L12="","",IF(IF(L12="","Add source ID",IF(NOT(SUMPRODUCT(--(SourceData[ID]=L12))=1),"Unknown or duplicate source",IF(INDEX(SourceData[Input check],MATCH(L12,SourceData[ID],0))&lt;&gt;"","Complete source record","")))&lt;&gt;"","Check source",IF(INDEX(SourceData[URL],MATCH(L12,SourceData[ID],0))="",L12&amp;IF(M12="",""," "&amp;M12),HYPERLINK(INDEX(SourceData[URL],MATCH(L12,SourceData[ID],0)),L12&amp;IF(M12="",""," "&amp;M12)))))</f>
        <v>S03 p2 criteria 6–7; S04 pp6–8</v>
      </c>
      <c r="L12" s="14" t="s">
        <v>174</v>
      </c>
      <c r="M12" s="14" t="s">
        <v>175</v>
      </c>
      <c r="N12" s="16" t="str">
        <f aca="false">IF(NOT(OR(A12&lt;&gt;"",B12&lt;&gt;"",C12&lt;&gt;"",D12&lt;&gt;"",E12&lt;&gt;"",F12&lt;&gt;"",G12&lt;&gt;"",J12&lt;&gt;"",L12&lt;&gt;"",M12&lt;&gt;"")),"",IF(A12="","Add ID",IF(NOT(SUMPRODUCT(--(CheckData[ID]=A12))=1),"Duplicate ID",IF(AND(B12&lt;&gt;"TEAM",IF(B12="","Add candidate ID",IF(NOT(SUMPRODUCT(--(CandidateData[ID]=B12))=1),"Unknown or duplicate candidate",""))&lt;&gt;""),"Check candidate ID",IF(OR(C12="",F12=""),"Add check and action",IF(NOT(OR(D12="Yes",D12="No")),"Choose required",IF(NOT(OR(E12="Pass",E12="Fail",E12="Unresolved")),"Choose status",IF(OR(NOT(ISNUMBER(G12)),G12&lt;=0),"Add valid due date",IF(AND(E12&lt;&gt;"Unresolved",OR(J12="",L12="")),"Add confirmation evidence",IF(L12="","",IF(L12="","Add source ID",IF(NOT(SUMPRODUCT(--(SourceData[ID]=L12))=1),"Unknown or duplicate source",IF(INDEX(SourceData[Input check],MATCH(L12,SourceData[ID],0))&lt;&gt;"","Complete source record","")))))))))))))</f>
        <v/>
      </c>
    </row>
    <row r="13" customFormat="false" ht="66" hidden="false" customHeight="true" outlineLevel="0" collapsed="false">
      <c r="A13" s="14" t="s">
        <v>182</v>
      </c>
      <c r="B13" s="14" t="s">
        <v>35</v>
      </c>
      <c r="C13" s="14" t="s">
        <v>177</v>
      </c>
      <c r="D13" s="14" t="s">
        <v>168</v>
      </c>
      <c r="E13" s="14" t="s">
        <v>108</v>
      </c>
      <c r="F13" s="14" t="s">
        <v>178</v>
      </c>
      <c r="G13" s="24" t="n">
        <v>46283</v>
      </c>
      <c r="H13" s="16" t="str">
        <f aca="false">IF(A13="","",IF(N13&lt;&gt;"","Check inputs",IF(E13="Pass","Complete",IF(OR(NOT(ISNUMBER(Shortlist!$F$4)),Shortlist!$F$4&lt;=0),"Add as-of date",IF(G13&lt;Shortlist!$F$4,"Overdue",IF(G13=Shortlist!$F$4,"Due today","Upcoming"))))))</f>
        <v>Upcoming</v>
      </c>
      <c r="I13" s="16" t="str">
        <f aca="false">IF(A13="","",A13&amp;" / "&amp;B13)</f>
        <v>K2P / C02</v>
      </c>
      <c r="J13" s="14"/>
      <c r="K13" s="15" t="str">
        <f aca="false">IF(L13="","",IF(IF(L13="","Add source ID",IF(NOT(SUMPRODUCT(--(SourceData[ID]=L13))=1),"Unknown or duplicate source",IF(INDEX(SourceData[Input check],MATCH(L13,SourceData[ID],0))&lt;&gt;"","Complete source record","")))&lt;&gt;"","Check source",IF(INDEX(SourceData[URL],MATCH(L13,SourceData[ID],0))="",L13&amp;IF(M13="",""," "&amp;M13),HYPERLINK(INDEX(SourceData[URL],MATCH(L13,SourceData[ID],0)),L13&amp;IF(M13="",""," "&amp;M13)))))</f>
        <v>S04 pp5–6; RFI 13–14</v>
      </c>
      <c r="L13" s="14" t="s">
        <v>71</v>
      </c>
      <c r="M13" s="14" t="s">
        <v>179</v>
      </c>
      <c r="N13" s="16" t="str">
        <f aca="false">IF(NOT(OR(A13&lt;&gt;"",B13&lt;&gt;"",C13&lt;&gt;"",D13&lt;&gt;"",E13&lt;&gt;"",F13&lt;&gt;"",G13&lt;&gt;"",J13&lt;&gt;"",L13&lt;&gt;"",M13&lt;&gt;"")),"",IF(A13="","Add ID",IF(NOT(SUMPRODUCT(--(CheckData[ID]=A13))=1),"Duplicate ID",IF(AND(B13&lt;&gt;"TEAM",IF(B13="","Add candidate ID",IF(NOT(SUMPRODUCT(--(CandidateData[ID]=B13))=1),"Unknown or duplicate candidate",""))&lt;&gt;""),"Check candidate ID",IF(OR(C13="",F13=""),"Add check and action",IF(NOT(OR(D13="Yes",D13="No")),"Choose required",IF(NOT(OR(E13="Pass",E13="Fail",E13="Unresolved")),"Choose status",IF(OR(NOT(ISNUMBER(G13)),G13&lt;=0),"Add valid due date",IF(AND(E13&lt;&gt;"Unresolved",OR(J13="",L13="")),"Add confirmation evidence",IF(L13="","",IF(L13="","Add source ID",IF(NOT(SUMPRODUCT(--(SourceData[ID]=L13))=1),"Unknown or duplicate source",IF(INDEX(SourceData[Input check],MATCH(L13,SourceData[ID],0))&lt;&gt;"","Complete source record","")))))))))))))</f>
        <v/>
      </c>
    </row>
    <row r="14" customFormat="false" ht="66" hidden="false" customHeight="true" outlineLevel="0" collapsed="false">
      <c r="A14" s="14" t="s">
        <v>183</v>
      </c>
      <c r="B14" s="14" t="s">
        <v>41</v>
      </c>
      <c r="C14" s="14" t="s">
        <v>167</v>
      </c>
      <c r="D14" s="14" t="s">
        <v>168</v>
      </c>
      <c r="E14" s="14" t="s">
        <v>108</v>
      </c>
      <c r="F14" s="14" t="s">
        <v>169</v>
      </c>
      <c r="G14" s="24" t="n">
        <v>46283</v>
      </c>
      <c r="H14" s="16" t="str">
        <f aca="false">IF(A14="","",IF(N14&lt;&gt;"","Check inputs",IF(E14="Pass","Complete",IF(OR(NOT(ISNUMBER(Shortlist!$F$4)),Shortlist!$F$4&lt;=0),"Add as-of date",IF(G14&lt;Shortlist!$F$4,"Overdue",IF(G14=Shortlist!$F$4,"Due today","Upcoming"))))))</f>
        <v>Upcoming</v>
      </c>
      <c r="I14" s="16" t="str">
        <f aca="false">IF(A14="","",A14&amp;" / "&amp;B14)</f>
        <v>K3L / C03</v>
      </c>
      <c r="J14" s="14"/>
      <c r="K14" s="15" t="str">
        <f aca="false">IF(L14="","",IF(IF(L14="","Add source ID",IF(NOT(SUMPRODUCT(--(SourceData[ID]=L14))=1),"Unknown or duplicate source",IF(INDEX(SourceData[Input check],MATCH(L14,SourceData[ID],0))&lt;&gt;"","Complete source record","")))&lt;&gt;"","Check source",IF(INDEX(SourceData[URL],MATCH(L14,SourceData[ID],0))="",L14&amp;IF(M14="",""," "&amp;M14),HYPERLINK(INDEX(SourceData[URL],MATCH(L14,SourceData[ID],0)),L14&amp;IF(M14="",""," "&amp;M14)))))</f>
        <v>S04 pp3–4,7; RFI 07,18</v>
      </c>
      <c r="L14" s="14" t="s">
        <v>71</v>
      </c>
      <c r="M14" s="14" t="s">
        <v>170</v>
      </c>
      <c r="N14" s="16" t="str">
        <f aca="false">IF(NOT(OR(A14&lt;&gt;"",B14&lt;&gt;"",C14&lt;&gt;"",D14&lt;&gt;"",E14&lt;&gt;"",F14&lt;&gt;"",G14&lt;&gt;"",J14&lt;&gt;"",L14&lt;&gt;"",M14&lt;&gt;"")),"",IF(A14="","Add ID",IF(NOT(SUMPRODUCT(--(CheckData[ID]=A14))=1),"Duplicate ID",IF(AND(B14&lt;&gt;"TEAM",IF(B14="","Add candidate ID",IF(NOT(SUMPRODUCT(--(CandidateData[ID]=B14))=1),"Unknown or duplicate candidate",""))&lt;&gt;""),"Check candidate ID",IF(OR(C14="",F14=""),"Add check and action",IF(NOT(OR(D14="Yes",D14="No")),"Choose required",IF(NOT(OR(E14="Pass",E14="Fail",E14="Unresolved")),"Choose status",IF(OR(NOT(ISNUMBER(G14)),G14&lt;=0),"Add valid due date",IF(AND(E14&lt;&gt;"Unresolved",OR(J14="",L14="")),"Add confirmation evidence",IF(L14="","",IF(L14="","Add source ID",IF(NOT(SUMPRODUCT(--(SourceData[ID]=L14))=1),"Unknown or duplicate source",IF(INDEX(SourceData[Input check],MATCH(L14,SourceData[ID],0))&lt;&gt;"","Complete source record","")))))))))))))</f>
        <v/>
      </c>
    </row>
    <row r="15" customFormat="false" ht="66" hidden="false" customHeight="true" outlineLevel="0" collapsed="false">
      <c r="A15" s="14" t="s">
        <v>184</v>
      </c>
      <c r="B15" s="14" t="s">
        <v>41</v>
      </c>
      <c r="C15" s="14" t="s">
        <v>172</v>
      </c>
      <c r="D15" s="14" t="s">
        <v>168</v>
      </c>
      <c r="E15" s="14" t="s">
        <v>108</v>
      </c>
      <c r="F15" s="14" t="s">
        <v>173</v>
      </c>
      <c r="G15" s="24" t="n">
        <v>46282</v>
      </c>
      <c r="H15" s="16" t="str">
        <f aca="false">IF(A15="","",IF(N15&lt;&gt;"","Check inputs",IF(E15="Pass","Complete",IF(OR(NOT(ISNUMBER(Shortlist!$F$4)),Shortlist!$F$4&lt;=0),"Add as-of date",IF(G15&lt;Shortlist!$F$4,"Overdue",IF(G15=Shortlist!$F$4,"Due today","Upcoming"))))))</f>
        <v>Upcoming</v>
      </c>
      <c r="I15" s="16" t="str">
        <f aca="false">IF(A15="","",A15&amp;" / "&amp;B15)</f>
        <v>K3A / C03</v>
      </c>
      <c r="J15" s="14"/>
      <c r="K15" s="15" t="str">
        <f aca="false">IF(L15="","",IF(IF(L15="","Add source ID",IF(NOT(SUMPRODUCT(--(SourceData[ID]=L15))=1),"Unknown or duplicate source",IF(INDEX(SourceData[Input check],MATCH(L15,SourceData[ID],0))&lt;&gt;"","Complete source record","")))&lt;&gt;"","Check source",IF(INDEX(SourceData[URL],MATCH(L15,SourceData[ID],0))="",L15&amp;IF(M15="",""," "&amp;M15),HYPERLINK(INDEX(SourceData[URL],MATCH(L15,SourceData[ID],0)),L15&amp;IF(M15="",""," "&amp;M15)))))</f>
        <v>S03 p2 criteria 6–7; S04 pp6–8</v>
      </c>
      <c r="L15" s="14" t="s">
        <v>174</v>
      </c>
      <c r="M15" s="14" t="s">
        <v>175</v>
      </c>
      <c r="N15" s="16" t="str">
        <f aca="false">IF(NOT(OR(A15&lt;&gt;"",B15&lt;&gt;"",C15&lt;&gt;"",D15&lt;&gt;"",E15&lt;&gt;"",F15&lt;&gt;"",G15&lt;&gt;"",J15&lt;&gt;"",L15&lt;&gt;"",M15&lt;&gt;"")),"",IF(A15="","Add ID",IF(NOT(SUMPRODUCT(--(CheckData[ID]=A15))=1),"Duplicate ID",IF(AND(B15&lt;&gt;"TEAM",IF(B15="","Add candidate ID",IF(NOT(SUMPRODUCT(--(CandidateData[ID]=B15))=1),"Unknown or duplicate candidate",""))&lt;&gt;""),"Check candidate ID",IF(OR(C15="",F15=""),"Add check and action",IF(NOT(OR(D15="Yes",D15="No")),"Choose required",IF(NOT(OR(E15="Pass",E15="Fail",E15="Unresolved")),"Choose status",IF(OR(NOT(ISNUMBER(G15)),G15&lt;=0),"Add valid due date",IF(AND(E15&lt;&gt;"Unresolved",OR(J15="",L15="")),"Add confirmation evidence",IF(L15="","",IF(L15="","Add source ID",IF(NOT(SUMPRODUCT(--(SourceData[ID]=L15))=1),"Unknown or duplicate source",IF(INDEX(SourceData[Input check],MATCH(L15,SourceData[ID],0))&lt;&gt;"","Complete source record","")))))))))))))</f>
        <v/>
      </c>
    </row>
    <row r="16" customFormat="false" ht="66" hidden="false" customHeight="true" outlineLevel="0" collapsed="false">
      <c r="A16" s="14" t="s">
        <v>185</v>
      </c>
      <c r="B16" s="14" t="s">
        <v>41</v>
      </c>
      <c r="C16" s="14" t="s">
        <v>177</v>
      </c>
      <c r="D16" s="14" t="s">
        <v>168</v>
      </c>
      <c r="E16" s="14" t="s">
        <v>108</v>
      </c>
      <c r="F16" s="14" t="s">
        <v>178</v>
      </c>
      <c r="G16" s="24" t="n">
        <v>46283</v>
      </c>
      <c r="H16" s="16" t="str">
        <f aca="false">IF(A16="","",IF(N16&lt;&gt;"","Check inputs",IF(E16="Pass","Complete",IF(OR(NOT(ISNUMBER(Shortlist!$F$4)),Shortlist!$F$4&lt;=0),"Add as-of date",IF(G16&lt;Shortlist!$F$4,"Overdue",IF(G16=Shortlist!$F$4,"Due today","Upcoming"))))))</f>
        <v>Upcoming</v>
      </c>
      <c r="I16" s="16" t="str">
        <f aca="false">IF(A16="","",A16&amp;" / "&amp;B16)</f>
        <v>K3P / C03</v>
      </c>
      <c r="J16" s="14"/>
      <c r="K16" s="15" t="str">
        <f aca="false">IF(L16="","",IF(IF(L16="","Add source ID",IF(NOT(SUMPRODUCT(--(SourceData[ID]=L16))=1),"Unknown or duplicate source",IF(INDEX(SourceData[Input check],MATCH(L16,SourceData[ID],0))&lt;&gt;"","Complete source record","")))&lt;&gt;"","Check source",IF(INDEX(SourceData[URL],MATCH(L16,SourceData[ID],0))="",L16&amp;IF(M16="",""," "&amp;M16),HYPERLINK(INDEX(SourceData[URL],MATCH(L16,SourceData[ID],0)),L16&amp;IF(M16="",""," "&amp;M16)))))</f>
        <v>S04 pp5–6; RFI 13–14</v>
      </c>
      <c r="L16" s="14" t="s">
        <v>71</v>
      </c>
      <c r="M16" s="14" t="s">
        <v>179</v>
      </c>
      <c r="N16" s="16" t="str">
        <f aca="false">IF(NOT(OR(A16&lt;&gt;"",B16&lt;&gt;"",C16&lt;&gt;"",D16&lt;&gt;"",E16&lt;&gt;"",F16&lt;&gt;"",G16&lt;&gt;"",J16&lt;&gt;"",L16&lt;&gt;"",M16&lt;&gt;"")),"",IF(A16="","Add ID",IF(NOT(SUMPRODUCT(--(CheckData[ID]=A16))=1),"Duplicate ID",IF(AND(B16&lt;&gt;"TEAM",IF(B16="","Add candidate ID",IF(NOT(SUMPRODUCT(--(CandidateData[ID]=B16))=1),"Unknown or duplicate candidate",""))&lt;&gt;""),"Check candidate ID",IF(OR(C16="",F16=""),"Add check and action",IF(NOT(OR(D16="Yes",D16="No")),"Choose required",IF(NOT(OR(E16="Pass",E16="Fail",E16="Unresolved")),"Choose status",IF(OR(NOT(ISNUMBER(G16)),G16&lt;=0),"Add valid due date",IF(AND(E16&lt;&gt;"Unresolved",OR(J16="",L16="")),"Add confirmation evidence",IF(L16="","",IF(L16="","Add source ID",IF(NOT(SUMPRODUCT(--(SourceData[ID]=L16))=1),"Unknown or duplicate source",IF(INDEX(SourceData[Input check],MATCH(L16,SourceData[ID],0))&lt;&gt;"","Complete source record","")))))))))))))</f>
        <v/>
      </c>
    </row>
    <row r="17" customFormat="false" ht="66" hidden="false" customHeight="true" outlineLevel="0" collapsed="false">
      <c r="A17" s="14" t="s">
        <v>186</v>
      </c>
      <c r="B17" s="14" t="s">
        <v>48</v>
      </c>
      <c r="C17" s="14" t="s">
        <v>167</v>
      </c>
      <c r="D17" s="14" t="s">
        <v>168</v>
      </c>
      <c r="E17" s="14" t="s">
        <v>108</v>
      </c>
      <c r="F17" s="14" t="s">
        <v>169</v>
      </c>
      <c r="G17" s="24" t="n">
        <v>46283</v>
      </c>
      <c r="H17" s="16" t="str">
        <f aca="false">IF(A17="","",IF(N17&lt;&gt;"","Check inputs",IF(E17="Pass","Complete",IF(OR(NOT(ISNUMBER(Shortlist!$F$4)),Shortlist!$F$4&lt;=0),"Add as-of date",IF(G17&lt;Shortlist!$F$4,"Overdue",IF(G17=Shortlist!$F$4,"Due today","Upcoming"))))))</f>
        <v>Upcoming</v>
      </c>
      <c r="I17" s="16" t="str">
        <f aca="false">IF(A17="","",A17&amp;" / "&amp;B17)</f>
        <v>K4L / C04</v>
      </c>
      <c r="J17" s="14"/>
      <c r="K17" s="15" t="str">
        <f aca="false">IF(L17="","",IF(IF(L17="","Add source ID",IF(NOT(SUMPRODUCT(--(SourceData[ID]=L17))=1),"Unknown or duplicate source",IF(INDEX(SourceData[Input check],MATCH(L17,SourceData[ID],0))&lt;&gt;"","Complete source record","")))&lt;&gt;"","Check source",IF(INDEX(SourceData[URL],MATCH(L17,SourceData[ID],0))="",L17&amp;IF(M17="",""," "&amp;M17),HYPERLINK(INDEX(SourceData[URL],MATCH(L17,SourceData[ID],0)),L17&amp;IF(M17="",""," "&amp;M17)))))</f>
        <v>S04 pp3–4,7; RFI 07,18</v>
      </c>
      <c r="L17" s="14" t="s">
        <v>71</v>
      </c>
      <c r="M17" s="14" t="s">
        <v>170</v>
      </c>
      <c r="N17" s="16" t="str">
        <f aca="false">IF(NOT(OR(A17&lt;&gt;"",B17&lt;&gt;"",C17&lt;&gt;"",D17&lt;&gt;"",E17&lt;&gt;"",F17&lt;&gt;"",G17&lt;&gt;"",J17&lt;&gt;"",L17&lt;&gt;"",M17&lt;&gt;"")),"",IF(A17="","Add ID",IF(NOT(SUMPRODUCT(--(CheckData[ID]=A17))=1),"Duplicate ID",IF(AND(B17&lt;&gt;"TEAM",IF(B17="","Add candidate ID",IF(NOT(SUMPRODUCT(--(CandidateData[ID]=B17))=1),"Unknown or duplicate candidate",""))&lt;&gt;""),"Check candidate ID",IF(OR(C17="",F17=""),"Add check and action",IF(NOT(OR(D17="Yes",D17="No")),"Choose required",IF(NOT(OR(E17="Pass",E17="Fail",E17="Unresolved")),"Choose status",IF(OR(NOT(ISNUMBER(G17)),G17&lt;=0),"Add valid due date",IF(AND(E17&lt;&gt;"Unresolved",OR(J17="",L17="")),"Add confirmation evidence",IF(L17="","",IF(L17="","Add source ID",IF(NOT(SUMPRODUCT(--(SourceData[ID]=L17))=1),"Unknown or duplicate source",IF(INDEX(SourceData[Input check],MATCH(L17,SourceData[ID],0))&lt;&gt;"","Complete source record","")))))))))))))</f>
        <v/>
      </c>
    </row>
    <row r="18" customFormat="false" ht="66" hidden="false" customHeight="true" outlineLevel="0" collapsed="false">
      <c r="A18" s="14" t="s">
        <v>187</v>
      </c>
      <c r="B18" s="14" t="s">
        <v>48</v>
      </c>
      <c r="C18" s="14" t="s">
        <v>172</v>
      </c>
      <c r="D18" s="14" t="s">
        <v>168</v>
      </c>
      <c r="E18" s="14" t="s">
        <v>108</v>
      </c>
      <c r="F18" s="14" t="s">
        <v>173</v>
      </c>
      <c r="G18" s="24" t="n">
        <v>46282</v>
      </c>
      <c r="H18" s="16" t="str">
        <f aca="false">IF(A18="","",IF(N18&lt;&gt;"","Check inputs",IF(E18="Pass","Complete",IF(OR(NOT(ISNUMBER(Shortlist!$F$4)),Shortlist!$F$4&lt;=0),"Add as-of date",IF(G18&lt;Shortlist!$F$4,"Overdue",IF(G18=Shortlist!$F$4,"Due today","Upcoming"))))))</f>
        <v>Upcoming</v>
      </c>
      <c r="I18" s="16" t="str">
        <f aca="false">IF(A18="","",A18&amp;" / "&amp;B18)</f>
        <v>K4A / C04</v>
      </c>
      <c r="J18" s="14"/>
      <c r="K18" s="15" t="str">
        <f aca="false">IF(L18="","",IF(IF(L18="","Add source ID",IF(NOT(SUMPRODUCT(--(SourceData[ID]=L18))=1),"Unknown or duplicate source",IF(INDEX(SourceData[Input check],MATCH(L18,SourceData[ID],0))&lt;&gt;"","Complete source record","")))&lt;&gt;"","Check source",IF(INDEX(SourceData[URL],MATCH(L18,SourceData[ID],0))="",L18&amp;IF(M18="",""," "&amp;M18),HYPERLINK(INDEX(SourceData[URL],MATCH(L18,SourceData[ID],0)),L18&amp;IF(M18="",""," "&amp;M18)))))</f>
        <v>S03 p2 criteria 6–7; S04 pp6–8</v>
      </c>
      <c r="L18" s="14" t="s">
        <v>174</v>
      </c>
      <c r="M18" s="14" t="s">
        <v>175</v>
      </c>
      <c r="N18" s="16" t="str">
        <f aca="false">IF(NOT(OR(A18&lt;&gt;"",B18&lt;&gt;"",C18&lt;&gt;"",D18&lt;&gt;"",E18&lt;&gt;"",F18&lt;&gt;"",G18&lt;&gt;"",J18&lt;&gt;"",L18&lt;&gt;"",M18&lt;&gt;"")),"",IF(A18="","Add ID",IF(NOT(SUMPRODUCT(--(CheckData[ID]=A18))=1),"Duplicate ID",IF(AND(B18&lt;&gt;"TEAM",IF(B18="","Add candidate ID",IF(NOT(SUMPRODUCT(--(CandidateData[ID]=B18))=1),"Unknown or duplicate candidate",""))&lt;&gt;""),"Check candidate ID",IF(OR(C18="",F18=""),"Add check and action",IF(NOT(OR(D18="Yes",D18="No")),"Choose required",IF(NOT(OR(E18="Pass",E18="Fail",E18="Unresolved")),"Choose status",IF(OR(NOT(ISNUMBER(G18)),G18&lt;=0),"Add valid due date",IF(AND(E18&lt;&gt;"Unresolved",OR(J18="",L18="")),"Add confirmation evidence",IF(L18="","",IF(L18="","Add source ID",IF(NOT(SUMPRODUCT(--(SourceData[ID]=L18))=1),"Unknown or duplicate source",IF(INDEX(SourceData[Input check],MATCH(L18,SourceData[ID],0))&lt;&gt;"","Complete source record","")))))))))))))</f>
        <v/>
      </c>
    </row>
    <row r="19" customFormat="false" ht="66" hidden="false" customHeight="true" outlineLevel="0" collapsed="false">
      <c r="A19" s="14" t="s">
        <v>188</v>
      </c>
      <c r="B19" s="14" t="s">
        <v>48</v>
      </c>
      <c r="C19" s="14" t="s">
        <v>177</v>
      </c>
      <c r="D19" s="14" t="s">
        <v>168</v>
      </c>
      <c r="E19" s="14" t="s">
        <v>108</v>
      </c>
      <c r="F19" s="14" t="s">
        <v>178</v>
      </c>
      <c r="G19" s="24" t="n">
        <v>46283</v>
      </c>
      <c r="H19" s="16" t="str">
        <f aca="false">IF(A19="","",IF(N19&lt;&gt;"","Check inputs",IF(E19="Pass","Complete",IF(OR(NOT(ISNUMBER(Shortlist!$F$4)),Shortlist!$F$4&lt;=0),"Add as-of date",IF(G19&lt;Shortlist!$F$4,"Overdue",IF(G19=Shortlist!$F$4,"Due today","Upcoming"))))))</f>
        <v>Upcoming</v>
      </c>
      <c r="I19" s="16" t="str">
        <f aca="false">IF(A19="","",A19&amp;" / "&amp;B19)</f>
        <v>K4P / C04</v>
      </c>
      <c r="J19" s="14"/>
      <c r="K19" s="15" t="str">
        <f aca="false">IF(L19="","",IF(IF(L19="","Add source ID",IF(NOT(SUMPRODUCT(--(SourceData[ID]=L19))=1),"Unknown or duplicate source",IF(INDEX(SourceData[Input check],MATCH(L19,SourceData[ID],0))&lt;&gt;"","Complete source record","")))&lt;&gt;"","Check source",IF(INDEX(SourceData[URL],MATCH(L19,SourceData[ID],0))="",L19&amp;IF(M19="",""," "&amp;M19),HYPERLINK(INDEX(SourceData[URL],MATCH(L19,SourceData[ID],0)),L19&amp;IF(M19="",""," "&amp;M19)))))</f>
        <v>S04 pp5–6; RFI 13–14</v>
      </c>
      <c r="L19" s="14" t="s">
        <v>71</v>
      </c>
      <c r="M19" s="14" t="s">
        <v>179</v>
      </c>
      <c r="N19" s="16" t="str">
        <f aca="false">IF(NOT(OR(A19&lt;&gt;"",B19&lt;&gt;"",C19&lt;&gt;"",D19&lt;&gt;"",E19&lt;&gt;"",F19&lt;&gt;"",G19&lt;&gt;"",J19&lt;&gt;"",L19&lt;&gt;"",M19&lt;&gt;"")),"",IF(A19="","Add ID",IF(NOT(SUMPRODUCT(--(CheckData[ID]=A19))=1),"Duplicate ID",IF(AND(B19&lt;&gt;"TEAM",IF(B19="","Add candidate ID",IF(NOT(SUMPRODUCT(--(CandidateData[ID]=B19))=1),"Unknown or duplicate candidate",""))&lt;&gt;""),"Check candidate ID",IF(OR(C19="",F19=""),"Add check and action",IF(NOT(OR(D19="Yes",D19="No")),"Choose required",IF(NOT(OR(E19="Pass",E19="Fail",E19="Unresolved")),"Choose status",IF(OR(NOT(ISNUMBER(G19)),G19&lt;=0),"Add valid due date",IF(AND(E19&lt;&gt;"Unresolved",OR(J19="",L19="")),"Add confirmation evidence",IF(L19="","",IF(L19="","Add source ID",IF(NOT(SUMPRODUCT(--(SourceData[ID]=L19))=1),"Unknown or duplicate source",IF(INDEX(SourceData[Input check],MATCH(L19,SourceData[ID],0))&lt;&gt;"","Complete source record","")))))))))))))</f>
        <v/>
      </c>
    </row>
    <row r="20" customFormat="false" ht="66" hidden="false" customHeight="true" outlineLevel="0" collapsed="false">
      <c r="A20" s="14" t="s">
        <v>189</v>
      </c>
      <c r="B20" s="14" t="s">
        <v>190</v>
      </c>
      <c r="C20" s="14" t="s">
        <v>191</v>
      </c>
      <c r="D20" s="14" t="s">
        <v>168</v>
      </c>
      <c r="E20" s="14" t="s">
        <v>108</v>
      </c>
      <c r="F20" s="14" t="s">
        <v>192</v>
      </c>
      <c r="G20" s="24" t="n">
        <v>46283</v>
      </c>
      <c r="H20" s="16" t="str">
        <f aca="false">IF(A20="","",IF(N20&lt;&gt;"","Check inputs",IF(E20="Pass","Complete",IF(OR(NOT(ISNUMBER(Shortlist!$F$4)),Shortlist!$F$4&lt;=0),"Add as-of date",IF(G20&lt;Shortlist!$F$4,"Overdue",IF(G20=Shortlist!$F$4,"Due today","Upcoming"))))))</f>
        <v>Upcoming</v>
      </c>
      <c r="I20" s="16" t="str">
        <f aca="false">IF(A20="","",A20&amp;" / "&amp;B20)</f>
        <v>KTP / TEAM</v>
      </c>
      <c r="J20" s="14"/>
      <c r="K20" s="15" t="str">
        <f aca="false">IF(L20="","",IF(IF(L20="","Add source ID",IF(NOT(SUMPRODUCT(--(SourceData[ID]=L20))=1),"Unknown or duplicate source",IF(INDEX(SourceData[Input check],MATCH(L20,SourceData[ID],0))&lt;&gt;"","Complete source record","")))&lt;&gt;"","Check source",IF(INDEX(SourceData[URL],MATCH(L20,SourceData[ID],0))="",L20&amp;IF(M20="",""," "&amp;M20),HYPERLINK(INDEX(SourceData[URL],MATCH(L20,SourceData[ID],0)),L20&amp;IF(M20="",""," "&amp;M20)))))</f>
        <v>S01 Set-aside; validate applicable terms in base solicitation</v>
      </c>
      <c r="L20" s="14" t="s">
        <v>193</v>
      </c>
      <c r="M20" s="14" t="s">
        <v>194</v>
      </c>
      <c r="N20" s="16" t="str">
        <f aca="false">IF(NOT(OR(A20&lt;&gt;"",B20&lt;&gt;"",C20&lt;&gt;"",D20&lt;&gt;"",E20&lt;&gt;"",F20&lt;&gt;"",G20&lt;&gt;"",J20&lt;&gt;"",L20&lt;&gt;"",M20&lt;&gt;"")),"",IF(A20="","Add ID",IF(NOT(SUMPRODUCT(--(CheckData[ID]=A20))=1),"Duplicate ID",IF(AND(B20&lt;&gt;"TEAM",IF(B20="","Add candidate ID",IF(NOT(SUMPRODUCT(--(CandidateData[ID]=B20))=1),"Unknown or duplicate candidate",""))&lt;&gt;""),"Check candidate ID",IF(OR(C20="",F20=""),"Add check and action",IF(NOT(OR(D20="Yes",D20="No")),"Choose required",IF(NOT(OR(E20="Pass",E20="Fail",E20="Unresolved")),"Choose status",IF(OR(NOT(ISNUMBER(G20)),G20&lt;=0),"Add valid due date",IF(AND(E20&lt;&gt;"Unresolved",OR(J20="",L20="")),"Add confirmation evidence",IF(L20="","",IF(L20="","Add source ID",IF(NOT(SUMPRODUCT(--(SourceData[ID]=L20))=1),"Unknown or duplicate source",IF(INDEX(SourceData[Input check],MATCH(L20,SourceData[ID],0))&lt;&gt;"","Complete source record","")))))))))))))</f>
        <v/>
      </c>
    </row>
    <row r="21" customFormat="false" ht="66" hidden="false" customHeight="true" outlineLevel="0" collapsed="false">
      <c r="A21" s="14" t="s">
        <v>195</v>
      </c>
      <c r="B21" s="14" t="s">
        <v>190</v>
      </c>
      <c r="C21" s="14" t="s">
        <v>196</v>
      </c>
      <c r="D21" s="14" t="s">
        <v>168</v>
      </c>
      <c r="E21" s="14" t="s">
        <v>108</v>
      </c>
      <c r="F21" s="14" t="s">
        <v>197</v>
      </c>
      <c r="G21" s="24" t="n">
        <v>46286</v>
      </c>
      <c r="H21" s="16" t="str">
        <f aca="false">IF(A21="","",IF(N21&lt;&gt;"","Check inputs",IF(E21="Pass","Complete",IF(OR(NOT(ISNUMBER(Shortlist!$F$4)),Shortlist!$F$4&lt;=0),"Add as-of date",IF(G21&lt;Shortlist!$F$4,"Overdue",IF(G21=Shortlist!$F$4,"Due today","Upcoming"))))))</f>
        <v>Upcoming</v>
      </c>
      <c r="I21" s="16" t="str">
        <f aca="false">IF(A21="","",A21&amp;" / "&amp;B21)</f>
        <v>KTR / TEAM</v>
      </c>
      <c r="J21" s="14"/>
      <c r="K21" s="15" t="str">
        <f aca="false">IF(L21="","",IF(IF(L21="","Add source ID",IF(NOT(SUMPRODUCT(--(SourceData[ID]=L21))=1),"Unknown or duplicate source",IF(INDEX(SourceData[Input check],MATCH(L21,SourceData[ID],0))&lt;&gt;"","Complete source record","")))&lt;&gt;"","Check source",IF(INDEX(SourceData[URL],MATCH(L21,SourceData[ID],0))="",L21&amp;IF(M21="",""," "&amp;M21),HYPERLINK(INDEX(SourceData[URL],MATCH(L21,SourceData[ID],0)),L21&amp;IF(M21="",""," "&amp;M21)))))</f>
        <v>S04 pp5–7,10; S03 p2 criterion 6</v>
      </c>
      <c r="L21" s="14" t="s">
        <v>71</v>
      </c>
      <c r="M21" s="14" t="s">
        <v>198</v>
      </c>
      <c r="N21" s="16" t="str">
        <f aca="false">IF(NOT(OR(A21&lt;&gt;"",B21&lt;&gt;"",C21&lt;&gt;"",D21&lt;&gt;"",E21&lt;&gt;"",F21&lt;&gt;"",G21&lt;&gt;"",J21&lt;&gt;"",L21&lt;&gt;"",M21&lt;&gt;"")),"",IF(A21="","Add ID",IF(NOT(SUMPRODUCT(--(CheckData[ID]=A21))=1),"Duplicate ID",IF(AND(B21&lt;&gt;"TEAM",IF(B21="","Add candidate ID",IF(NOT(SUMPRODUCT(--(CandidateData[ID]=B21))=1),"Unknown or duplicate candidate",""))&lt;&gt;""),"Check candidate ID",IF(OR(C21="",F21=""),"Add check and action",IF(NOT(OR(D21="Yes",D21="No")),"Choose required",IF(NOT(OR(E21="Pass",E21="Fail",E21="Unresolved")),"Choose status",IF(OR(NOT(ISNUMBER(G21)),G21&lt;=0),"Add valid due date",IF(AND(E21&lt;&gt;"Unresolved",OR(J21="",L21="")),"Add confirmation evidence",IF(L21="","",IF(L21="","Add source ID",IF(NOT(SUMPRODUCT(--(SourceData[ID]=L21))=1),"Unknown or duplicate source",IF(INDEX(SourceData[Input check],MATCH(L21,SourceData[ID],0))&lt;&gt;"","Complete source record","")))))))))))))</f>
        <v/>
      </c>
    </row>
    <row r="22" customFormat="false" ht="26" hidden="false" customHeight="true" outlineLevel="0" collapsed="false">
      <c r="A22" s="14"/>
      <c r="B22" s="14"/>
      <c r="C22" s="14"/>
      <c r="D22" s="14"/>
      <c r="E22" s="14"/>
      <c r="F22" s="14"/>
      <c r="G22" s="24"/>
      <c r="H22" s="16" t="str">
        <f aca="false">IF(A22="","",IF(N22&lt;&gt;"","Check inputs",IF(E22="Pass","Complete",IF(OR(NOT(ISNUMBER(Shortlist!$F$4)),Shortlist!$F$4&lt;=0),"Add as-of date",IF(G22&lt;Shortlist!$F$4,"Overdue",IF(G22=Shortlist!$F$4,"Due today","Upcoming"))))))</f>
        <v/>
      </c>
      <c r="I22" s="16" t="str">
        <f aca="false">IF(A22="","",A22&amp;" / "&amp;B22)</f>
        <v/>
      </c>
      <c r="J22" s="14"/>
      <c r="K22" s="15" t="str">
        <f aca="false">IF(L22="","",IF(IF(L22="","Add source ID",IF(NOT(SUMPRODUCT(--(SourceData[ID]=L22))=1),"Unknown or duplicate source",IF(INDEX(SourceData[Input check],MATCH(L22,SourceData[ID],0))&lt;&gt;"","Complete source record","")))&lt;&gt;"","Check source",IF(INDEX(SourceData[URL],MATCH(L22,SourceData[ID],0))="",L22&amp;IF(M22="",""," "&amp;M22),HYPERLINK(INDEX(SourceData[URL],MATCH(L22,SourceData[ID],0)),L22&amp;IF(M22="",""," "&amp;M22)))))</f>
        <v/>
      </c>
      <c r="L22" s="14"/>
      <c r="M22" s="14"/>
      <c r="N22" s="16" t="str">
        <f aca="false">IF(NOT(OR(A22&lt;&gt;"",B22&lt;&gt;"",C22&lt;&gt;"",D22&lt;&gt;"",E22&lt;&gt;"",F22&lt;&gt;"",G22&lt;&gt;"",J22&lt;&gt;"",L22&lt;&gt;"",M22&lt;&gt;"")),"",IF(A22="","Add ID",IF(NOT(SUMPRODUCT(--(CheckData[ID]=A22))=1),"Duplicate ID",IF(AND(B22&lt;&gt;"TEAM",IF(B22="","Add candidate ID",IF(NOT(SUMPRODUCT(--(CandidateData[ID]=B22))=1),"Unknown or duplicate candidate",""))&lt;&gt;""),"Check candidate ID",IF(OR(C22="",F22=""),"Add check and action",IF(NOT(OR(D22="Yes",D22="No")),"Choose required",IF(NOT(OR(E22="Pass",E22="Fail",E22="Unresolved")),"Choose status",IF(OR(NOT(ISNUMBER(G22)),G22&lt;=0),"Add valid due date",IF(AND(E22&lt;&gt;"Unresolved",OR(J22="",L22="")),"Add confirmation evidence",IF(L22="","",IF(L22="","Add source ID",IF(NOT(SUMPRODUCT(--(SourceData[ID]=L22))=1),"Unknown or duplicate source",IF(INDEX(SourceData[Input check],MATCH(L22,SourceData[ID],0))&lt;&gt;"","Complete source record","")))))))))))))</f>
        <v/>
      </c>
    </row>
    <row r="23" customFormat="false" ht="26" hidden="false" customHeight="true" outlineLevel="0" collapsed="false">
      <c r="A23" s="17"/>
      <c r="B23" s="17"/>
      <c r="C23" s="17"/>
      <c r="D23" s="17"/>
      <c r="E23" s="17"/>
      <c r="F23" s="17"/>
      <c r="G23" s="25"/>
      <c r="H23" s="19" t="str">
        <f aca="false">IF(A23="","",IF(N23&lt;&gt;"","Check inputs",IF(E23="Pass","Complete",IF(OR(NOT(ISNUMBER(Shortlist!$F$4)),Shortlist!$F$4&lt;=0),"Add as-of date",IF(G23&lt;Shortlist!$F$4,"Overdue",IF(G23=Shortlist!$F$4,"Due today","Upcoming"))))))</f>
        <v/>
      </c>
      <c r="I23" s="19" t="str">
        <f aca="false">IF(A23="","",A23&amp;" / "&amp;B23)</f>
        <v/>
      </c>
      <c r="J23" s="17"/>
      <c r="K23" s="18" t="str">
        <f aca="false">IF(L23="","",IF(IF(L23="","Add source ID",IF(NOT(SUMPRODUCT(--(SourceData[ID]=L23))=1),"Unknown or duplicate source",IF(INDEX(SourceData[Input check],MATCH(L23,SourceData[ID],0))&lt;&gt;"","Complete source record","")))&lt;&gt;"","Check source",IF(INDEX(SourceData[URL],MATCH(L23,SourceData[ID],0))="",L23&amp;IF(M23="",""," "&amp;M23),HYPERLINK(INDEX(SourceData[URL],MATCH(L23,SourceData[ID],0)),L23&amp;IF(M23="",""," "&amp;M23)))))</f>
        <v/>
      </c>
      <c r="L23" s="17"/>
      <c r="M23" s="17"/>
      <c r="N23" s="19" t="str">
        <f aca="false">IF(NOT(OR(A23&lt;&gt;"",B23&lt;&gt;"",C23&lt;&gt;"",D23&lt;&gt;"",E23&lt;&gt;"",F23&lt;&gt;"",G23&lt;&gt;"",J23&lt;&gt;"",L23&lt;&gt;"",M23&lt;&gt;"")),"",IF(A23="","Add ID",IF(NOT(SUMPRODUCT(--(CheckData[ID]=A23))=1),"Duplicate ID",IF(AND(B23&lt;&gt;"TEAM",IF(B23="","Add candidate ID",IF(NOT(SUMPRODUCT(--(CandidateData[ID]=B23))=1),"Unknown or duplicate candidate",""))&lt;&gt;""),"Check candidate ID",IF(OR(C23="",F23=""),"Add check and action",IF(NOT(OR(D23="Yes",D23="No")),"Choose required",IF(NOT(OR(E23="Pass",E23="Fail",E23="Unresolved")),"Choose status",IF(OR(NOT(ISNUMBER(G23)),G23&lt;=0),"Add valid due date",IF(AND(E23&lt;&gt;"Unresolved",OR(J23="",L23="")),"Add confirmation evidence",IF(L23="","",IF(L23="","Add source ID",IF(NOT(SUMPRODUCT(--(SourceData[ID]=L23))=1),"Unknown or duplicate source",IF(INDEX(SourceData[Input check],MATCH(L23,SourceData[ID],0))&lt;&gt;"","Complete source record","")))))))))))))</f>
        <v/>
      </c>
    </row>
  </sheetData>
  <mergeCells count="2">
    <mergeCell ref="A2:F2"/>
    <mergeCell ref="A4:H5"/>
  </mergeCells>
  <conditionalFormatting sqref="E8:E23">
    <cfRule type="expression" priority="2" aboveAverage="0" equalAverage="0" bottom="0" percent="0" rank="0" text="" dxfId="24">
      <formula>E8="Pass"</formula>
    </cfRule>
    <cfRule type="expression" priority="3" aboveAverage="0" equalAverage="0" bottom="0" percent="0" rank="0" text="" dxfId="25">
      <formula>E8="Shortlist"</formula>
    </cfRule>
    <cfRule type="expression" priority="4" aboveAverage="0" equalAverage="0" bottom="0" percent="0" rank="0" text="" dxfId="26">
      <formula>E8="Fail"</formula>
    </cfRule>
    <cfRule type="expression" priority="5" aboveAverage="0" equalAverage="0" bottom="0" percent="0" rank="0" text="" dxfId="27">
      <formula>E8="Exclude"</formula>
    </cfRule>
    <cfRule type="expression" priority="6" aboveAverage="0" equalAverage="0" bottom="0" percent="0" rank="0" text="" dxfId="28">
      <formula>E8="Unresolved"</formula>
    </cfRule>
    <cfRule type="expression" priority="7" aboveAverage="0" equalAverage="0" bottom="0" percent="0" rank="0" text="" dxfId="29">
      <formula>E8="Research further"</formula>
    </cfRule>
  </conditionalFormatting>
  <conditionalFormatting sqref="N8:N23">
    <cfRule type="expression" priority="8" aboveAverage="0" equalAverage="0" bottom="0" percent="0" rank="0" text="" dxfId="30">
      <formula>LEN(N8)&gt;0</formula>
    </cfRule>
  </conditionalFormatting>
  <dataValidations count="2">
    <dataValidation allowBlank="false" errorStyle="stop" operator="between" showDropDown="false" showErrorMessage="false" showInputMessage="false" sqref="D8:D23" type="list">
      <formula1>"Yes,No"</formula1>
      <formula2>0</formula2>
    </dataValidation>
    <dataValidation allowBlank="false" errorStyle="stop" operator="between" showDropDown="false" showErrorMessage="false" showInputMessage="false" sqref="E8:E23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&amp;L&amp;"Arial,Bold"&amp;11Checks &amp;&amp; Actions</oddHeader>
    <oddFooter>&amp;LChecks &amp;&amp; Actions&amp;RPage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J2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7.22"/>
    <col customWidth="true" max="2" min="2" style="0" width="28.89"/>
    <col customWidth="true" max="3" min="3" style="0" width="17.22"/>
    <col customWidth="true" max="4" min="4" style="0" width="16.11"/>
    <col customWidth="true" max="5" min="5" style="0" width="16.11"/>
    <col customWidth="true" max="6" min="6" style="0" width="37.22"/>
    <col customWidth="true" max="7" min="7" style="0" width="48.33"/>
    <col customWidth="true" max="8" min="8" style="0" width="19.44"/>
    <col customWidth="true" max="9" min="9" style="0" width="13.89"/>
    <col customWidth="true" max="10" min="10" style="0" width="25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3" hidden="false" customHeight="true" outlineLevel="0" collapsed="false">
      <c r="A2" s="2" t="s">
        <v>199</v>
      </c>
      <c r="B2" s="2"/>
      <c r="C2" s="2"/>
      <c r="D2" s="2"/>
      <c r="E2" s="2"/>
      <c r="F2" s="2"/>
      <c r="G2" s="1"/>
      <c r="H2" s="1"/>
      <c r="I2" s="1"/>
      <c r="J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</row>
    <row r="4" customFormat="false" ht="20" hidden="false" customHeight="true" outlineLevel="0" collapsed="false">
      <c r="A4" s="20" t="s">
        <v>200</v>
      </c>
      <c r="B4" s="20"/>
      <c r="C4" s="20"/>
      <c r="D4" s="20"/>
      <c r="E4" s="20"/>
      <c r="F4" s="20"/>
      <c r="G4" s="1"/>
      <c r="H4" s="1"/>
      <c r="I4" s="1"/>
      <c r="J4" s="1"/>
    </row>
    <row r="5" customFormat="false" ht="20" hidden="false" customHeight="true" outlineLevel="0" collapsed="false">
      <c r="A5" s="20" t="s">
        <v>201</v>
      </c>
      <c r="B5" s="20"/>
      <c r="C5" s="20"/>
      <c r="D5" s="20"/>
      <c r="E5" s="20"/>
      <c r="F5" s="20"/>
      <c r="G5" s="1"/>
      <c r="H5" s="1"/>
      <c r="I5" s="1"/>
      <c r="J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0" hidden="false" customHeight="true" outlineLevel="0" collapsed="false">
      <c r="A7" s="13" t="s">
        <v>16</v>
      </c>
      <c r="B7" s="13" t="s">
        <v>202</v>
      </c>
      <c r="C7" s="13" t="s">
        <v>203</v>
      </c>
      <c r="D7" s="13" t="s">
        <v>204</v>
      </c>
      <c r="E7" s="13" t="s">
        <v>205</v>
      </c>
      <c r="F7" s="13" t="s">
        <v>206</v>
      </c>
      <c r="G7" s="13" t="s">
        <v>207</v>
      </c>
      <c r="H7" s="13" t="s">
        <v>208</v>
      </c>
      <c r="I7" s="13" t="s">
        <v>25</v>
      </c>
      <c r="J7" s="13" t="s">
        <v>27</v>
      </c>
    </row>
    <row r="8" customFormat="false" ht="56" hidden="false" customHeight="true" outlineLevel="0" collapsed="false">
      <c r="A8" s="14" t="s">
        <v>193</v>
      </c>
      <c r="B8" s="14" t="s">
        <v>209</v>
      </c>
      <c r="C8" s="14" t="s">
        <v>210</v>
      </c>
      <c r="D8" s="24" t="n">
        <v>46247</v>
      </c>
      <c r="E8" s="24" t="n">
        <v>46280</v>
      </c>
      <c r="F8" s="14" t="s">
        <v>211</v>
      </c>
      <c r="G8" s="14" t="s">
        <v>212</v>
      </c>
      <c r="H8" s="14"/>
      <c r="I8" s="16" t="str">
        <f aca="false">IF(A8="","",A8)</f>
        <v>S01</v>
      </c>
      <c r="J8" s="16" t="str">
        <f aca="false">IF(NOT(OR(A8&lt;&gt;"",B8&lt;&gt;"",C8&lt;&gt;"",D8&lt;&gt;"",E8&lt;&gt;"",F8&lt;&gt;"",G8&lt;&gt;"",H8&lt;&gt;"")),"",IF(A8="","Add ID",IF(NOT(SUMPRODUCT(--(SourceData[ID]=A8))=1),"Duplicate ID",IF(OR(B8="",C8="",F8=""),"Add title, type and limit",IF(NOT(OR(C8="GovTribe record",C8="Government document",C8="Government dataset",C8="Company disclosure",C8="Internal assumption")),"Choose source type",IF(OR(NOT(ISNUMBER(E8)),E8&lt;=0),"Add retrieval date",IF(AND(D8&lt;&gt;"",OR(NOT(ISNUMBER(D8)),D8&lt;=0,D8&gt;E8)),"Check source date",IF(AND(C8&lt;&gt;"Internal assumption",LEFT(G8,8)&lt;&gt;"https://"),"Add https source URL",IF(AND(H8&lt;&gt;"",LEN(H8)&lt;&gt;12),"Check 12-character UEI","")))))))))</f>
        <v/>
      </c>
    </row>
    <row r="9" customFormat="false" ht="56" hidden="false" customHeight="true" outlineLevel="0" collapsed="false">
      <c r="A9" s="14" t="s">
        <v>77</v>
      </c>
      <c r="B9" s="14" t="s">
        <v>213</v>
      </c>
      <c r="C9" s="14" t="s">
        <v>214</v>
      </c>
      <c r="D9" s="24"/>
      <c r="E9" s="24" t="n">
        <v>46280</v>
      </c>
      <c r="F9" s="14" t="s">
        <v>215</v>
      </c>
      <c r="G9" s="14" t="s">
        <v>216</v>
      </c>
      <c r="H9" s="14"/>
      <c r="I9" s="16" t="str">
        <f aca="false">IF(A9="","",A9)</f>
        <v>S02</v>
      </c>
      <c r="J9" s="16" t="str">
        <f aca="false">IF(NOT(OR(A9&lt;&gt;"",B9&lt;&gt;"",C9&lt;&gt;"",D9&lt;&gt;"",E9&lt;&gt;"",F9&lt;&gt;"",G9&lt;&gt;"",H9&lt;&gt;"")),"",IF(A9="","Add ID",IF(NOT(SUMPRODUCT(--(SourceData[ID]=A9))=1),"Duplicate ID",IF(OR(B9="",C9="",F9=""),"Add title, type and limit",IF(NOT(OR(C9="GovTribe record",C9="Government document",C9="Government dataset",C9="Company disclosure",C9="Internal assumption")),"Choose source type",IF(OR(NOT(ISNUMBER(E9)),E9&lt;=0),"Add retrieval date",IF(AND(D9&lt;&gt;"",OR(NOT(ISNUMBER(D9)),D9&lt;=0,D9&gt;E9)),"Check source date",IF(AND(C9&lt;&gt;"Internal assumption",LEFT(G9,8)&lt;&gt;"https://"),"Add https source URL",IF(AND(H9&lt;&gt;"",LEN(H9)&lt;&gt;12),"Check 12-character UEI","")))))))))</f>
        <v/>
      </c>
    </row>
    <row r="10" customFormat="false" ht="56" hidden="false" customHeight="true" outlineLevel="0" collapsed="false">
      <c r="A10" s="14" t="s">
        <v>174</v>
      </c>
      <c r="B10" s="14" t="s">
        <v>217</v>
      </c>
      <c r="C10" s="14" t="s">
        <v>214</v>
      </c>
      <c r="D10" s="24"/>
      <c r="E10" s="24" t="n">
        <v>46280</v>
      </c>
      <c r="F10" s="14" t="s">
        <v>218</v>
      </c>
      <c r="G10" s="14" t="s">
        <v>219</v>
      </c>
      <c r="H10" s="14"/>
      <c r="I10" s="16" t="str">
        <f aca="false">IF(A10="","",A10)</f>
        <v>S03</v>
      </c>
      <c r="J10" s="16" t="str">
        <f aca="false">IF(NOT(OR(A10&lt;&gt;"",B10&lt;&gt;"",C10&lt;&gt;"",D10&lt;&gt;"",E10&lt;&gt;"",F10&lt;&gt;"",G10&lt;&gt;"",H10&lt;&gt;"")),"",IF(A10="","Add ID",IF(NOT(SUMPRODUCT(--(SourceData[ID]=A10))=1),"Duplicate ID",IF(OR(B10="",C10="",F10=""),"Add title, type and limit",IF(NOT(OR(C10="GovTribe record",C10="Government document",C10="Government dataset",C10="Company disclosure",C10="Internal assumption")),"Choose source type",IF(OR(NOT(ISNUMBER(E10)),E10&lt;=0),"Add retrieval date",IF(AND(D10&lt;&gt;"",OR(NOT(ISNUMBER(D10)),D10&lt;=0,D10&gt;E10)),"Check source date",IF(AND(C10&lt;&gt;"Internal assumption",LEFT(G10,8)&lt;&gt;"https://"),"Add https source URL",IF(AND(H10&lt;&gt;"",LEN(H10)&lt;&gt;12),"Check 12-character UEI","")))))))))</f>
        <v/>
      </c>
    </row>
    <row r="11" customFormat="false" ht="56" hidden="false" customHeight="true" outlineLevel="0" collapsed="false">
      <c r="A11" s="14" t="s">
        <v>71</v>
      </c>
      <c r="B11" s="14" t="s">
        <v>220</v>
      </c>
      <c r="C11" s="14" t="s">
        <v>214</v>
      </c>
      <c r="D11" s="24"/>
      <c r="E11" s="24" t="n">
        <v>46280</v>
      </c>
      <c r="F11" s="14" t="s">
        <v>221</v>
      </c>
      <c r="G11" s="14" t="s">
        <v>222</v>
      </c>
      <c r="H11" s="14"/>
      <c r="I11" s="16" t="str">
        <f aca="false">IF(A11="","",A11)</f>
        <v>S04</v>
      </c>
      <c r="J11" s="16" t="str">
        <f aca="false">IF(NOT(OR(A11&lt;&gt;"",B11&lt;&gt;"",C11&lt;&gt;"",D11&lt;&gt;"",E11&lt;&gt;"",F11&lt;&gt;"",G11&lt;&gt;"",H11&lt;&gt;"")),"",IF(A11="","Add ID",IF(NOT(SUMPRODUCT(--(SourceData[ID]=A11))=1),"Duplicate ID",IF(OR(B11="",C11="",F11=""),"Add title, type and limit",IF(NOT(OR(C11="GovTribe record",C11="Government document",C11="Government dataset",C11="Company disclosure",C11="Internal assumption")),"Choose source type",IF(OR(NOT(ISNUMBER(E11)),E11&lt;=0),"Add retrieval date",IF(AND(D11&lt;&gt;"",OR(NOT(ISNUMBER(D11)),D11&lt;=0,D11&gt;E11)),"Check source date",IF(AND(C11&lt;&gt;"Internal assumption",LEFT(G11,8)&lt;&gt;"https://"),"Add https source URL",IF(AND(H11&lt;&gt;"",LEN(H11)&lt;&gt;12),"Check 12-character UEI","")))))))))</f>
        <v/>
      </c>
    </row>
    <row r="12" customFormat="false" ht="56" hidden="false" customHeight="true" outlineLevel="0" collapsed="false">
      <c r="A12" s="14" t="s">
        <v>33</v>
      </c>
      <c r="B12" s="14" t="s">
        <v>223</v>
      </c>
      <c r="C12" s="14" t="s">
        <v>210</v>
      </c>
      <c r="D12" s="24" t="n">
        <v>46007</v>
      </c>
      <c r="E12" s="24" t="n">
        <v>46280</v>
      </c>
      <c r="F12" s="14" t="s">
        <v>224</v>
      </c>
      <c r="G12" s="14" t="s">
        <v>225</v>
      </c>
      <c r="H12" s="14" t="s">
        <v>226</v>
      </c>
      <c r="I12" s="16" t="str">
        <f aca="false">IF(A12="","",A12)</f>
        <v>V01</v>
      </c>
      <c r="J12" s="16" t="str">
        <f aca="false">IF(NOT(OR(A12&lt;&gt;"",B12&lt;&gt;"",C12&lt;&gt;"",D12&lt;&gt;"",E12&lt;&gt;"",F12&lt;&gt;"",G12&lt;&gt;"",H12&lt;&gt;"")),"",IF(A12="","Add ID",IF(NOT(SUMPRODUCT(--(SourceData[ID]=A12))=1),"Duplicate ID",IF(OR(B12="",C12="",F12=""),"Add title, type and limit",IF(NOT(OR(C12="GovTribe record",C12="Government document",C12="Government dataset",C12="Company disclosure",C12="Internal assumption")),"Choose source type",IF(OR(NOT(ISNUMBER(E12)),E12&lt;=0),"Add retrieval date",IF(AND(D12&lt;&gt;"",OR(NOT(ISNUMBER(D12)),D12&lt;=0,D12&gt;E12)),"Check source date",IF(AND(C12&lt;&gt;"Internal assumption",LEFT(G12,8)&lt;&gt;"https://"),"Add https source URL",IF(AND(H12&lt;&gt;"",LEN(H12)&lt;&gt;12),"Check 12-character UEI","")))))))))</f>
        <v/>
      </c>
    </row>
    <row r="13" customFormat="false" ht="56" hidden="false" customHeight="true" outlineLevel="0" collapsed="false">
      <c r="A13" s="14" t="s">
        <v>105</v>
      </c>
      <c r="B13" s="14" t="s">
        <v>227</v>
      </c>
      <c r="C13" s="14" t="s">
        <v>210</v>
      </c>
      <c r="D13" s="24" t="n">
        <v>46265</v>
      </c>
      <c r="E13" s="24" t="n">
        <v>46280</v>
      </c>
      <c r="F13" s="14" t="s">
        <v>228</v>
      </c>
      <c r="G13" s="14" t="s">
        <v>229</v>
      </c>
      <c r="H13" s="14"/>
      <c r="I13" s="16" t="str">
        <f aca="false">IF(A13="","",A13)</f>
        <v>W01</v>
      </c>
      <c r="J13" s="16" t="str">
        <f aca="false">IF(NOT(OR(A13&lt;&gt;"",B13&lt;&gt;"",C13&lt;&gt;"",D13&lt;&gt;"",E13&lt;&gt;"",F13&lt;&gt;"",G13&lt;&gt;"",H13&lt;&gt;"")),"",IF(A13="","Add ID",IF(NOT(SUMPRODUCT(--(SourceData[ID]=A13))=1),"Duplicate ID",IF(OR(B13="",C13="",F13=""),"Add title, type and limit",IF(NOT(OR(C13="GovTribe record",C13="Government document",C13="Government dataset",C13="Company disclosure",C13="Internal assumption")),"Choose source type",IF(OR(NOT(ISNUMBER(E13)),E13&lt;=0),"Add retrieval date",IF(AND(D13&lt;&gt;"",OR(NOT(ISNUMBER(D13)),D13&lt;=0,D13&gt;E13)),"Check source date",IF(AND(C13&lt;&gt;"Internal assumption",LEFT(G13,8)&lt;&gt;"https://"),"Add https source URL",IF(AND(H13&lt;&gt;"",LEN(H13)&lt;&gt;12),"Check 12-character UEI","")))))))))</f>
        <v/>
      </c>
    </row>
    <row r="14" customFormat="false" ht="56" hidden="false" customHeight="true" outlineLevel="0" collapsed="false">
      <c r="A14" s="14" t="s">
        <v>39</v>
      </c>
      <c r="B14" s="14" t="s">
        <v>230</v>
      </c>
      <c r="C14" s="14" t="s">
        <v>210</v>
      </c>
      <c r="D14" s="24" t="n">
        <v>46272</v>
      </c>
      <c r="E14" s="24" t="n">
        <v>46280</v>
      </c>
      <c r="F14" s="14" t="s">
        <v>224</v>
      </c>
      <c r="G14" s="14" t="s">
        <v>231</v>
      </c>
      <c r="H14" s="14" t="s">
        <v>232</v>
      </c>
      <c r="I14" s="16" t="str">
        <f aca="false">IF(A14="","",A14)</f>
        <v>V02</v>
      </c>
      <c r="J14" s="16" t="str">
        <f aca="false">IF(NOT(OR(A14&lt;&gt;"",B14&lt;&gt;"",C14&lt;&gt;"",D14&lt;&gt;"",E14&lt;&gt;"",F14&lt;&gt;"",G14&lt;&gt;"",H14&lt;&gt;"")),"",IF(A14="","Add ID",IF(NOT(SUMPRODUCT(--(SourceData[ID]=A14))=1),"Duplicate ID",IF(OR(B14="",C14="",F14=""),"Add title, type and limit",IF(NOT(OR(C14="GovTribe record",C14="Government document",C14="Government dataset",C14="Company disclosure",C14="Internal assumption")),"Choose source type",IF(OR(NOT(ISNUMBER(E14)),E14&lt;=0),"Add retrieval date",IF(AND(D14&lt;&gt;"",OR(NOT(ISNUMBER(D14)),D14&lt;=0,D14&gt;E14)),"Check source date",IF(AND(C14&lt;&gt;"Internal assumption",LEFT(G14,8)&lt;&gt;"https://"),"Add https source URL",IF(AND(H14&lt;&gt;"",LEN(H14)&lt;&gt;12),"Check 12-character UEI","")))))))))</f>
        <v/>
      </c>
    </row>
    <row r="15" customFormat="false" ht="56" hidden="false" customHeight="true" outlineLevel="0" collapsed="false">
      <c r="A15" s="14" t="s">
        <v>118</v>
      </c>
      <c r="B15" s="14" t="s">
        <v>233</v>
      </c>
      <c r="C15" s="14" t="s">
        <v>210</v>
      </c>
      <c r="D15" s="24" t="n">
        <v>46255</v>
      </c>
      <c r="E15" s="24" t="n">
        <v>46280</v>
      </c>
      <c r="F15" s="14" t="s">
        <v>228</v>
      </c>
      <c r="G15" s="14" t="s">
        <v>234</v>
      </c>
      <c r="H15" s="14"/>
      <c r="I15" s="16" t="str">
        <f aca="false">IF(A15="","",A15)</f>
        <v>W02</v>
      </c>
      <c r="J15" s="16" t="str">
        <f aca="false">IF(NOT(OR(A15&lt;&gt;"",B15&lt;&gt;"",C15&lt;&gt;"",D15&lt;&gt;"",E15&lt;&gt;"",F15&lt;&gt;"",G15&lt;&gt;"",H15&lt;&gt;"")),"",IF(A15="","Add ID",IF(NOT(SUMPRODUCT(--(SourceData[ID]=A15))=1),"Duplicate ID",IF(OR(B15="",C15="",F15=""),"Add title, type and limit",IF(NOT(OR(C15="GovTribe record",C15="Government document",C15="Government dataset",C15="Company disclosure",C15="Internal assumption")),"Choose source type",IF(OR(NOT(ISNUMBER(E15)),E15&lt;=0),"Add retrieval date",IF(AND(D15&lt;&gt;"",OR(NOT(ISNUMBER(D15)),D15&lt;=0,D15&gt;E15)),"Check source date",IF(AND(C15&lt;&gt;"Internal assumption",LEFT(G15,8)&lt;&gt;"https://"),"Add https source URL",IF(AND(H15&lt;&gt;"",LEN(H15)&lt;&gt;12),"Check 12-character UEI","")))))))))</f>
        <v/>
      </c>
    </row>
    <row r="16" customFormat="false" ht="56" hidden="false" customHeight="true" outlineLevel="0" collapsed="false">
      <c r="A16" s="14" t="s">
        <v>46</v>
      </c>
      <c r="B16" s="14" t="s">
        <v>235</v>
      </c>
      <c r="C16" s="14" t="s">
        <v>210</v>
      </c>
      <c r="D16" s="24" t="n">
        <v>46100</v>
      </c>
      <c r="E16" s="24" t="n">
        <v>46280</v>
      </c>
      <c r="F16" s="14" t="s">
        <v>224</v>
      </c>
      <c r="G16" s="14" t="s">
        <v>236</v>
      </c>
      <c r="H16" s="14" t="s">
        <v>237</v>
      </c>
      <c r="I16" s="16" t="str">
        <f aca="false">IF(A16="","",A16)</f>
        <v>V03</v>
      </c>
      <c r="J16" s="16" t="str">
        <f aca="false">IF(NOT(OR(A16&lt;&gt;"",B16&lt;&gt;"",C16&lt;&gt;"",D16&lt;&gt;"",E16&lt;&gt;"",F16&lt;&gt;"",G16&lt;&gt;"",H16&lt;&gt;"")),"",IF(A16="","Add ID",IF(NOT(SUMPRODUCT(--(SourceData[ID]=A16))=1),"Duplicate ID",IF(OR(B16="",C16="",F16=""),"Add title, type and limit",IF(NOT(OR(C16="GovTribe record",C16="Government document",C16="Government dataset",C16="Company disclosure",C16="Internal assumption")),"Choose source type",IF(OR(NOT(ISNUMBER(E16)),E16&lt;=0),"Add retrieval date",IF(AND(D16&lt;&gt;"",OR(NOT(ISNUMBER(D16)),D16&lt;=0,D16&gt;E16)),"Check source date",IF(AND(C16&lt;&gt;"Internal assumption",LEFT(G16,8)&lt;&gt;"https://"),"Add https source URL",IF(AND(H16&lt;&gt;"",LEN(H16)&lt;&gt;12),"Check 12-character UEI","")))))))))</f>
        <v/>
      </c>
    </row>
    <row r="17" customFormat="false" ht="56" hidden="false" customHeight="true" outlineLevel="0" collapsed="false">
      <c r="A17" s="14" t="s">
        <v>123</v>
      </c>
      <c r="B17" s="14" t="s">
        <v>238</v>
      </c>
      <c r="C17" s="14" t="s">
        <v>210</v>
      </c>
      <c r="D17" s="24" t="n">
        <v>46230</v>
      </c>
      <c r="E17" s="24" t="n">
        <v>46280</v>
      </c>
      <c r="F17" s="14" t="s">
        <v>228</v>
      </c>
      <c r="G17" s="14" t="s">
        <v>239</v>
      </c>
      <c r="H17" s="14"/>
      <c r="I17" s="16" t="str">
        <f aca="false">IF(A17="","",A17)</f>
        <v>W03</v>
      </c>
      <c r="J17" s="16" t="str">
        <f aca="false">IF(NOT(OR(A17&lt;&gt;"",B17&lt;&gt;"",C17&lt;&gt;"",D17&lt;&gt;"",E17&lt;&gt;"",F17&lt;&gt;"",G17&lt;&gt;"",H17&lt;&gt;"")),"",IF(A17="","Add ID",IF(NOT(SUMPRODUCT(--(SourceData[ID]=A17))=1),"Duplicate ID",IF(OR(B17="",C17="",F17=""),"Add title, type and limit",IF(NOT(OR(C17="GovTribe record",C17="Government document",C17="Government dataset",C17="Company disclosure",C17="Internal assumption")),"Choose source type",IF(OR(NOT(ISNUMBER(E17)),E17&lt;=0),"Add retrieval date",IF(AND(D17&lt;&gt;"",OR(NOT(ISNUMBER(D17)),D17&lt;=0,D17&gt;E17)),"Check source date",IF(AND(C17&lt;&gt;"Internal assumption",LEFT(G17,8)&lt;&gt;"https://"),"Add https source URL",IF(AND(H17&lt;&gt;"",LEN(H17)&lt;&gt;12),"Check 12-character UEI","")))))))))</f>
        <v/>
      </c>
    </row>
    <row r="18" customFormat="false" ht="56" hidden="false" customHeight="true" outlineLevel="0" collapsed="false">
      <c r="A18" s="14" t="s">
        <v>52</v>
      </c>
      <c r="B18" s="14" t="s">
        <v>240</v>
      </c>
      <c r="C18" s="14" t="s">
        <v>210</v>
      </c>
      <c r="D18" s="24" t="n">
        <v>45987</v>
      </c>
      <c r="E18" s="24" t="n">
        <v>46280</v>
      </c>
      <c r="F18" s="14" t="s">
        <v>224</v>
      </c>
      <c r="G18" s="14" t="s">
        <v>241</v>
      </c>
      <c r="H18" s="14" t="s">
        <v>242</v>
      </c>
      <c r="I18" s="16" t="str">
        <f aca="false">IF(A18="","",A18)</f>
        <v>V04</v>
      </c>
      <c r="J18" s="16" t="str">
        <f aca="false">IF(NOT(OR(A18&lt;&gt;"",B18&lt;&gt;"",C18&lt;&gt;"",D18&lt;&gt;"",E18&lt;&gt;"",F18&lt;&gt;"",G18&lt;&gt;"",H18&lt;&gt;"")),"",IF(A18="","Add ID",IF(NOT(SUMPRODUCT(--(SourceData[ID]=A18))=1),"Duplicate ID",IF(OR(B18="",C18="",F18=""),"Add title, type and limit",IF(NOT(OR(C18="GovTribe record",C18="Government document",C18="Government dataset",C18="Company disclosure",C18="Internal assumption")),"Choose source type",IF(OR(NOT(ISNUMBER(E18)),E18&lt;=0),"Add retrieval date",IF(AND(D18&lt;&gt;"",OR(NOT(ISNUMBER(D18)),D18&lt;=0,D18&gt;E18)),"Check source date",IF(AND(C18&lt;&gt;"Internal assumption",LEFT(G18,8)&lt;&gt;"https://"),"Add https source URL",IF(AND(H18&lt;&gt;"",LEN(H18)&lt;&gt;12),"Check 12-character UEI","")))))))))</f>
        <v/>
      </c>
    </row>
    <row r="19" customFormat="false" ht="56" hidden="false" customHeight="true" outlineLevel="0" collapsed="false">
      <c r="A19" s="14" t="s">
        <v>128</v>
      </c>
      <c r="B19" s="14" t="s">
        <v>243</v>
      </c>
      <c r="C19" s="14" t="s">
        <v>210</v>
      </c>
      <c r="D19" s="24" t="n">
        <v>46275</v>
      </c>
      <c r="E19" s="24" t="n">
        <v>46280</v>
      </c>
      <c r="F19" s="14" t="s">
        <v>228</v>
      </c>
      <c r="G19" s="14" t="s">
        <v>244</v>
      </c>
      <c r="H19" s="14"/>
      <c r="I19" s="16" t="str">
        <f aca="false">IF(A19="","",A19)</f>
        <v>W04</v>
      </c>
      <c r="J19" s="16" t="str">
        <f aca="false">IF(NOT(OR(A19&lt;&gt;"",B19&lt;&gt;"",C19&lt;&gt;"",D19&lt;&gt;"",E19&lt;&gt;"",F19&lt;&gt;"",G19&lt;&gt;"",H19&lt;&gt;"")),"",IF(A19="","Add ID",IF(NOT(SUMPRODUCT(--(SourceData[ID]=A19))=1),"Duplicate ID",IF(OR(B19="",C19="",F19=""),"Add title, type and limit",IF(NOT(OR(C19="GovTribe record",C19="Government document",C19="Government dataset",C19="Company disclosure",C19="Internal assumption")),"Choose source type",IF(OR(NOT(ISNUMBER(E19)),E19&lt;=0),"Add retrieval date",IF(AND(D19&lt;&gt;"",OR(NOT(ISNUMBER(D19)),D19&lt;=0,D19&gt;E19)),"Check source date",IF(AND(C19&lt;&gt;"Internal assumption",LEFT(G19,8)&lt;&gt;"https://"),"Add https source URL",IF(AND(H19&lt;&gt;"",LEN(H19)&lt;&gt;12),"Check 12-character UEI","")))))))))</f>
        <v/>
      </c>
    </row>
    <row r="20" customFormat="false" ht="56" hidden="false" customHeight="true" outlineLevel="0" collapsed="false">
      <c r="A20" s="14" t="s">
        <v>100</v>
      </c>
      <c r="B20" s="14" t="s">
        <v>245</v>
      </c>
      <c r="C20" s="14" t="s">
        <v>246</v>
      </c>
      <c r="D20" s="24" t="n">
        <v>45496</v>
      </c>
      <c r="E20" s="24" t="n">
        <v>46280</v>
      </c>
      <c r="F20" s="14" t="s">
        <v>247</v>
      </c>
      <c r="G20" s="14" t="s">
        <v>248</v>
      </c>
      <c r="H20" s="14"/>
      <c r="I20" s="16" t="str">
        <f aca="false">IF(A20="","",A20)</f>
        <v>T01</v>
      </c>
      <c r="J20" s="16" t="str">
        <f aca="false">IF(NOT(OR(A20&lt;&gt;"",B20&lt;&gt;"",C20&lt;&gt;"",D20&lt;&gt;"",E20&lt;&gt;"",F20&lt;&gt;"",G20&lt;&gt;"",H20&lt;&gt;"")),"",IF(A20="","Add ID",IF(NOT(SUMPRODUCT(--(SourceData[ID]=A20))=1),"Duplicate ID",IF(OR(B20="",C20="",F20=""),"Add title, type and limit",IF(NOT(OR(C20="GovTribe record",C20="Government document",C20="Government dataset",C20="Company disclosure",C20="Internal assumption")),"Choose source type",IF(OR(NOT(ISNUMBER(E20)),E20&lt;=0),"Add retrieval date",IF(AND(D20&lt;&gt;"",OR(NOT(ISNUMBER(D20)),D20&lt;=0,D20&gt;E20)),"Check source date",IF(AND(C20&lt;&gt;"Internal assumption",LEFT(G20,8)&lt;&gt;"https://"),"Add https source URL",IF(AND(H20&lt;&gt;"",LEN(H20)&lt;&gt;12),"Check 12-character UEI","")))))))))</f>
        <v/>
      </c>
    </row>
    <row r="21" customFormat="false" ht="56" hidden="false" customHeight="true" outlineLevel="0" collapsed="false">
      <c r="A21" s="14" t="s">
        <v>115</v>
      </c>
      <c r="B21" s="14" t="s">
        <v>249</v>
      </c>
      <c r="C21" s="14" t="s">
        <v>250</v>
      </c>
      <c r="D21" s="24" t="n">
        <v>46253</v>
      </c>
      <c r="E21" s="24" t="n">
        <v>46280</v>
      </c>
      <c r="F21" s="14" t="s">
        <v>251</v>
      </c>
      <c r="G21" s="14" t="s">
        <v>252</v>
      </c>
      <c r="H21" s="14"/>
      <c r="I21" s="16" t="str">
        <f aca="false">IF(A21="","",A21)</f>
        <v>T02</v>
      </c>
      <c r="J21" s="16" t="str">
        <f aca="false">IF(NOT(OR(A21&lt;&gt;"",B21&lt;&gt;"",C21&lt;&gt;"",D21&lt;&gt;"",E21&lt;&gt;"",F21&lt;&gt;"",G21&lt;&gt;"",H21&lt;&gt;"")),"",IF(A21="","Add ID",IF(NOT(SUMPRODUCT(--(SourceData[ID]=A21))=1),"Duplicate ID",IF(OR(B21="",C21="",F21=""),"Add title, type and limit",IF(NOT(OR(C21="GovTribe record",C21="Government document",C21="Government dataset",C21="Company disclosure",C21="Internal assumption")),"Choose source type",IF(OR(NOT(ISNUMBER(E21)),E21&lt;=0),"Add retrieval date",IF(AND(D21&lt;&gt;"",OR(NOT(ISNUMBER(D21)),D21&lt;=0,D21&gt;E21)),"Check source date",IF(AND(C21&lt;&gt;"Internal assumption",LEFT(G21,8)&lt;&gt;"https://"),"Add https source URL",IF(AND(H21&lt;&gt;"",LEN(H21)&lt;&gt;12),"Check 12-character UEI","")))))))))</f>
        <v/>
      </c>
    </row>
    <row r="22" customFormat="false" ht="56" hidden="false" customHeight="true" outlineLevel="0" collapsed="false">
      <c r="A22" s="14" t="s">
        <v>253</v>
      </c>
      <c r="B22" s="14" t="s">
        <v>254</v>
      </c>
      <c r="C22" s="14" t="s">
        <v>255</v>
      </c>
      <c r="D22" s="24" t="n">
        <v>46280</v>
      </c>
      <c r="E22" s="24" t="n">
        <v>46280</v>
      </c>
      <c r="F22" s="14" t="s">
        <v>256</v>
      </c>
      <c r="G22" s="14"/>
      <c r="H22" s="14"/>
      <c r="I22" s="16" t="str">
        <f aca="false">IF(A22="","",A22)</f>
        <v>B01</v>
      </c>
      <c r="J22" s="16" t="str">
        <f aca="false">IF(NOT(OR(A22&lt;&gt;"",B22&lt;&gt;"",C22&lt;&gt;"",D22&lt;&gt;"",E22&lt;&gt;"",F22&lt;&gt;"",G22&lt;&gt;"",H22&lt;&gt;"")),"",IF(A22="","Add ID",IF(NOT(SUMPRODUCT(--(SourceData[ID]=A22))=1),"Duplicate ID",IF(OR(B22="",C22="",F22=""),"Add title, type and limit",IF(NOT(OR(C22="GovTribe record",C22="Government document",C22="Government dataset",C22="Company disclosure",C22="Internal assumption")),"Choose source type",IF(OR(NOT(ISNUMBER(E22)),E22&lt;=0),"Add retrieval date",IF(AND(D22&lt;&gt;"",OR(NOT(ISNUMBER(D22)),D22&lt;=0,D22&gt;E22)),"Check source date",IF(AND(C22&lt;&gt;"Internal assumption",LEFT(G22,8)&lt;&gt;"https://"),"Add https source URL",IF(AND(H22&lt;&gt;"",LEN(H22)&lt;&gt;12),"Check 12-character UEI","")))))))))</f>
        <v/>
      </c>
    </row>
    <row r="23" customFormat="false" ht="26" hidden="false" customHeight="true" outlineLevel="0" collapsed="false">
      <c r="A23" s="14"/>
      <c r="B23" s="14"/>
      <c r="C23" s="14"/>
      <c r="D23" s="24"/>
      <c r="E23" s="24"/>
      <c r="F23" s="14"/>
      <c r="G23" s="14"/>
      <c r="H23" s="14"/>
      <c r="I23" s="16" t="str">
        <f aca="false">IF(A23="","",A23)</f>
        <v/>
      </c>
      <c r="J23" s="16" t="str">
        <f aca="false">IF(NOT(OR(A23&lt;&gt;"",B23&lt;&gt;"",C23&lt;&gt;"",D23&lt;&gt;"",E23&lt;&gt;"",F23&lt;&gt;"",G23&lt;&gt;"",H23&lt;&gt;"")),"",IF(A23="","Add ID",IF(NOT(SUMPRODUCT(--(SourceData[ID]=A23))=1),"Duplicate ID",IF(OR(B23="",C23="",F23=""),"Add title, type and limit",IF(NOT(OR(C23="GovTribe record",C23="Government document",C23="Government dataset",C23="Company disclosure",C23="Internal assumption")),"Choose source type",IF(OR(NOT(ISNUMBER(E23)),E23&lt;=0),"Add retrieval date",IF(AND(D23&lt;&gt;"",OR(NOT(ISNUMBER(D23)),D23&lt;=0,D23&gt;E23)),"Check source date",IF(AND(C23&lt;&gt;"Internal assumption",LEFT(G23,8)&lt;&gt;"https://"),"Add https source URL",IF(AND(H23&lt;&gt;"",LEN(H23)&lt;&gt;12),"Check 12-character UEI","")))))))))</f>
        <v/>
      </c>
    </row>
    <row r="24" customFormat="false" ht="26" hidden="false" customHeight="true" outlineLevel="0" collapsed="false">
      <c r="A24" s="14"/>
      <c r="B24" s="14"/>
      <c r="C24" s="14"/>
      <c r="D24" s="24"/>
      <c r="E24" s="24"/>
      <c r="F24" s="14"/>
      <c r="G24" s="14"/>
      <c r="H24" s="14"/>
      <c r="I24" s="16" t="str">
        <f aca="false">IF(A24="","",A24)</f>
        <v/>
      </c>
      <c r="J24" s="16" t="str">
        <f aca="false">IF(NOT(OR(A24&lt;&gt;"",B24&lt;&gt;"",C24&lt;&gt;"",D24&lt;&gt;"",E24&lt;&gt;"",F24&lt;&gt;"",G24&lt;&gt;"",H24&lt;&gt;"")),"",IF(A24="","Add ID",IF(NOT(SUMPRODUCT(--(SourceData[ID]=A24))=1),"Duplicate ID",IF(OR(B24="",C24="",F24=""),"Add title, type and limit",IF(NOT(OR(C24="GovTribe record",C24="Government document",C24="Government dataset",C24="Company disclosure",C24="Internal assumption")),"Choose source type",IF(OR(NOT(ISNUMBER(E24)),E24&lt;=0),"Add retrieval date",IF(AND(D24&lt;&gt;"",OR(NOT(ISNUMBER(D24)),D24&lt;=0,D24&gt;E24)),"Check source date",IF(AND(C24&lt;&gt;"Internal assumption",LEFT(G24,8)&lt;&gt;"https://"),"Add https source URL",IF(AND(H24&lt;&gt;"",LEN(H24)&lt;&gt;12),"Check 12-character UEI","")))))))))</f>
        <v/>
      </c>
    </row>
    <row r="25" customFormat="false" ht="26" hidden="false" customHeight="true" outlineLevel="0" collapsed="false">
      <c r="A25" s="17"/>
      <c r="B25" s="17"/>
      <c r="C25" s="17"/>
      <c r="D25" s="25"/>
      <c r="E25" s="25"/>
      <c r="F25" s="17"/>
      <c r="G25" s="17"/>
      <c r="H25" s="17"/>
      <c r="I25" s="19" t="str">
        <f aca="false">IF(A25="","",A25)</f>
        <v/>
      </c>
      <c r="J25" s="19" t="str">
        <f aca="false">IF(NOT(OR(A25&lt;&gt;"",B25&lt;&gt;"",C25&lt;&gt;"",D25&lt;&gt;"",E25&lt;&gt;"",F25&lt;&gt;"",G25&lt;&gt;"",H25&lt;&gt;"")),"",IF(A25="","Add ID",IF(NOT(SUMPRODUCT(--(SourceData[ID]=A25))=1),"Duplicate ID",IF(OR(B25="",C25="",F25=""),"Add title, type and limit",IF(NOT(OR(C25="GovTribe record",C25="Government document",C25="Government dataset",C25="Company disclosure",C25="Internal assumption")),"Choose source type",IF(OR(NOT(ISNUMBER(E25)),E25&lt;=0),"Add retrieval date",IF(AND(D25&lt;&gt;"",OR(NOT(ISNUMBER(D25)),D25&lt;=0,D25&gt;E25)),"Check source date",IF(AND(C25&lt;&gt;"Internal assumption",LEFT(G25,8)&lt;&gt;"https://"),"Add https source URL",IF(AND(H25&lt;&gt;"",LEN(H25)&lt;&gt;12),"Check 12-character UEI","")))))))))</f>
        <v/>
      </c>
    </row>
  </sheetData>
  <mergeCells count="3">
    <mergeCell ref="A2:F2"/>
    <mergeCell ref="A4:F4"/>
    <mergeCell ref="A5:F5"/>
  </mergeCells>
  <conditionalFormatting sqref="J8:J25">
    <cfRule type="expression" priority="2" aboveAverage="0" equalAverage="0" bottom="0" percent="0" rank="0" text="" dxfId="31">
      <formula>LEN(J8)&gt;0</formula>
    </cfRule>
  </conditionalFormatting>
  <dataValidations count="1">
    <dataValidation allowBlank="false" errorStyle="stop" operator="between" showDropDown="false" showErrorMessage="false" showInputMessage="false" sqref="C8:C25" type="list">
      <formula1>"GovTribe record,Government document,Government dataset,Company disclosure,Internal assumption"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&amp;L&amp;"Arial,Bold"&amp;11Sources</oddHeader>
    <oddFooter>&amp;LSources&amp;RPage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