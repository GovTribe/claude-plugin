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ns2="http://schemas.libreoffice.org/" xmlns:r="http://schemas.openxmlformats.org/officeDocument/2006/relationships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System Profile" sheetId="2" state="visible" r:id="rId4"/>
    <sheet name="Contracts" sheetId="3" state="visible" r:id="rId5"/>
    <sheet name="Funding" sheetId="4" state="visible" r:id="rId6"/>
    <sheet name="Timeline" sheetId="5" state="visible" r:id="rId7"/>
    <sheet name="Research Log" sheetId="6" state="visible" r:id="rId8"/>
  </sheets>
  <definedNames>
    <definedName name="_xlnm.Print_Area" localSheetId="0">'Overview'!$A$1:$W$44</definedName>
    <definedName name="_xlnm.Print_Area" localSheetId="1">'System Profile'!$A$1:$F$28</definedName>
    <definedName name="_xlnm.Print_Titles" localSheetId="1">'System Profile'!$14:$14</definedName>
    <definedName name="_xlnm.Print_Area" localSheetId="2">'Contracts'!$A$1:$H$15</definedName>
    <definedName name="_xlnm.Print_Titles" localSheetId="2">'Contracts'!$7:$7</definedName>
    <definedName name="_xlnm.Print_Area" localSheetId="3">'Funding'!$A$1:$F$33</definedName>
    <definedName name="_xlnm.Print_Area" localSheetId="4">'Timeline'!$A$1:$G$15</definedName>
    <definedName name="_xlnm.Print_Titles" localSheetId="4">'Timeline'!$7:$7</definedName>
    <definedName name="_xlnm.Print_Area" localSheetId="5">'Research Log'!$A$1:$F$14,'Research Log'!$A$17:$F$26</definedName>
  </definedNames>
  <calcPr iterateCount="100" refMode="A1" iterate="false" iterateDelta="0.0001" calcMode="auto" fullCalcOnLoad="1" forceFullCalc="1"/>
  <extLst>
    <ext uri="{7626C862-2A13-11E5-B345-FEFF819CDC9F}">
      <ns2:extCalcPr stringRefSyntax="CalcA1ExcelA1"/>
    </ext>
  </extLst>
</workbook>
</file>

<file path=xl/sharedStrings.xml><?xml version="1.0" encoding="utf-8"?>
<sst xmlns="http://schemas.openxmlformats.org/spreadsheetml/2006/main" count="124" uniqueCount="103">
  <si>
    <t xml:space="preserve">System / program research</t>
  </si>
  <si>
    <t xml:space="preserve">Logo here</t>
  </si>
  <si>
    <t xml:space="preserve">Reviewed awards</t>
  </si>
  <si>
    <t xml:space="preserve">In-scope obligations</t>
  </si>
  <si>
    <t xml:space="preserve">Open questions</t>
  </si>
  <si>
    <t xml:space="preserve">Program-linked records in the selected issue-date window</t>
  </si>
  <si>
    <t xml:space="preserve">Analyst-confirmed system scope; cumulative award obligations</t>
  </si>
  <si>
    <t xml:space="preserve">See the Research Log for next steps</t>
  </si>
  <si>
    <t xml:space="preserve">Current phase</t>
  </si>
  <si>
    <t xml:space="preserve">Current position</t>
  </si>
  <si>
    <t xml:space="preserve">Takeaway source IDs</t>
  </si>
  <si>
    <t xml:space="preserve">Access and timing</t>
  </si>
  <si>
    <t xml:space="preserve">What needs confirmation</t>
  </si>
  <si>
    <t xml:space="preserve">Identified funding (USD millions)</t>
  </si>
  <si>
    <t xml:space="preserve">System profile</t>
  </si>
  <si>
    <t xml:space="preserve">Program</t>
  </si>
  <si>
    <t xml:space="preserve">System</t>
  </si>
  <si>
    <t xml:space="preserve">Agency</t>
  </si>
  <si>
    <t xml:space="preserve">As of</t>
  </si>
  <si>
    <t xml:space="preserve">Program ID</t>
  </si>
  <si>
    <t xml:space="preserve">Phase</t>
  </si>
  <si>
    <t xml:space="preserve">Scope</t>
  </si>
  <si>
    <t xml:space="preserve">Awards issued from</t>
  </si>
  <si>
    <t xml:space="preserve">through</t>
  </si>
  <si>
    <t xml:space="preserve">Blue: editable inputs. Gray: calculations. Source links open the supporting record.</t>
  </si>
  <si>
    <t xml:space="preserve">ID</t>
  </si>
  <si>
    <t xml:space="preserve">Topic</t>
  </si>
  <si>
    <t xml:space="preserve">Detail</t>
  </si>
  <si>
    <t xml:space="preserve">Basis</t>
  </si>
  <si>
    <t xml:space="preserve">Source</t>
  </si>
  <si>
    <t xml:space="preserve">Location</t>
  </si>
  <si>
    <t xml:space="preserve">Source URL</t>
  </si>
  <si>
    <t xml:space="preserve">Source ID</t>
  </si>
  <si>
    <t xml:space="preserve">Program and system</t>
  </si>
  <si>
    <t xml:space="preserve">Mission</t>
  </si>
  <si>
    <t xml:space="preserve">Managing agency</t>
  </si>
  <si>
    <t xml:space="preserve">Program office</t>
  </si>
  <si>
    <t xml:space="preserve">Users and setting</t>
  </si>
  <si>
    <t xml:space="preserve">Supported functions</t>
  </si>
  <si>
    <t xml:space="preserve">Architecture</t>
  </si>
  <si>
    <t xml:space="preserve">Related systems</t>
  </si>
  <si>
    <t xml:space="preserve">Recent changes</t>
  </si>
  <si>
    <t xml:space="preserve">Contracting route</t>
  </si>
  <si>
    <t xml:space="preserve">Current follow-on route</t>
  </si>
  <si>
    <t xml:space="preserve">Technical access</t>
  </si>
  <si>
    <t xml:space="preserve">Market implication</t>
  </si>
  <si>
    <t xml:space="preserve">Contracts</t>
  </si>
  <si>
    <t xml:space="preserve">Program-coded awards require a separate assessment of system relevance.</t>
  </si>
  <si>
    <t xml:space="preserve">Obligations are cumulative at retrieval. Expand grouped columns to edit award/vendor names, URLs and dates.</t>
  </si>
  <si>
    <t xml:space="preserve">Award reference</t>
  </si>
  <si>
    <t xml:space="preserve">Vendor</t>
  </si>
  <si>
    <t xml:space="preserve">UEI</t>
  </si>
  <si>
    <t xml:space="preserve">Relevance</t>
  </si>
  <si>
    <t xml:space="preserve">Obligations (USD)</t>
  </si>
  <si>
    <t xml:space="preserve">Current end</t>
  </si>
  <si>
    <t xml:space="preserve">Awarded</t>
  </si>
  <si>
    <t xml:space="preserve">Ultimate end</t>
  </si>
  <si>
    <t xml:space="preserve">Parent IDV</t>
  </si>
  <si>
    <t xml:space="preserve">Relevance rationale</t>
  </si>
  <si>
    <t xml:space="preserve">Record ID</t>
  </si>
  <si>
    <t xml:space="preserve">Award URL</t>
  </si>
  <si>
    <t xml:space="preserve">Vendor URL</t>
  </si>
  <si>
    <t xml:space="preserve">Parent URL</t>
  </si>
  <si>
    <t xml:space="preserve">Input check</t>
  </si>
  <si>
    <t xml:space="preserve">Award reference input</t>
  </si>
  <si>
    <t xml:space="preserve">Vendor name input</t>
  </si>
  <si>
    <t xml:space="preserve">Funding</t>
  </si>
  <si>
    <t xml:space="preserve">Enter fiscal years, funding bases and source amounts below.</t>
  </si>
  <si>
    <t xml:space="preserve">Fiscal year</t>
  </si>
  <si>
    <t xml:space="preserve">Source basis</t>
  </si>
  <si>
    <t xml:space="preserve">Use one source vintage. A request is not enacted funding. Contract obligations are excluded.</t>
  </si>
  <si>
    <t xml:space="preserve">Funding line</t>
  </si>
  <si>
    <t xml:space="preserve">Source units</t>
  </si>
  <si>
    <t xml:space="preserve">Period 1 amount</t>
  </si>
  <si>
    <t xml:space="preserve">Period 2 amount</t>
  </si>
  <si>
    <t xml:space="preserve">Period 3 amount</t>
  </si>
  <si>
    <t xml:space="preserve">Citation</t>
  </si>
  <si>
    <t xml:space="preserve">To USD millions</t>
  </si>
  <si>
    <t xml:space="preserve">Period 1 USD M</t>
  </si>
  <si>
    <t xml:space="preserve">Period 2 USD M</t>
  </si>
  <si>
    <t xml:space="preserve">Period 3 USD M</t>
  </si>
  <si>
    <t xml:space="preserve">Totals cover the entered lines. Enter source IDs in grouped columns; maintain source URLs in Research Log.</t>
  </si>
  <si>
    <t xml:space="preserve">Period</t>
  </si>
  <si>
    <t xml:space="preserve">Identified funding</t>
  </si>
  <si>
    <t xml:space="preserve">Timeline</t>
  </si>
  <si>
    <t xml:space="preserve">Retain the source’s date precision. Contract dates are not proposal deadlines.</t>
  </si>
  <si>
    <t xml:space="preserve">Date</t>
  </si>
  <si>
    <t xml:space="preserve">Period only</t>
  </si>
  <si>
    <t xml:space="preserve">Milestone</t>
  </si>
  <si>
    <t xml:space="preserve">Status</t>
  </si>
  <si>
    <t xml:space="preserve">Details</t>
  </si>
  <si>
    <t xml:space="preserve">Research Log</t>
  </si>
  <si>
    <t xml:space="preserve">Keep unresolved questions tied to the next action and the evidence needed to close them.</t>
  </si>
  <si>
    <t xml:space="preserve">Question / decision impact</t>
  </si>
  <si>
    <t xml:space="preserve">Next action</t>
  </si>
  <si>
    <t xml:space="preserve">Timing</t>
  </si>
  <si>
    <t xml:space="preserve">Resolution evidence</t>
  </si>
  <si>
    <t xml:space="preserve">Sources and coverage</t>
  </si>
  <si>
    <t xml:space="preserve">Coverage / location</t>
  </si>
  <si>
    <t xml:space="preserve">Published / period</t>
  </si>
  <si>
    <t xml:space="preserve">Retrieved</t>
  </si>
  <si>
    <t xml:space="preserve">Link</t>
  </si>
  <si>
    <t xml:space="preserve">Limitations</t>
  </si>
</sst>
</file>

<file path=xl/styles.xml><?xml version="1.0" encoding="utf-8"?>
<styleSheet xmlns="http://schemas.openxmlformats.org/spreadsheetml/2006/main">
  <numFmts count="9">
    <numFmt numFmtId="164" formatCode="#,##0;[RED]\-#,##0;0"/>
    <numFmt numFmtId="165" formatCode="General"/>
    <numFmt numFmtId="166" formatCode="\$0.00\M"/>
    <numFmt numFmtId="167" formatCode="#,##0.000"/>
    <numFmt numFmtId="168" formatCode="mmm\ d&quot;, &quot;yyyy"/>
    <numFmt numFmtId="169" formatCode="mm/dd/yy"/>
    <numFmt numFmtId="170" formatCode="\$#,##0.00;[RED]&quot;-$&quot;#,##0.00;\$0.00"/>
    <numFmt numFmtId="171" formatCode="&quot;FY&quot;0"/>
    <numFmt numFmtId="172" formatCode="#,##0.000;[RED]\-#,##0.000;0.000"/>
  </numFmts>
  <fonts count="2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9384D"/>
      <name val="Arial"/>
      <family val="0"/>
      <charset val="1"/>
    </font>
    <font>
      <b val="true"/>
      <sz val="24"/>
      <color rgb="FF1B283F"/>
      <name val="Arial"/>
      <family val="0"/>
      <charset val="1"/>
    </font>
    <font>
      <sz val="11"/>
      <color rgb="FF66768C"/>
      <name val="Arial"/>
      <family val="0"/>
      <charset val="1"/>
    </font>
    <font>
      <b val="true"/>
      <sz val="22"/>
      <color rgb="FF29384D"/>
      <name val="Arial"/>
      <family val="0"/>
      <charset val="1"/>
    </font>
    <font>
      <sz val="10"/>
      <color rgb="FF66768C"/>
      <name val="Arial"/>
      <family val="0"/>
      <charset val="1"/>
    </font>
    <font>
      <b val="true"/>
      <sz val="14"/>
      <color rgb="FF29384D"/>
      <name val="Arial"/>
      <family val="0"/>
      <charset val="1"/>
    </font>
    <font>
      <sz val="13"/>
      <color rgb="FF29384D"/>
      <name val="Arial"/>
      <family val="0"/>
      <charset val="1"/>
    </font>
    <font>
      <sz val="10"/>
      <color rgb="FF247C8B"/>
      <name val="Arial"/>
      <family val="0"/>
      <charset val="1"/>
    </font>
    <font>
      <b val="true"/>
      <sz val="18"/>
      <color rgb="FF29384D"/>
      <name val="Arial"/>
      <family val="0"/>
      <charset val="1"/>
    </font>
    <font>
      <b val="true"/>
      <sz val="19"/>
      <color rgb="FF1B283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247C8B"/>
      <name val="Arial"/>
      <family val="0"/>
      <charset val="1"/>
    </font>
    <font>
      <sz val="10"/>
      <color rgb="FF29384D"/>
      <name val="Arial"/>
      <family val="0"/>
      <charset val="1"/>
    </font>
    <font>
      <sz val="11"/>
      <color rgb="FFA53D37"/>
      <name val="Arial"/>
      <family val="0"/>
      <charset val="1"/>
    </font>
    <font>
      <b val="true"/>
      <sz val="11"/>
      <color rgb="FF29384D"/>
      <name val="Arial"/>
      <family val="0"/>
      <charset val="1"/>
    </font>
    <font>
      <b val="true"/>
      <sz val="10.5"/>
      <color rgb="FF000000"/>
      <name val="Arial"/>
      <family val="2"/>
    </font>
    <font>
      <sz val="9"/>
      <color rgb="FF000000"/>
      <name val="Arial"/>
      <family val="2"/>
    </font>
    <font>
      <b val="true"/>
      <sz val="16"/>
      <color rgb="FF29384D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7F9FC"/>
      </patternFill>
    </fill>
    <fill>
      <patternFill patternType="solid">
        <fgColor rgb="FFF0F2F5"/>
        <bgColor rgb="FFF1F6F4"/>
      </patternFill>
    </fill>
    <fill>
      <patternFill patternType="solid">
        <fgColor rgb="FFF7F9FC"/>
        <bgColor rgb="FFF1F6F4"/>
      </patternFill>
    </fill>
    <fill>
      <patternFill patternType="solid">
        <fgColor rgb="FFEDF4FD"/>
        <bgColor rgb="FFF0F2F5"/>
      </patternFill>
    </fill>
    <fill>
      <patternFill patternType="solid">
        <fgColor rgb="FF1B283F"/>
        <bgColor rgb="FF29384D"/>
      </patternFill>
    </fill>
    <fill>
      <patternFill patternType="solid">
        <fgColor rgb="FFF1F6F4"/>
        <bgColor rgb="FFF0F2F5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CE4ED"/>
      </bottom>
      <diagonal/>
    </border>
  </borders>
  <cellStyleXfs count="21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9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3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4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5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5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5" fillId="6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7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7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6" fillId="7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7" fillId="7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5" fillId="7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5" fillId="7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8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9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5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5" fillId="7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9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7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2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6" fillId="7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3">
    <dxf>
      <fill>
        <patternFill patternType="solid">
          <fgColor rgb="FF1B283F"/>
          <bgColor rgb="FF000000"/>
        </patternFill>
      </fill>
    </dxf>
    <dxf>
      <fill>
        <patternFill patternType="solid">
          <fgColor rgb="FFF1F6F4"/>
          <bgColor rgb="FF000000"/>
        </patternFill>
      </fill>
    </dxf>
    <dxf>
      <fill>
        <patternFill patternType="solid">
          <fgColor rgb="FF29384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47C8B"/>
          <bgColor rgb="FF000000"/>
        </patternFill>
      </fill>
    </dxf>
    <dxf>
      <fill>
        <patternFill patternType="solid">
          <fgColor rgb="FFF0F2F5"/>
          <bgColor rgb="FF000000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ill>
        <patternFill patternType="solid">
          <fgColor rgb="FFEDF4FD"/>
          <bgColor rgb="FF000000"/>
        </patternFill>
      </fill>
    </dxf>
    <dxf>
      <fill>
        <patternFill patternType="solid">
          <fgColor rgb="FFA53D37"/>
          <bgColor rgb="FF000000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numFmt numFmtId="164" formatCode="#,##0;[RED]\-#,##0;0"/>
    </dxf>
    <dxf>
      <numFmt numFmtId="164" formatCode="#,##0;[RED]\-#,##0;0"/>
    </dxf>
    <dxf>
      <numFmt numFmtId="164" formatCode="#,##0;[RED]\-#,##0;0"/>
    </dxf>
    <dxf>
      <numFmt numFmtId="164" formatCode="#,##0;[RED]\-#,##0;0"/>
    </dxf>
    <dxf>
      <numFmt numFmtId="164" formatCode="#,##0;[RED]\-#,##0;0"/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000000"/>
      </font>
      <border diagonalUp="false" diagonalDown="false">
        <left/>
        <right/>
        <top style="thin">
          <color theme="1"/>
        </top>
        <bottom style="thin">
          <color theme="1"/>
        </bottom>
        <diagonal/>
      </border>
    </dxf>
    <dxf>
      <fill>
        <patternFill>
          <bgColor theme="0" tint="-0.15"/>
        </patternFill>
      </fill>
    </dxf>
    <dxf>
      <fill>
        <patternFill>
          <bgColor theme="0" tint="-0.1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 diagonalUp="false" diagonalDown="false">
        <left/>
        <right/>
        <top/>
        <bottom style="thin">
          <color theme="1"/>
        </bottom>
        <diagonal/>
      </border>
    </dxf>
    <dxf>
      <font>
        <b val="1"/>
        <color rgb="FF000000"/>
      </font>
      <border diagonalUp="false" diagonalDown="false">
        <left/>
        <right/>
        <top style="thin">
          <color theme="1"/>
        </top>
        <bottom/>
        <diagonal/>
      </border>
    </dxf>
  </dxfs>
  <tableStyles count="1">
    <tableStyle count="7" name="TableStyleLight1">
      <tableStyleElement dxfId="26" type="wholeTable"/>
      <tableStyleElement dxfId="27" type="firstColumnStripe"/>
      <tableStyleElement dxfId="28" type="firstRowStripe"/>
      <tableStyleElement dxfId="29" type="lastColumn"/>
      <tableStyleElement dxfId="30" type="firstColumn"/>
      <tableStyleElement dxfId="31" type="headerRow"/>
      <tableStyleElement dxfId="32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47C8B"/>
      <rgbColor rgb="FFCCCCCC"/>
      <rgbColor rgb="FF8B8B8B"/>
      <rgbColor rgb="FF9999FF"/>
      <rgbColor rgb="FFA53D37"/>
      <rgbColor rgb="FFFFF0D9"/>
      <rgbColor rgb="FFEDF4F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6F4"/>
      <rgbColor rgb="FFDCE4ED"/>
      <rgbColor rgb="FFF0F2F5"/>
      <rgbColor rgb="FF99CCFF"/>
      <rgbColor rgb="FFFF99CC"/>
      <rgbColor rgb="FFCC99FF"/>
      <rgbColor rgb="FFF7F9FC"/>
      <rgbColor rgb="FF3366FF"/>
      <rgbColor rgb="FF33CCCC"/>
      <rgbColor rgb="FF99CC00"/>
      <rgbColor rgb="FFFFCC00"/>
      <rgbColor rgb="FFFF9900"/>
      <rgbColor rgb="FFFF6600"/>
      <rgbColor rgb="FF66768C"/>
      <rgbColor rgb="FF969696"/>
      <rgbColor rgb="FF1B283F"/>
      <rgbColor rgb="FF339966"/>
      <rgbColor rgb="FF003300"/>
      <rgbColor rgb="FF333300"/>
      <rgbColor rgb="FF993300"/>
      <rgbColor rgb="FF993366"/>
      <rgbColor rgb="FF333399"/>
      <rgbColor rgb="FF2938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title>
      <ns0:tx>
        <ns0:rich>
          <ns1:bodyPr rot="0"/>
          <ns1:lstStyle/>
          <ns1:p>
            <ns1:pPr>
              <ns1:defRPr sz="1300" b="0" u="none" strike="noStrike">
                <ns1:uFillTx/>
                <ns1:latin typeface="Arial"/>
              </ns1:defRPr>
            </ns1:pPr>
            <ns1:r>
              <ns1:rPr sz="1050" b="1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rPr>
              <ns1:t>Identified funding (USD millions)</ns1:t>
            </ns1:r>
          </ns1:p>
        </ns0:rich>
      </ns0:tx>
      <ns0:overlay val="0"/>
      <ns0:spPr>
        <ns1:noFill/>
        <ns1:ln w="0">
          <ns1:noFill/>
        </ns1:ln>
      </ns0:spPr>
    </ns0:title>
    <ns0:autoTitleDeleted val="0"/>
    <ns0:plotArea>
      <ns0:barChart>
        <ns0:barDir val="col"/>
        <ns0:grouping val="clustered"/>
        <ns0:varyColors val="0"/>
        <ns0:ser>
          <ns0:idx val="0"/>
          <ns0:order val="0"/>
          <ns0:tx>
            <ns0:strRef>
              <ns0:f>"Identified funding"</ns0:f>
              <ns0:strCache>
                <ns0:ptCount val="1"/>
                <ns0:pt idx="0">
                  <ns0:v>Identified funding</ns0:v>
                </ns0:pt>
              </ns0:strCache>
            </ns0:strRef>
          </ns0:tx>
          <ns0:spPr>
            <ns1:solidFill>
              <ns1:srgbClr val="247C8B"/>
            </ns1:solidFill>
            <ns1:ln w="0">
              <ns1:noFill/>
            </ns1:ln>
          </ns0:spPr>
          <ns0:invertIfNegative val="0"/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Funding!$H$20:$H$22</ns0:f>
              <ns0:strCache>
                <ns0:ptCount val="3"/>
                <ns0:pt idx="0">
                  <ns0:v>Period 1</ns0:v>
                </ns0:pt>
                <ns0:pt idx="1">
                  <ns0:v>Period 2</ns0:v>
                </ns0:pt>
                <ns0:pt idx="2">
                  <ns0:v>Period 3</ns0:v>
                </ns0:pt>
              </ns0:strCache>
            </ns0:strRef>
          </ns0:cat>
          <ns0:val>
            <ns0:numRef>
              <ns0:f>Funding!$I$20:$I$22</ns0:f>
              <ns0:numCache>
                <ns0:formatCode>General</ns0:formatCode>
                <ns0:ptCount val="3"/>
              </ns0:numCache>
            </ns0:numRef>
          </ns0:val>
        </ns0:ser>
        <ns0:gapWidth val="150"/>
        <ns0:overlap val="0"/>
        <ns0:axId val="12259220"/>
        <ns0:axId val="76567672"/>
      </ns0:barChart>
      <ns0:catAx>
        <ns0:axId val="12259220"/>
        <ns0:scaling>
          <ns0:orientation val="minMax"/>
        </ns0:scaling>
        <ns0:delete val="0"/>
        <ns0:axPos val="b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00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76567672"/>
        <ns0:crosses val="autoZero"/>
        <ns0:auto val="1"/>
        <ns0:lblAlgn val="ctr"/>
        <ns0:lblOffset val="100"/>
        <ns0:noMultiLvlLbl val="0"/>
      </ns0:catAx>
      <ns0:valAx>
        <ns0:axId val="76567672"/>
        <ns0:scaling>
          <ns0:orientation val="minMax"/>
        </ns0:scaling>
        <ns0:delete val="0"/>
        <ns0:axPos val="l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00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12259220"/>
        <ns0:crosses val="autoZero"/>
        <ns0:crossBetween val="between"/>
      </ns0:valAx>
      <ns0:spPr>
        <ns1:ln w="0">
          <ns1:noFill/>
        </ns1:ln>
      </ns0:spPr>
    </ns0:plotArea>
    <ns0:plotVisOnly val="0"/>
    <ns0:dispBlanksAs val="zero"/>
  </ns0:chart>
  <ns0:spPr>
    <ns1:ln w="9360">
      <ns1:solidFill>
        <ns1:srgbClr val="D9D9D9"/>
      </ns1:solidFill>
      <ns1:round/>
    </ns1:ln>
  </ns0:spPr>
</ns0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0</xdr:rowOff>
    </xdr:from>
    <xdr:to>
      <xdr:col>5</xdr:col>
      <xdr:colOff>1330560</xdr:colOff>
      <xdr:row>32</xdr:row>
      <xdr:rowOff>304560</xdr:rowOff>
    </xdr:to>
    <xdr:graphicFrame>
      <xdr:nvGraphicFramePr>
        <xdr:cNvPr id="1" name="Chart"/>
        <xdr:cNvGraphicFramePr/>
      </xdr:nvGraphicFramePr>
      <xdr:xfrm>
        <a:off x="0" y="6985080"/>
        <a:ext cx="6851880" cy="457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ntractData" displayName="ContractData" ref="A7:S15" headerRowCount="1" totalsRowCount="0" totalsRowShown="0">
  <autoFilter ref="A7:S15"/>
  <tableColumns count="19">
    <tableColumn id="1" name="ID"/>
    <tableColumn id="2" name="Award reference"/>
    <tableColumn id="3" name="Vendor"/>
    <tableColumn id="4" name="UEI"/>
    <tableColumn id="5" name="Scope"/>
    <tableColumn id="6" name="Relevance"/>
    <tableColumn id="7" name="Obligations (USD)"/>
    <tableColumn id="8" name="Current end"/>
    <tableColumn id="9" name="Awarded"/>
    <tableColumn id="10" name="Ultimate end"/>
    <tableColumn id="11" name="Parent IDV"/>
    <tableColumn id="12" name="Relevance rationale"/>
    <tableColumn id="13" name="Record ID"/>
    <tableColumn id="14" name="Award URL"/>
    <tableColumn id="15" name="Vendor URL"/>
    <tableColumn id="16" name="Parent URL"/>
    <tableColumn id="17" name="Input check"/>
    <tableColumn id="18" name="Award reference input"/>
    <tableColumn id="19" name="Vendor name inpu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FundingData" displayName="FundingData" ref="A8:N13" headerRowCount="1" totalsRowCount="0" totalsRowShown="0">
  <autoFilter ref="A8:N13"/>
  <tableColumns count="14">
    <tableColumn id="1" name="Funding line"/>
    <tableColumn id="2" name="Source units"/>
    <tableColumn id="3" name="Period 1 amount"/>
    <tableColumn id="4" name="Period 2 amount"/>
    <tableColumn id="5" name="Period 3 amount"/>
    <tableColumn id="6" name="Citation"/>
    <tableColumn id="7" name="ID"/>
    <tableColumn id="8" name="To USD millions"/>
    <tableColumn id="9" name="Period 1 USD M"/>
    <tableColumn id="10" name="Period 2 USD M"/>
    <tableColumn id="11" name="Period 3 USD M"/>
    <tableColumn id="12" name="Input check"/>
    <tableColumn id="13" name="Source ID"/>
    <tableColumn id="14" name="Location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MilestoneData" displayName="MilestoneData" ref="A7:I15" headerRowCount="1" totalsRowCount="0" totalsRowShown="0">
  <autoFilter ref="A7:I15"/>
  <tableColumns count="9">
    <tableColumn id="1" name="ID"/>
    <tableColumn id="2" name="Date"/>
    <tableColumn id="3" name="Period only"/>
    <tableColumn id="4" name="Milestone"/>
    <tableColumn id="5" name="Status"/>
    <tableColumn id="6" name="Details"/>
    <tableColumn id="7" name="Source"/>
    <tableColumn id="8" name="Input check"/>
    <tableColumn id="9" name="Source ID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ProfileData" displayName="ProfileData" ref="A14:H28" headerRowCount="1" totalsRowCount="0" totalsRowShown="0">
  <autoFilter ref="A14:H28"/>
  <tableColumns count="8">
    <tableColumn id="1" name="ID"/>
    <tableColumn id="2" name="Topic"/>
    <tableColumn id="3" name="Detail"/>
    <tableColumn id="4" name="Basis"/>
    <tableColumn id="5" name="Source"/>
    <tableColumn id="6" name="Location"/>
    <tableColumn id="7" name="Source URL"/>
    <tableColumn id="8" name="Source ID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QuestionData" displayName="QuestionData" ref="A7:I14" headerRowCount="1" totalsRowCount="0" totalsRowShown="0">
  <autoFilter ref="A7:I14"/>
  <tableColumns count="9">
    <tableColumn id="1" name="ID"/>
    <tableColumn id="2" name="Question / decision impact"/>
    <tableColumn id="3" name="Next action"/>
    <tableColumn id="4" name="Timing"/>
    <tableColumn id="5" name="Status"/>
    <tableColumn id="6" name="Source"/>
    <tableColumn id="7" name="Resolution evidence"/>
    <tableColumn id="8" name="Input check"/>
    <tableColumn id="9" name="Source ID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SourceData" displayName="SourceData" ref="A19:I26" headerRowCount="1" totalsRowCount="0" totalsRowShown="0">
  <autoFilter ref="A19:I26"/>
  <tableColumns count="9">
    <tableColumn id="1" name="ID"/>
    <tableColumn id="2" name="Source"/>
    <tableColumn id="3" name="Coverage / location"/>
    <tableColumn id="4" name="Published / period"/>
    <tableColumn id="5" name="Retrieved"/>
    <tableColumn id="6" name="Link"/>
    <tableColumn id="7" name="Limitations"/>
    <tableColumn id="8" name="Source URL"/>
    <tableColumn id="9" name="Input chec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<Relationship Id="rId2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>
  <sheetPr filterMode="false">
    <tabColor rgb="FF1B283F"/>
    <outlinePr summaryRight="0"/>
    <pageSetUpPr fitToPage="1"/>
  </sheetPr>
  <dimension ref="A1:W47"/>
  <sheetViews>
    <sheetView showFormulas="false" showGridLines="0" showRowColHeaders="true" showZeros="true" rightToLeft="false" tabSelected="1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1.67"/>
    <col customWidth="true" max="2" min="2" style="0" width="3.89"/>
    <col customWidth="true" max="3" min="3" style="0" width="3.89"/>
    <col customWidth="true" max="4" min="4" style="0" width="3.89"/>
    <col customWidth="true" max="5" min="5" style="0" width="3.89"/>
    <col customWidth="true" max="6" min="6" style="0" width="3.89"/>
    <col customWidth="true" max="7" min="7" style="0" width="3.89"/>
    <col customWidth="true" max="8" min="8" style="0" width="3.89"/>
    <col customWidth="true" max="9" min="9" style="0" width="3.89"/>
    <col customWidth="true" max="10" min="10" style="0" width="3.89"/>
    <col customWidth="true" max="11" min="11" style="0" width="3.89"/>
    <col customWidth="true" max="12" min="12" style="0" width="3.89"/>
    <col customWidth="true" max="13" min="13" style="0" width="3.89"/>
    <col customWidth="true" max="14" min="14" style="0" width="3.89"/>
    <col customWidth="true" max="15" min="15" style="0" width="3.89"/>
    <col customWidth="true" max="16" min="16" style="0" width="3.89"/>
    <col customWidth="true" max="17" min="17" style="0" width="3.89"/>
    <col customWidth="true" max="18" min="18" style="0" width="3.89"/>
    <col customWidth="true" max="19" min="19" style="0" width="3.89"/>
    <col customWidth="true" max="20" min="20" style="0" width="3.89"/>
    <col customWidth="true" max="21" min="21" style="0" width="3.89"/>
    <col customWidth="true" max="22" min="22" style="0" width="1.67"/>
    <col customWidth="true" max="23" min="23" style="0" width="17.78" hidden="1" outlineLevel="1"/>
  </cols>
  <sheetData>
    <row r="1" customFormat="false" ht="16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6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  <c r="R2" s="3" t="s">
        <v>1</v>
      </c>
      <c r="S2" s="3"/>
      <c r="T2" s="3"/>
      <c r="U2" s="3"/>
      <c r="V2" s="1"/>
    </row>
    <row r="3" customFormat="false" ht="16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1"/>
      <c r="R3" s="3"/>
      <c r="S3" s="3"/>
      <c r="T3" s="3"/>
      <c r="U3" s="3"/>
      <c r="V3" s="1"/>
    </row>
    <row r="4" customFormat="false" ht="16" hidden="false" customHeight="true" outlineLevel="0" collapsed="false">
      <c r="A4" s="1"/>
      <c r="B4" s="4" t="str">
        <f aca="false">IF('System Profile'!B6="","Agency",'System Profile'!B6)</f>
        <v>Agency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 t="str">
        <f aca="false">IF('System Profile'!B7="","As-of date needed",TEXT('System Profile'!B7,"mmm d, yyyy"))</f>
        <v>As-of date needed</v>
      </c>
      <c r="Q4" s="4"/>
      <c r="R4" s="4"/>
      <c r="S4" s="4"/>
      <c r="T4" s="4"/>
      <c r="U4" s="4"/>
      <c r="V4" s="1"/>
    </row>
    <row r="5" customFormat="false" ht="16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customFormat="false" ht="16" hidden="false" customHeight="true" outlineLevel="0" collapsed="false">
      <c r="A6" s="1"/>
      <c r="B6" s="5" t="str">
        <f aca="false">IF('System Profile'!B9="","Start with the System Profile, then add contracts, funding and dated evidence.",'System Profile'!B9)</f>
        <v>Start with the System Profile, then add contracts, funding and dated evidence.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1"/>
    </row>
    <row r="7" customFormat="false" ht="16" hidden="false" customHeight="true" outlineLevel="0" collapsed="false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1"/>
    </row>
    <row r="8" customFormat="false" ht="16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customFormat="false" ht="16" hidden="false" customHeight="true" outlineLevel="0" collapsed="false">
      <c r="A9" s="1"/>
      <c r="B9" s="4" t="s">
        <v>2</v>
      </c>
      <c r="C9" s="4"/>
      <c r="D9" s="4"/>
      <c r="E9" s="4"/>
      <c r="F9" s="4"/>
      <c r="G9" s="4"/>
      <c r="H9" s="1"/>
      <c r="I9" s="4" t="s">
        <v>3</v>
      </c>
      <c r="J9" s="4"/>
      <c r="K9" s="4"/>
      <c r="L9" s="4"/>
      <c r="M9" s="4"/>
      <c r="N9" s="4"/>
      <c r="O9" s="1"/>
      <c r="P9" s="4" t="s">
        <v>4</v>
      </c>
      <c r="Q9" s="4"/>
      <c r="R9" s="4"/>
      <c r="S9" s="4"/>
      <c r="T9" s="4"/>
      <c r="U9" s="4"/>
      <c r="V9" s="1"/>
    </row>
    <row r="10" customFormat="false" ht="16" hidden="false" customHeight="true" outlineLevel="0" collapsed="false">
      <c r="A10" s="1"/>
      <c r="B10" s="6" t="str">
        <f aca="false">IF(NOT('System Profile'!B5&lt;&gt;""),"—",COUNTIF(ContractData[ID],"?*"))</f>
        <v>—</v>
      </c>
      <c r="C10" s="6"/>
      <c r="D10" s="6"/>
      <c r="E10" s="6"/>
      <c r="F10" s="6"/>
      <c r="G10" s="6"/>
      <c r="H10" s="1"/>
      <c r="I10" s="7" t="str">
        <f aca="false">IF(NOT('System Profile'!B5&lt;&gt;""),"—",IF(COUNTIF(ContractData[Input check],"?*")&gt;0,"Check inputs",IF(COUNTIF(ContractData[Relevance],"In scope")=0,"Not established",SUMIF(ContractData[Relevance],"In scope",ContractData[Obligations (USD)])/1000000)))</f>
        <v>—</v>
      </c>
      <c r="J10" s="7"/>
      <c r="K10" s="7"/>
      <c r="L10" s="7"/>
      <c r="M10" s="7"/>
      <c r="N10" s="7"/>
      <c r="O10" s="1"/>
      <c r="P10" s="6" t="str">
        <f aca="false">IF(NOT('System Profile'!B5&lt;&gt;""),"—",IF(COUNTIF(QuestionData[Input check],"?*")&gt;0,"Check inputs",COUNTIF(QuestionData[ID],"?*")-COUNTIFS(QuestionData[Status],"Resolved",QuestionData[Resolution evidence],"?*",QuestionData[Source],"?*")))</f>
        <v>—</v>
      </c>
      <c r="Q10" s="6"/>
      <c r="R10" s="6"/>
      <c r="S10" s="6"/>
      <c r="T10" s="6"/>
      <c r="U10" s="6"/>
      <c r="V10" s="1"/>
    </row>
    <row r="11" customFormat="false" ht="16" hidden="false" customHeight="true" outlineLevel="0" collapsed="false">
      <c r="A11" s="1"/>
      <c r="B11" s="6"/>
      <c r="C11" s="6"/>
      <c r="D11" s="6"/>
      <c r="E11" s="6"/>
      <c r="F11" s="6"/>
      <c r="G11" s="6"/>
      <c r="H11" s="1"/>
      <c r="I11" s="7"/>
      <c r="J11" s="7"/>
      <c r="K11" s="7"/>
      <c r="L11" s="7"/>
      <c r="M11" s="7"/>
      <c r="N11" s="7"/>
      <c r="O11" s="1"/>
      <c r="P11" s="6"/>
      <c r="Q11" s="6"/>
      <c r="R11" s="6"/>
      <c r="S11" s="6"/>
      <c r="T11" s="6"/>
      <c r="U11" s="6"/>
      <c r="V11" s="1"/>
    </row>
    <row r="12" customFormat="false" ht="16" hidden="false" customHeight="true" outlineLevel="0" collapsed="false">
      <c r="A12" s="1"/>
      <c r="B12" s="6"/>
      <c r="C12" s="6"/>
      <c r="D12" s="6"/>
      <c r="E12" s="6"/>
      <c r="F12" s="6"/>
      <c r="G12" s="6"/>
      <c r="H12" s="1"/>
      <c r="I12" s="7"/>
      <c r="J12" s="7"/>
      <c r="K12" s="7"/>
      <c r="L12" s="7"/>
      <c r="M12" s="7"/>
      <c r="N12" s="7"/>
      <c r="O12" s="1"/>
      <c r="P12" s="6"/>
      <c r="Q12" s="6"/>
      <c r="R12" s="6"/>
      <c r="S12" s="6"/>
      <c r="T12" s="6"/>
      <c r="U12" s="6"/>
      <c r="V12" s="1"/>
    </row>
    <row r="13" customFormat="false" ht="16" hidden="false" customHeight="true" outlineLevel="0" collapsed="false">
      <c r="A13" s="1"/>
      <c r="B13" s="8" t="s">
        <v>5</v>
      </c>
      <c r="C13" s="8"/>
      <c r="D13" s="8"/>
      <c r="E13" s="8"/>
      <c r="F13" s="8"/>
      <c r="G13" s="8"/>
      <c r="H13" s="1"/>
      <c r="I13" s="8" t="s">
        <v>6</v>
      </c>
      <c r="J13" s="8"/>
      <c r="K13" s="8"/>
      <c r="L13" s="8"/>
      <c r="M13" s="8"/>
      <c r="N13" s="8"/>
      <c r="O13" s="1"/>
      <c r="P13" s="8" t="s">
        <v>7</v>
      </c>
      <c r="Q13" s="8"/>
      <c r="R13" s="8"/>
      <c r="S13" s="8"/>
      <c r="T13" s="8"/>
      <c r="U13" s="8"/>
      <c r="V13" s="1"/>
    </row>
    <row r="14" customFormat="false" ht="16" hidden="false" customHeight="true" outlineLevel="0" collapsed="false">
      <c r="A14" s="1"/>
      <c r="B14" s="8"/>
      <c r="C14" s="8"/>
      <c r="D14" s="8"/>
      <c r="E14" s="8"/>
      <c r="F14" s="8"/>
      <c r="G14" s="8"/>
      <c r="H14" s="1"/>
      <c r="I14" s="8"/>
      <c r="J14" s="8"/>
      <c r="K14" s="8"/>
      <c r="L14" s="8"/>
      <c r="M14" s="8"/>
      <c r="N14" s="8"/>
      <c r="O14" s="1"/>
      <c r="P14" s="8"/>
      <c r="Q14" s="8"/>
      <c r="R14" s="8"/>
      <c r="S14" s="8"/>
      <c r="T14" s="8"/>
      <c r="U14" s="8"/>
      <c r="V14" s="1"/>
    </row>
    <row r="15" customFormat="false" ht="16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customFormat="false" ht="16" hidden="false" customHeight="true" outlineLevel="0" collapsed="false">
      <c r="A16" s="1"/>
      <c r="B16" s="9" t="s">
        <v>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1"/>
    </row>
    <row r="17" customFormat="false" ht="16" hidden="false" customHeight="true" outlineLevel="0" collapsed="false">
      <c r="A17" s="1"/>
      <c r="B17" s="10" t="str">
        <f aca="false">IF('System Profile'!B8="","Enter the current phase and its supporting source.",'System Profile'!B8)</f>
        <v>Enter the current phase and its supporting source.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"/>
    </row>
    <row r="18" customFormat="false" ht="16" hidden="false" customHeight="true" outlineLevel="0" collapsed="false">
      <c r="A18" s="1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"/>
    </row>
    <row r="19" customFormat="false" ht="16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customFormat="false" ht="16" hidden="false" customHeight="true" outlineLevel="0" collapsed="false">
      <c r="A20" s="1"/>
      <c r="B20" s="9" t="s">
        <v>9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1"/>
      <c r="W20" s="0" t="s">
        <v>10</v>
      </c>
    </row>
    <row r="21" customFormat="false" ht="16" hidden="false" customHeight="true" outlineLevel="0" collapsed="false">
      <c r="A21" s="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2" t="str">
        <f aca="false">IF(W21="","",IF(IF(W21="","Add source ID",IF(SUMPRODUCT(--(SourceData[ID]=W21))&lt;&gt;1,"Unknown or duplicate source ID",IF(INDEX(SourceData[Input check],MATCH(W21,SourceData[ID],0))&lt;&gt;"","Complete source record","")))&lt;&gt;"","Check source",HYPERLINK(INDEX(SourceData[Source URL],MATCH(W21,SourceData[ID],0)),W21)))</f>
        <v/>
      </c>
      <c r="U21" s="12"/>
      <c r="V21" s="1"/>
    </row>
    <row r="22" customFormat="false" ht="16" hidden="false" customHeight="true" outlineLevel="0" collapsed="false">
      <c r="A22" s="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2"/>
      <c r="U22" s="12"/>
      <c r="V22" s="1"/>
    </row>
    <row r="23" customFormat="false" ht="16" hidden="false" customHeight="true" outlineLevel="0" collapsed="false">
      <c r="A23" s="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2"/>
      <c r="U23" s="12"/>
      <c r="V23" s="1"/>
    </row>
    <row r="24" customFormat="false" ht="16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customFormat="false" ht="16" hidden="false" customHeight="true" outlineLevel="0" collapsed="false">
      <c r="A25" s="1"/>
      <c r="B25" s="9" t="s">
        <v>11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1"/>
    </row>
    <row r="26" customFormat="false" ht="16" hidden="false" customHeight="true" outlineLevel="0" collapsed="false">
      <c r="A26" s="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2" t="str">
        <f aca="false">IF(W26="","",IF(IF(W26="","Add source ID",IF(SUMPRODUCT(--(SourceData[ID]=W26))&lt;&gt;1,"Unknown or duplicate source ID",IF(INDEX(SourceData[Input check],MATCH(W26,SourceData[ID],0))&lt;&gt;"","Complete source record","")))&lt;&gt;"","Check source",HYPERLINK(INDEX(SourceData[Source URL],MATCH(W26,SourceData[ID],0)),W26)))</f>
        <v/>
      </c>
      <c r="U26" s="12"/>
      <c r="V26" s="1"/>
    </row>
    <row r="27" customFormat="false" ht="16" hidden="false" customHeight="true" outlineLevel="0" collapsed="false">
      <c r="A27" s="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2"/>
      <c r="U27" s="12"/>
      <c r="V27" s="1"/>
    </row>
    <row r="28" customFormat="false" ht="16" hidden="false" customHeight="true" outlineLevel="0" collapsed="false">
      <c r="A28" s="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2"/>
      <c r="U28" s="12"/>
      <c r="V28" s="1"/>
    </row>
    <row r="29" customFormat="false" ht="16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customFormat="false" ht="16" hidden="false" customHeight="true" outlineLevel="0" collapsed="false">
      <c r="A30" s="1"/>
      <c r="B30" s="9" t="s">
        <v>12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1"/>
    </row>
    <row r="31" customFormat="false" ht="16" hidden="false" customHeight="true" outlineLevel="0" collapsed="false">
      <c r="A31" s="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2" t="str">
        <f aca="false">IF(W31="","",IF(IF(W31="","Add source ID",IF(SUMPRODUCT(--(SourceData[ID]=W31))&lt;&gt;1,"Unknown or duplicate source ID",IF(INDEX(SourceData[Input check],MATCH(W31,SourceData[ID],0))&lt;&gt;"","Complete source record","")))&lt;&gt;"","Check source",HYPERLINK(INDEX(SourceData[Source URL],MATCH(W31,SourceData[ID],0)),W31)))</f>
        <v/>
      </c>
      <c r="U31" s="12"/>
      <c r="V31" s="1"/>
    </row>
    <row r="32" customFormat="false" ht="16" hidden="false" customHeight="true" outlineLevel="0" collapsed="false">
      <c r="A32" s="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2"/>
      <c r="U32" s="12"/>
      <c r="V32" s="1"/>
    </row>
    <row r="33" customFormat="false" ht="16" hidden="false" customHeight="true" outlineLevel="0" collapsed="false">
      <c r="A33" s="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2"/>
      <c r="U33" s="12"/>
      <c r="V33" s="1"/>
    </row>
    <row r="34" customFormat="false" ht="16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customFormat="false" ht="16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customFormat="false" ht="16" hidden="false" customHeight="true" outlineLevel="0" collapsed="false">
      <c r="A36" s="1"/>
      <c r="B36" s="9" t="s">
        <v>13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1"/>
    </row>
    <row r="37" customFormat="false" ht="16" hidden="false" customHeight="true" outlineLevel="0" collapsed="false">
      <c r="A37" s="1"/>
      <c r="B37" s="4" t="str">
        <f aca="false">IF(Funding!C5="","Period 1","FY"&amp;Funding!C5&amp;" "&amp;Funding!C6)</f>
        <v>Period 1</v>
      </c>
      <c r="C37" s="4"/>
      <c r="D37" s="4"/>
      <c r="E37" s="4"/>
      <c r="F37" s="4"/>
      <c r="G37" s="4"/>
      <c r="H37" s="1"/>
      <c r="I37" s="4" t="str">
        <f aca="false">IF(Funding!D5="","Period 2","FY"&amp;Funding!D5&amp;" "&amp;Funding!D6)</f>
        <v>Period 2</v>
      </c>
      <c r="J37" s="4"/>
      <c r="K37" s="4"/>
      <c r="L37" s="4"/>
      <c r="M37" s="4"/>
      <c r="N37" s="4"/>
      <c r="O37" s="1"/>
      <c r="P37" s="4" t="str">
        <f aca="false">IF(Funding!E5="","Period 3","FY"&amp;Funding!E5&amp;" "&amp;Funding!E6)</f>
        <v>Period 3</v>
      </c>
      <c r="Q37" s="4"/>
      <c r="R37" s="4"/>
      <c r="S37" s="4"/>
      <c r="T37" s="4"/>
      <c r="U37" s="4"/>
      <c r="V37" s="1"/>
    </row>
    <row r="38" customFormat="false" ht="16" hidden="false" customHeight="true" outlineLevel="0" collapsed="false">
      <c r="A38" s="1"/>
      <c r="B38" s="13" t="str">
        <f aca="false">IF(Funding!C15="","—",Funding!C15)</f>
        <v>—</v>
      </c>
      <c r="C38" s="13"/>
      <c r="D38" s="13"/>
      <c r="E38" s="13"/>
      <c r="F38" s="13"/>
      <c r="G38" s="13"/>
      <c r="H38" s="1"/>
      <c r="I38" s="13" t="str">
        <f aca="false">IF(Funding!D15="","—",Funding!D15)</f>
        <v>—</v>
      </c>
      <c r="J38" s="13"/>
      <c r="K38" s="13"/>
      <c r="L38" s="13"/>
      <c r="M38" s="13"/>
      <c r="N38" s="13"/>
      <c r="O38" s="1"/>
      <c r="P38" s="13" t="str">
        <f aca="false">IF(Funding!E15="","—",Funding!E15)</f>
        <v>—</v>
      </c>
      <c r="Q38" s="13"/>
      <c r="R38" s="13"/>
      <c r="S38" s="13"/>
      <c r="T38" s="13"/>
      <c r="U38" s="13"/>
      <c r="V38" s="1"/>
    </row>
    <row r="39" customFormat="false" ht="16" hidden="false" customHeight="true" outlineLevel="0" collapsed="false">
      <c r="A39" s="1"/>
      <c r="B39" s="13"/>
      <c r="C39" s="13"/>
      <c r="D39" s="13"/>
      <c r="E39" s="13"/>
      <c r="F39" s="13"/>
      <c r="G39" s="13"/>
      <c r="H39" s="1"/>
      <c r="I39" s="13"/>
      <c r="J39" s="13"/>
      <c r="K39" s="13"/>
      <c r="L39" s="13"/>
      <c r="M39" s="13"/>
      <c r="N39" s="13"/>
      <c r="O39" s="1"/>
      <c r="P39" s="13"/>
      <c r="Q39" s="13"/>
      <c r="R39" s="13"/>
      <c r="S39" s="13"/>
      <c r="T39" s="13"/>
      <c r="U39" s="13"/>
      <c r="V39" s="1"/>
    </row>
    <row r="40" customFormat="false" ht="16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customFormat="false" ht="16" hidden="false" customHeight="true" outlineLevel="0" collapsed="false">
      <c r="A41" s="1"/>
      <c r="B41" s="8" t="str">
        <f aca="false">IF(Funding!A4="","Add source amounts and funding bases on the Funding tab.",Funding!A4&amp;". Amounts reflect only the entered budget lines.")</f>
        <v>Enter fiscal years, funding bases and source amounts below.. Amounts reflect only the entered budget lines.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1"/>
    </row>
    <row r="42" customFormat="false" ht="16" hidden="false" customHeight="true" outlineLevel="0" collapsed="false">
      <c r="A42" s="1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1"/>
    </row>
    <row r="43" customFormat="false" ht="16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customFormat="false" ht="16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customFormat="false" ht="16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customFormat="false" ht="16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customFormat="false" ht="16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</sheetData>
  <mergeCells count="33">
    <mergeCell ref="B2:P3"/>
    <mergeCell ref="R2:U3"/>
    <mergeCell ref="B4:O4"/>
    <mergeCell ref="P4:U4"/>
    <mergeCell ref="B6:U7"/>
    <mergeCell ref="B9:G9"/>
    <mergeCell ref="I9:N9"/>
    <mergeCell ref="P9:U9"/>
    <mergeCell ref="B10:G12"/>
    <mergeCell ref="I10:N12"/>
    <mergeCell ref="P10:U12"/>
    <mergeCell ref="B13:G14"/>
    <mergeCell ref="I13:N14"/>
    <mergeCell ref="P13:U14"/>
    <mergeCell ref="B16:U16"/>
    <mergeCell ref="B17:U18"/>
    <mergeCell ref="B20:U20"/>
    <mergeCell ref="B21:S23"/>
    <mergeCell ref="T21:U23"/>
    <mergeCell ref="B25:U25"/>
    <mergeCell ref="B26:S28"/>
    <mergeCell ref="T26:U28"/>
    <mergeCell ref="B30:U30"/>
    <mergeCell ref="B31:S33"/>
    <mergeCell ref="T31:U33"/>
    <mergeCell ref="B36:U36"/>
    <mergeCell ref="B37:G37"/>
    <mergeCell ref="I37:N37"/>
    <mergeCell ref="P37:U37"/>
    <mergeCell ref="B38:G39"/>
    <mergeCell ref="I38:N39"/>
    <mergeCell ref="P38:U39"/>
    <mergeCell ref="B41:U42"/>
  </mergeCells>
  <printOptions horizontalCentered="1" gridLines="0" headings="0"/>
  <pageMargins left="0.25" right="0.25" top="0.3" bottom="0.4" header="0.1" footer="0.15"/>
  <pageSetup paperSize="1" orientation="portrait" fitToWidth="1" fitToHeight="1"/>
  <headerFooter>
    <oddFooter>&amp;LOverview&amp;RPage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H28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14" topLeftCell="C15" activePane="bottomRight" state="frozen"/>
      <selection pane="topLeft" activeCell="A1" activeCellId="0" sqref="A1"/>
      <selection pane="topRight" activeCell="C1" activeCellId="0" sqref="C1"/>
      <selection pane="bottomLeft" activeCell="A15" activeCellId="0" sqref="A15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11.11"/>
    <col customWidth="true" max="2" min="2" style="0" width="22.78"/>
    <col customWidth="true" max="3" min="3" style="0" width="50"/>
    <col customWidth="true" max="4" min="4" style="0" width="13.34"/>
    <col customWidth="true" max="5" min="5" style="0" width="11.67"/>
    <col customWidth="true" max="6" min="6" style="0" width="18.89"/>
    <col customWidth="true" max="7" min="7" style="0" width="43.33" hidden="1" outlineLevel="1"/>
    <col customWidth="true" max="8" min="8" style="0" width="11.67" hidden="1" outlineLevel="1"/>
  </cols>
  <sheetData>
    <row r="1" customFormat="false" ht="10" hidden="false" customHeight="true" outlineLevel="0" collapsed="false">
      <c r="A1" s="14"/>
      <c r="B1" s="14"/>
      <c r="C1" s="14"/>
      <c r="D1" s="14"/>
      <c r="E1" s="14"/>
      <c r="F1" s="14"/>
      <c r="G1" s="14"/>
      <c r="H1" s="14"/>
    </row>
    <row r="2" customFormat="false" ht="33" hidden="false" customHeight="true" outlineLevel="0" collapsed="false">
      <c r="A2" s="15" t="s">
        <v>14</v>
      </c>
      <c r="B2" s="15"/>
      <c r="C2" s="15"/>
      <c r="D2" s="15"/>
      <c r="E2" s="15"/>
      <c r="F2" s="15"/>
      <c r="G2" s="14"/>
      <c r="H2" s="14"/>
    </row>
    <row r="3" customFormat="false" ht="24" hidden="false" customHeight="true" outlineLevel="0" collapsed="false">
      <c r="A3" s="16"/>
      <c r="B3" s="16"/>
      <c r="C3" s="16"/>
      <c r="D3" s="16"/>
      <c r="E3" s="16"/>
      <c r="F3" s="16"/>
      <c r="G3" s="14"/>
      <c r="H3" s="14"/>
    </row>
    <row r="4" customFormat="false" ht="24" hidden="false" customHeight="true" outlineLevel="0" collapsed="false">
      <c r="A4" s="14" t="s">
        <v>15</v>
      </c>
      <c r="B4" s="11"/>
      <c r="C4" s="11"/>
      <c r="D4" s="11"/>
      <c r="E4" s="11"/>
      <c r="F4" s="11"/>
      <c r="G4" s="14"/>
      <c r="H4" s="14"/>
    </row>
    <row r="5" customFormat="false" ht="24" hidden="false" customHeight="true" outlineLevel="0" collapsed="false">
      <c r="A5" s="14" t="s">
        <v>16</v>
      </c>
      <c r="B5" s="11"/>
      <c r="C5" s="11"/>
      <c r="D5" s="11"/>
      <c r="E5" s="11"/>
      <c r="F5" s="11"/>
      <c r="G5" s="14"/>
      <c r="H5" s="14"/>
    </row>
    <row r="6" customFormat="false" ht="24" hidden="false" customHeight="true" outlineLevel="0" collapsed="false">
      <c r="A6" s="14" t="s">
        <v>17</v>
      </c>
      <c r="B6" s="11"/>
      <c r="C6" s="11"/>
      <c r="D6" s="11"/>
      <c r="E6" s="11"/>
      <c r="F6" s="11"/>
      <c r="G6" s="14"/>
      <c r="H6" s="14"/>
    </row>
    <row r="7" customFormat="false" ht="24" hidden="false" customHeight="true" outlineLevel="0" collapsed="false">
      <c r="A7" s="14" t="s">
        <v>18</v>
      </c>
      <c r="B7" s="17"/>
      <c r="C7" s="14" t="s">
        <v>19</v>
      </c>
      <c r="D7" s="11"/>
      <c r="E7" s="14"/>
      <c r="F7" s="14"/>
      <c r="G7" s="14"/>
      <c r="H7" s="14"/>
    </row>
    <row r="8" customFormat="false" ht="24" hidden="false" customHeight="true" outlineLevel="0" collapsed="false">
      <c r="A8" s="14" t="s">
        <v>20</v>
      </c>
      <c r="B8" s="11"/>
      <c r="C8" s="11"/>
      <c r="D8" s="11"/>
      <c r="E8" s="11"/>
      <c r="F8" s="11"/>
      <c r="G8" s="14"/>
      <c r="H8" s="14"/>
    </row>
    <row r="9" customFormat="false" ht="24" hidden="false" customHeight="true" outlineLevel="0" collapsed="false">
      <c r="A9" s="14" t="s">
        <v>21</v>
      </c>
      <c r="B9" s="11"/>
      <c r="C9" s="11"/>
      <c r="D9" s="11"/>
      <c r="E9" s="11"/>
      <c r="F9" s="11"/>
      <c r="G9" s="14"/>
      <c r="H9" s="14"/>
    </row>
    <row r="10" customFormat="false" ht="24" hidden="false" customHeight="true" outlineLevel="0" collapsed="false">
      <c r="A10" s="14"/>
      <c r="B10" s="11"/>
      <c r="C10" s="11"/>
      <c r="D10" s="11"/>
      <c r="E10" s="11"/>
      <c r="F10" s="11"/>
      <c r="G10" s="14"/>
      <c r="H10" s="14"/>
    </row>
    <row r="11" customFormat="false" ht="24" hidden="false" customHeight="true" outlineLevel="0" collapsed="false">
      <c r="A11" s="14"/>
      <c r="B11" s="14"/>
      <c r="C11" s="14"/>
      <c r="D11" s="14"/>
      <c r="E11" s="14"/>
      <c r="F11" s="14"/>
      <c r="G11" s="14"/>
      <c r="H11" s="14"/>
    </row>
    <row r="12" customFormat="false" ht="24" hidden="false" customHeight="true" outlineLevel="0" collapsed="false">
      <c r="A12" s="18" t="s">
        <v>22</v>
      </c>
      <c r="B12" s="18"/>
      <c r="C12" s="19"/>
      <c r="D12" s="20" t="s">
        <v>23</v>
      </c>
      <c r="E12" s="19"/>
      <c r="F12" s="14"/>
      <c r="G12" s="14"/>
      <c r="H12" s="14"/>
    </row>
    <row r="13" customFormat="false" ht="24" hidden="false" customHeight="true" outlineLevel="0" collapsed="false">
      <c r="A13" s="21" t="s">
        <v>24</v>
      </c>
      <c r="B13" s="21"/>
      <c r="C13" s="21"/>
      <c r="D13" s="21"/>
      <c r="E13" s="21"/>
      <c r="F13" s="21"/>
      <c r="G13" s="14"/>
      <c r="H13" s="14"/>
    </row>
    <row r="14" customFormat="false" ht="36" hidden="false" customHeight="true" outlineLevel="0" collapsed="false">
      <c r="A14" s="22" t="s">
        <v>25</v>
      </c>
      <c r="B14" s="22" t="s">
        <v>26</v>
      </c>
      <c r="C14" s="22" t="s">
        <v>27</v>
      </c>
      <c r="D14" s="22" t="s">
        <v>28</v>
      </c>
      <c r="E14" s="22" t="s">
        <v>29</v>
      </c>
      <c r="F14" s="22" t="s">
        <v>30</v>
      </c>
      <c r="G14" s="22" t="s">
        <v>31</v>
      </c>
      <c r="H14" s="22" t="s">
        <v>32</v>
      </c>
    </row>
    <row r="15" customFormat="false" ht="50" hidden="false" customHeight="true" outlineLevel="0" collapsed="false">
      <c r="A15" s="23"/>
      <c r="B15" s="23" t="s">
        <v>33</v>
      </c>
      <c r="C15" s="24"/>
      <c r="D15" s="23"/>
      <c r="E15" s="25" t="str">
        <f aca="false">IF(H15="","",IF(IF(H15="","Add source ID",IF(SUMPRODUCT(--(SourceData[ID]=H15))&lt;&gt;1,"Unknown or duplicate source ID",IF(INDEX(SourceData[Input check],MATCH(H15,SourceData[ID],0))&lt;&gt;"","Complete source record","")))&lt;&gt;"","Check source",HYPERLINK(INDEX(SourceData[Source URL],MATCH(H15,SourceData[ID],0)),H15)))</f>
        <v/>
      </c>
      <c r="F15" s="23"/>
      <c r="G15" s="26" t="str">
        <f aca="false">IF(H15="","",IF(IF(H15="","Add source ID",IF(SUMPRODUCT(--(SourceData[ID]=H15))&lt;&gt;1,"Unknown or duplicate source ID",IF(INDEX(SourceData[Input check],MATCH(H15,SourceData[ID],0))&lt;&gt;"","Complete source record","")))&lt;&gt;"","Check source",INDEX(SourceData[Source URL],MATCH(H15,SourceData[ID],0))))</f>
        <v/>
      </c>
      <c r="H15" s="23"/>
    </row>
    <row r="16" customFormat="false" ht="50" hidden="false" customHeight="true" outlineLevel="0" collapsed="false">
      <c r="A16" s="23"/>
      <c r="B16" s="23" t="s">
        <v>34</v>
      </c>
      <c r="C16" s="24"/>
      <c r="D16" s="23"/>
      <c r="E16" s="25" t="str">
        <f aca="false">IF(H16="","",IF(IF(H16="","Add source ID",IF(SUMPRODUCT(--(SourceData[ID]=H16))&lt;&gt;1,"Unknown or duplicate source ID",IF(INDEX(SourceData[Input check],MATCH(H16,SourceData[ID],0))&lt;&gt;"","Complete source record","")))&lt;&gt;"","Check source",HYPERLINK(INDEX(SourceData[Source URL],MATCH(H16,SourceData[ID],0)),H16)))</f>
        <v/>
      </c>
      <c r="F16" s="23"/>
      <c r="G16" s="26" t="str">
        <f aca="false">IF(H16="","",IF(IF(H16="","Add source ID",IF(SUMPRODUCT(--(SourceData[ID]=H16))&lt;&gt;1,"Unknown or duplicate source ID",IF(INDEX(SourceData[Input check],MATCH(H16,SourceData[ID],0))&lt;&gt;"","Complete source record","")))&lt;&gt;"","Check source",INDEX(SourceData[Source URL],MATCH(H16,SourceData[ID],0))))</f>
        <v/>
      </c>
      <c r="H16" s="23"/>
    </row>
    <row r="17" customFormat="false" ht="50" hidden="false" customHeight="true" outlineLevel="0" collapsed="false">
      <c r="A17" s="23"/>
      <c r="B17" s="23" t="s">
        <v>35</v>
      </c>
      <c r="C17" s="24"/>
      <c r="D17" s="23"/>
      <c r="E17" s="25" t="str">
        <f aca="false">IF(H17="","",IF(IF(H17="","Add source ID",IF(SUMPRODUCT(--(SourceData[ID]=H17))&lt;&gt;1,"Unknown or duplicate source ID",IF(INDEX(SourceData[Input check],MATCH(H17,SourceData[ID],0))&lt;&gt;"","Complete source record","")))&lt;&gt;"","Check source",HYPERLINK(INDEX(SourceData[Source URL],MATCH(H17,SourceData[ID],0)),H17)))</f>
        <v/>
      </c>
      <c r="F17" s="23"/>
      <c r="G17" s="26" t="str">
        <f aca="false">IF(H17="","",IF(IF(H17="","Add source ID",IF(SUMPRODUCT(--(SourceData[ID]=H17))&lt;&gt;1,"Unknown or duplicate source ID",IF(INDEX(SourceData[Input check],MATCH(H17,SourceData[ID],0))&lt;&gt;"","Complete source record","")))&lt;&gt;"","Check source",INDEX(SourceData[Source URL],MATCH(H17,SourceData[ID],0))))</f>
        <v/>
      </c>
      <c r="H17" s="23"/>
    </row>
    <row r="18" customFormat="false" ht="50" hidden="false" customHeight="true" outlineLevel="0" collapsed="false">
      <c r="A18" s="23"/>
      <c r="B18" s="23" t="s">
        <v>36</v>
      </c>
      <c r="C18" s="24"/>
      <c r="D18" s="23"/>
      <c r="E18" s="25" t="str">
        <f aca="false">IF(H18="","",IF(IF(H18="","Add source ID",IF(SUMPRODUCT(--(SourceData[ID]=H18))&lt;&gt;1,"Unknown or duplicate source ID",IF(INDEX(SourceData[Input check],MATCH(H18,SourceData[ID],0))&lt;&gt;"","Complete source record","")))&lt;&gt;"","Check source",HYPERLINK(INDEX(SourceData[Source URL],MATCH(H18,SourceData[ID],0)),H18)))</f>
        <v/>
      </c>
      <c r="F18" s="23"/>
      <c r="G18" s="26" t="str">
        <f aca="false">IF(H18="","",IF(IF(H18="","Add source ID",IF(SUMPRODUCT(--(SourceData[ID]=H18))&lt;&gt;1,"Unknown or duplicate source ID",IF(INDEX(SourceData[Input check],MATCH(H18,SourceData[ID],0))&lt;&gt;"","Complete source record","")))&lt;&gt;"","Check source",INDEX(SourceData[Source URL],MATCH(H18,SourceData[ID],0))))</f>
        <v/>
      </c>
      <c r="H18" s="23"/>
    </row>
    <row r="19" customFormat="false" ht="50" hidden="false" customHeight="true" outlineLevel="0" collapsed="false">
      <c r="A19" s="23"/>
      <c r="B19" s="23" t="s">
        <v>37</v>
      </c>
      <c r="C19" s="24"/>
      <c r="D19" s="23"/>
      <c r="E19" s="25" t="str">
        <f aca="false">IF(H19="","",IF(IF(H19="","Add source ID",IF(SUMPRODUCT(--(SourceData[ID]=H19))&lt;&gt;1,"Unknown or duplicate source ID",IF(INDEX(SourceData[Input check],MATCH(H19,SourceData[ID],0))&lt;&gt;"","Complete source record","")))&lt;&gt;"","Check source",HYPERLINK(INDEX(SourceData[Source URL],MATCH(H19,SourceData[ID],0)),H19)))</f>
        <v/>
      </c>
      <c r="F19" s="23"/>
      <c r="G19" s="26" t="str">
        <f aca="false">IF(H19="","",IF(IF(H19="","Add source ID",IF(SUMPRODUCT(--(SourceData[ID]=H19))&lt;&gt;1,"Unknown or duplicate source ID",IF(INDEX(SourceData[Input check],MATCH(H19,SourceData[ID],0))&lt;&gt;"","Complete source record","")))&lt;&gt;"","Check source",INDEX(SourceData[Source URL],MATCH(H19,SourceData[ID],0))))</f>
        <v/>
      </c>
      <c r="H19" s="23"/>
    </row>
    <row r="20" customFormat="false" ht="50" hidden="false" customHeight="true" outlineLevel="0" collapsed="false">
      <c r="A20" s="23"/>
      <c r="B20" s="23" t="s">
        <v>8</v>
      </c>
      <c r="C20" s="24"/>
      <c r="D20" s="23"/>
      <c r="E20" s="25" t="str">
        <f aca="false">IF(H20="","",IF(IF(H20="","Add source ID",IF(SUMPRODUCT(--(SourceData[ID]=H20))&lt;&gt;1,"Unknown or duplicate source ID",IF(INDEX(SourceData[Input check],MATCH(H20,SourceData[ID],0))&lt;&gt;"","Complete source record","")))&lt;&gt;"","Check source",HYPERLINK(INDEX(SourceData[Source URL],MATCH(H20,SourceData[ID],0)),H20)))</f>
        <v/>
      </c>
      <c r="F20" s="23"/>
      <c r="G20" s="26" t="str">
        <f aca="false">IF(H20="","",IF(IF(H20="","Add source ID",IF(SUMPRODUCT(--(SourceData[ID]=H20))&lt;&gt;1,"Unknown or duplicate source ID",IF(INDEX(SourceData[Input check],MATCH(H20,SourceData[ID],0))&lt;&gt;"","Complete source record","")))&lt;&gt;"","Check source",INDEX(SourceData[Source URL],MATCH(H20,SourceData[ID],0))))</f>
        <v/>
      </c>
      <c r="H20" s="23"/>
    </row>
    <row r="21" customFormat="false" ht="50" hidden="false" customHeight="true" outlineLevel="0" collapsed="false">
      <c r="A21" s="23"/>
      <c r="B21" s="23" t="s">
        <v>38</v>
      </c>
      <c r="C21" s="24"/>
      <c r="D21" s="23"/>
      <c r="E21" s="25" t="str">
        <f aca="false">IF(H21="","",IF(IF(H21="","Add source ID",IF(SUMPRODUCT(--(SourceData[ID]=H21))&lt;&gt;1,"Unknown or duplicate source ID",IF(INDEX(SourceData[Input check],MATCH(H21,SourceData[ID],0))&lt;&gt;"","Complete source record","")))&lt;&gt;"","Check source",HYPERLINK(INDEX(SourceData[Source URL],MATCH(H21,SourceData[ID],0)),H21)))</f>
        <v/>
      </c>
      <c r="F21" s="23"/>
      <c r="G21" s="26" t="str">
        <f aca="false">IF(H21="","",IF(IF(H21="","Add source ID",IF(SUMPRODUCT(--(SourceData[ID]=H21))&lt;&gt;1,"Unknown or duplicate source ID",IF(INDEX(SourceData[Input check],MATCH(H21,SourceData[ID],0))&lt;&gt;"","Complete source record","")))&lt;&gt;"","Check source",INDEX(SourceData[Source URL],MATCH(H21,SourceData[ID],0))))</f>
        <v/>
      </c>
      <c r="H21" s="23"/>
    </row>
    <row r="22" customFormat="false" ht="50" hidden="false" customHeight="true" outlineLevel="0" collapsed="false">
      <c r="A22" s="23"/>
      <c r="B22" s="23" t="s">
        <v>39</v>
      </c>
      <c r="C22" s="24"/>
      <c r="D22" s="23"/>
      <c r="E22" s="25" t="str">
        <f aca="false">IF(H22="","",IF(IF(H22="","Add source ID",IF(SUMPRODUCT(--(SourceData[ID]=H22))&lt;&gt;1,"Unknown or duplicate source ID",IF(INDEX(SourceData[Input check],MATCH(H22,SourceData[ID],0))&lt;&gt;"","Complete source record","")))&lt;&gt;"","Check source",HYPERLINK(INDEX(SourceData[Source URL],MATCH(H22,SourceData[ID],0)),H22)))</f>
        <v/>
      </c>
      <c r="F22" s="23"/>
      <c r="G22" s="26" t="str">
        <f aca="false">IF(H22="","",IF(IF(H22="","Add source ID",IF(SUMPRODUCT(--(SourceData[ID]=H22))&lt;&gt;1,"Unknown or duplicate source ID",IF(INDEX(SourceData[Input check],MATCH(H22,SourceData[ID],0))&lt;&gt;"","Complete source record","")))&lt;&gt;"","Check source",INDEX(SourceData[Source URL],MATCH(H22,SourceData[ID],0))))</f>
        <v/>
      </c>
      <c r="H22" s="23"/>
    </row>
    <row r="23" customFormat="false" ht="50" hidden="false" customHeight="true" outlineLevel="0" collapsed="false">
      <c r="A23" s="23"/>
      <c r="B23" s="23" t="s">
        <v>40</v>
      </c>
      <c r="C23" s="24"/>
      <c r="D23" s="23"/>
      <c r="E23" s="25" t="str">
        <f aca="false">IF(H23="","",IF(IF(H23="","Add source ID",IF(SUMPRODUCT(--(SourceData[ID]=H23))&lt;&gt;1,"Unknown or duplicate source ID",IF(INDEX(SourceData[Input check],MATCH(H23,SourceData[ID],0))&lt;&gt;"","Complete source record","")))&lt;&gt;"","Check source",HYPERLINK(INDEX(SourceData[Source URL],MATCH(H23,SourceData[ID],0)),H23)))</f>
        <v/>
      </c>
      <c r="F23" s="23"/>
      <c r="G23" s="26" t="str">
        <f aca="false">IF(H23="","",IF(IF(H23="","Add source ID",IF(SUMPRODUCT(--(SourceData[ID]=H23))&lt;&gt;1,"Unknown or duplicate source ID",IF(INDEX(SourceData[Input check],MATCH(H23,SourceData[ID],0))&lt;&gt;"","Complete source record","")))&lt;&gt;"","Check source",INDEX(SourceData[Source URL],MATCH(H23,SourceData[ID],0))))</f>
        <v/>
      </c>
      <c r="H23" s="23"/>
    </row>
    <row r="24" customFormat="false" ht="50" hidden="false" customHeight="true" outlineLevel="0" collapsed="false">
      <c r="A24" s="23"/>
      <c r="B24" s="23" t="s">
        <v>41</v>
      </c>
      <c r="C24" s="24"/>
      <c r="D24" s="23"/>
      <c r="E24" s="25" t="str">
        <f aca="false">IF(H24="","",IF(IF(H24="","Add source ID",IF(SUMPRODUCT(--(SourceData[ID]=H24))&lt;&gt;1,"Unknown or duplicate source ID",IF(INDEX(SourceData[Input check],MATCH(H24,SourceData[ID],0))&lt;&gt;"","Complete source record","")))&lt;&gt;"","Check source",HYPERLINK(INDEX(SourceData[Source URL],MATCH(H24,SourceData[ID],0)),H24)))</f>
        <v/>
      </c>
      <c r="F24" s="23"/>
      <c r="G24" s="26" t="str">
        <f aca="false">IF(H24="","",IF(IF(H24="","Add source ID",IF(SUMPRODUCT(--(SourceData[ID]=H24))&lt;&gt;1,"Unknown or duplicate source ID",IF(INDEX(SourceData[Input check],MATCH(H24,SourceData[ID],0))&lt;&gt;"","Complete source record","")))&lt;&gt;"","Check source",INDEX(SourceData[Source URL],MATCH(H24,SourceData[ID],0))))</f>
        <v/>
      </c>
      <c r="H24" s="23"/>
    </row>
    <row r="25" customFormat="false" ht="50" hidden="false" customHeight="true" outlineLevel="0" collapsed="false">
      <c r="A25" s="23"/>
      <c r="B25" s="23" t="s">
        <v>42</v>
      </c>
      <c r="C25" s="24"/>
      <c r="D25" s="23"/>
      <c r="E25" s="25" t="str">
        <f aca="false">IF(H25="","",IF(IF(H25="","Add source ID",IF(SUMPRODUCT(--(SourceData[ID]=H25))&lt;&gt;1,"Unknown or duplicate source ID",IF(INDEX(SourceData[Input check],MATCH(H25,SourceData[ID],0))&lt;&gt;"","Complete source record","")))&lt;&gt;"","Check source",HYPERLINK(INDEX(SourceData[Source URL],MATCH(H25,SourceData[ID],0)),H25)))</f>
        <v/>
      </c>
      <c r="F25" s="23"/>
      <c r="G25" s="26" t="str">
        <f aca="false">IF(H25="","",IF(IF(H25="","Add source ID",IF(SUMPRODUCT(--(SourceData[ID]=H25))&lt;&gt;1,"Unknown or duplicate source ID",IF(INDEX(SourceData[Input check],MATCH(H25,SourceData[ID],0))&lt;&gt;"","Complete source record","")))&lt;&gt;"","Check source",INDEX(SourceData[Source URL],MATCH(H25,SourceData[ID],0))))</f>
        <v/>
      </c>
      <c r="H25" s="23"/>
    </row>
    <row r="26" customFormat="false" ht="50" hidden="false" customHeight="true" outlineLevel="0" collapsed="false">
      <c r="A26" s="23"/>
      <c r="B26" s="23" t="s">
        <v>43</v>
      </c>
      <c r="C26" s="24"/>
      <c r="D26" s="23"/>
      <c r="E26" s="25" t="str">
        <f aca="false">IF(H26="","",IF(IF(H26="","Add source ID",IF(SUMPRODUCT(--(SourceData[ID]=H26))&lt;&gt;1,"Unknown or duplicate source ID",IF(INDEX(SourceData[Input check],MATCH(H26,SourceData[ID],0))&lt;&gt;"","Complete source record","")))&lt;&gt;"","Check source",HYPERLINK(INDEX(SourceData[Source URL],MATCH(H26,SourceData[ID],0)),H26)))</f>
        <v/>
      </c>
      <c r="F26" s="23"/>
      <c r="G26" s="26" t="str">
        <f aca="false">IF(H26="","",IF(IF(H26="","Add source ID",IF(SUMPRODUCT(--(SourceData[ID]=H26))&lt;&gt;1,"Unknown or duplicate source ID",IF(INDEX(SourceData[Input check],MATCH(H26,SourceData[ID],0))&lt;&gt;"","Complete source record","")))&lt;&gt;"","Check source",INDEX(SourceData[Source URL],MATCH(H26,SourceData[ID],0))))</f>
        <v/>
      </c>
      <c r="H26" s="23"/>
    </row>
    <row r="27" customFormat="false" ht="50" hidden="false" customHeight="true" outlineLevel="0" collapsed="false">
      <c r="A27" s="23"/>
      <c r="B27" s="23" t="s">
        <v>44</v>
      </c>
      <c r="C27" s="24"/>
      <c r="D27" s="23"/>
      <c r="E27" s="25" t="str">
        <f aca="false">IF(H27="","",IF(IF(H27="","Add source ID",IF(SUMPRODUCT(--(SourceData[ID]=H27))&lt;&gt;1,"Unknown or duplicate source ID",IF(INDEX(SourceData[Input check],MATCH(H27,SourceData[ID],0))&lt;&gt;"","Complete source record","")))&lt;&gt;"","Check source",HYPERLINK(INDEX(SourceData[Source URL],MATCH(H27,SourceData[ID],0)),H27)))</f>
        <v/>
      </c>
      <c r="F27" s="23"/>
      <c r="G27" s="26" t="str">
        <f aca="false">IF(H27="","",IF(IF(H27="","Add source ID",IF(SUMPRODUCT(--(SourceData[ID]=H27))&lt;&gt;1,"Unknown or duplicate source ID",IF(INDEX(SourceData[Input check],MATCH(H27,SourceData[ID],0))&lt;&gt;"","Complete source record","")))&lt;&gt;"","Check source",INDEX(SourceData[Source URL],MATCH(H27,SourceData[ID],0))))</f>
        <v/>
      </c>
      <c r="H27" s="23"/>
    </row>
    <row r="28" customFormat="false" ht="50" hidden="false" customHeight="true" outlineLevel="0" collapsed="false">
      <c r="A28" s="23"/>
      <c r="B28" s="23" t="s">
        <v>45</v>
      </c>
      <c r="C28" s="24"/>
      <c r="D28" s="23"/>
      <c r="E28" s="25" t="str">
        <f aca="false">IF(H28="","",IF(IF(H28="","Add source ID",IF(SUMPRODUCT(--(SourceData[ID]=H28))&lt;&gt;1,"Unknown or duplicate source ID",IF(INDEX(SourceData[Input check],MATCH(H28,SourceData[ID],0))&lt;&gt;"","Complete source record","")))&lt;&gt;"","Check source",HYPERLINK(INDEX(SourceData[Source URL],MATCH(H28,SourceData[ID],0)),H28)))</f>
        <v/>
      </c>
      <c r="F28" s="23"/>
      <c r="G28" s="26" t="str">
        <f aca="false">IF(H28="","",IF(IF(H28="","Add source ID",IF(SUMPRODUCT(--(SourceData[ID]=H28))&lt;&gt;1,"Unknown or duplicate source ID",IF(INDEX(SourceData[Input check],MATCH(H28,SourceData[ID],0))&lt;&gt;"","Complete source record","")))&lt;&gt;"","Check source",INDEX(SourceData[Source URL],MATCH(H28,SourceData[ID],0))))</f>
        <v/>
      </c>
      <c r="H28" s="23"/>
    </row>
  </sheetData>
  <mergeCells count="8">
    <mergeCell ref="A2:F2"/>
    <mergeCell ref="B4:F4"/>
    <mergeCell ref="B5:F5"/>
    <mergeCell ref="B6:F6"/>
    <mergeCell ref="B8:F8"/>
    <mergeCell ref="B9:F10"/>
    <mergeCell ref="A12:B12"/>
    <mergeCell ref="A13:F13"/>
  </mergeCells>
  <conditionalFormatting sqref="D15:D28">
    <cfRule type="containsText" priority="2" operator="containsText" aboveAverage="0" equalAverage="0" bottom="0" percent="0" rank="0" text="Unknown" dxfId="6">
      <formula>NOT(ISERROR(SEARCH("Unknown",D15)))</formula>
    </cfRule>
  </conditionalFormatting>
  <conditionalFormatting sqref="E15:E28">
    <cfRule type="containsText" priority="3" operator="containsText" aboveAverage="0" equalAverage="0" bottom="0" percent="0" rank="0" text="Check source" dxfId="7">
      <formula>NOT(ISERROR(SEARCH("Check source",E15)))</formula>
    </cfRule>
  </conditionalFormatting>
  <dataValidations count="1">
    <dataValidation allowBlank="false" errorStyle="stop" operator="between" showDropDown="false" showErrorMessage="false" showInputMessage="false" sqref="D15:D28" type="list">
      <formula1>"Fact,Inference,Unknown"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0"/>
  <headerFooter>
    <oddHeader>&amp;L&amp;"Arial,Bold"&amp;11System Profile</oddHeader>
    <oddFooter>&amp;LSystem Profile&amp;RPage &amp;P of &amp;N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S15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5"/>
    <col customWidth="true" max="2" min="2" style="0" width="20.56"/>
    <col customWidth="true" max="3" min="3" style="0" width="20.56"/>
    <col customWidth="true" max="4" min="4" style="0" width="16.11"/>
    <col customWidth="true" max="5" min="5" style="0" width="20.56"/>
    <col customWidth="true" max="6" min="6" style="0" width="13.34"/>
    <col customWidth="true" max="7" min="7" style="0" width="16.67"/>
    <col customWidth="true" max="8" min="8" style="0" width="12.44"/>
    <col customWidth="true" max="9" min="9" style="0" width="12.44" hidden="1" outlineLevel="1"/>
    <col customWidth="true" max="10" min="10" style="0" width="12.44" hidden="1" outlineLevel="1"/>
    <col customWidth="true" max="11" min="11" style="0" width="22.22" hidden="1" outlineLevel="1"/>
    <col customWidth="true" max="12" min="12" style="0" width="31.11" hidden="1" outlineLevel="1"/>
    <col customWidth="true" max="13" min="13" style="0" width="30" hidden="1" outlineLevel="1"/>
    <col customWidth="true" max="14" min="14" style="0" width="44.44" hidden="1" outlineLevel="1"/>
    <col customWidth="true" max="15" min="15" style="0" width="44.44" hidden="1" outlineLevel="1"/>
    <col customWidth="true" max="16" min="16" style="0" width="44.44" hidden="1" outlineLevel="1"/>
    <col customWidth="true" max="17" min="17" style="0" width="25.56" hidden="1" outlineLevel="1"/>
    <col customWidth="true" max="18" min="18" style="0" width="25.56" hidden="1" outlineLevel="1"/>
    <col customWidth="true" max="19" min="19" style="0" width="25.56" hidden="1" outlineLevel="1"/>
  </cols>
  <sheetData>
    <row r="1" customFormat="false" ht="10" hidden="false" customHeight="true" outlineLevel="0" collapsed="false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customFormat="false" ht="33" hidden="false" customHeight="true" outlineLevel="0" collapsed="false">
      <c r="A2" s="15" t="s">
        <v>46</v>
      </c>
      <c r="B2" s="15"/>
      <c r="C2" s="15"/>
      <c r="D2" s="15"/>
      <c r="E2" s="15"/>
      <c r="F2" s="15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customFormat="false" ht="24" hidden="false" customHeight="true" outlineLevel="0" collapsed="false">
      <c r="A3" s="16"/>
      <c r="B3" s="16"/>
      <c r="C3" s="16"/>
      <c r="D3" s="16"/>
      <c r="E3" s="16"/>
      <c r="F3" s="16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customFormat="false" ht="24" hidden="false" customHeight="true" outlineLevel="0" collapsed="false">
      <c r="A4" s="18" t="s">
        <v>47</v>
      </c>
      <c r="B4" s="18"/>
      <c r="C4" s="18"/>
      <c r="D4" s="18"/>
      <c r="E4" s="18"/>
      <c r="F4" s="18"/>
      <c r="G4" s="18"/>
      <c r="H4" s="18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customFormat="false" ht="24" hidden="false" customHeight="true" outlineLevel="0" collapsed="false">
      <c r="A5" s="21" t="s">
        <v>48</v>
      </c>
      <c r="B5" s="21"/>
      <c r="C5" s="21"/>
      <c r="D5" s="21"/>
      <c r="E5" s="21"/>
      <c r="F5" s="21"/>
      <c r="G5" s="21"/>
      <c r="H5" s="21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</row>
    <row r="6" customFormat="false" ht="24" hidden="false" customHeight="true" outlineLevel="0" collapsed="false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 customFormat="false" ht="36" hidden="false" customHeight="true" outlineLevel="0" collapsed="false">
      <c r="A7" s="22" t="s">
        <v>25</v>
      </c>
      <c r="B7" s="22" t="s">
        <v>49</v>
      </c>
      <c r="C7" s="22" t="s">
        <v>50</v>
      </c>
      <c r="D7" s="22" t="s">
        <v>51</v>
      </c>
      <c r="E7" s="22" t="s">
        <v>21</v>
      </c>
      <c r="F7" s="22" t="s">
        <v>52</v>
      </c>
      <c r="G7" s="22" t="s">
        <v>53</v>
      </c>
      <c r="H7" s="22" t="s">
        <v>54</v>
      </c>
      <c r="I7" s="22" t="s">
        <v>55</v>
      </c>
      <c r="J7" s="22" t="s">
        <v>56</v>
      </c>
      <c r="K7" s="22" t="s">
        <v>57</v>
      </c>
      <c r="L7" s="22" t="s">
        <v>58</v>
      </c>
      <c r="M7" s="22" t="s">
        <v>59</v>
      </c>
      <c r="N7" s="22" t="s">
        <v>60</v>
      </c>
      <c r="O7" s="22" t="s">
        <v>61</v>
      </c>
      <c r="P7" s="22" t="s">
        <v>62</v>
      </c>
      <c r="Q7" s="22" t="s">
        <v>63</v>
      </c>
      <c r="R7" s="22" t="s">
        <v>64</v>
      </c>
      <c r="S7" s="22" t="s">
        <v>65</v>
      </c>
    </row>
    <row r="8" customFormat="false" ht="46" hidden="false" customHeight="true" outlineLevel="0" collapsed="false">
      <c r="A8" s="23"/>
      <c r="B8" s="25" t="str">
        <f aca="false">IF(R8="","",IF(N8="",R8,HYPERLINK(N8,R8)))</f>
        <v/>
      </c>
      <c r="C8" s="25" t="str">
        <f aca="false">IF(S8="","",IF(O8="",S8,HYPERLINK(O8,S8)))</f>
        <v/>
      </c>
      <c r="D8" s="27"/>
      <c r="E8" s="23"/>
      <c r="F8" s="11"/>
      <c r="G8" s="28"/>
      <c r="H8" s="29"/>
      <c r="I8" s="29"/>
      <c r="J8" s="29"/>
      <c r="K8" s="23"/>
      <c r="L8" s="23"/>
      <c r="M8" s="23"/>
      <c r="N8" s="23"/>
      <c r="O8" s="23"/>
      <c r="P8" s="23"/>
      <c r="Q8" s="30" t="str">
        <f aca="false">IF(A8="",IF(SUMPRODUCT(--(B8:P8&lt;&gt;""))&gt;0,"Add contract ID",""),IF(COUNTIF(ContractData[ID],A8)&lt;&gt;1,"Duplicate contract ID",IF(OR(R8="",S8="",M8=""),"Add award and vendor identity",IF(COUNTIF(ContractData[Record ID],M8)&lt;&gt;1,"Duplicate award record",IF(NOT(ISNUMBER(G8)),"Add numeric obligations",IF(AND(F8&lt;&gt;"In scope",F8&lt;&gt;"Needs review",F8&lt;&gt;"Out of scope"),"Choose relevance",""))))))</f>
        <v/>
      </c>
      <c r="R8" s="23"/>
      <c r="S8" s="23"/>
    </row>
    <row r="9" customFormat="false" ht="46" hidden="false" customHeight="true" outlineLevel="0" collapsed="false">
      <c r="A9" s="23"/>
      <c r="B9" s="25" t="str">
        <f aca="false">IF(R9="","",IF(N9="",R9,HYPERLINK(N9,R9)))</f>
        <v/>
      </c>
      <c r="C9" s="25" t="str">
        <f aca="false">IF(S9="","",IF(O9="",S9,HYPERLINK(O9,S9)))</f>
        <v/>
      </c>
      <c r="D9" s="27"/>
      <c r="E9" s="23"/>
      <c r="F9" s="11"/>
      <c r="G9" s="28"/>
      <c r="H9" s="29"/>
      <c r="I9" s="29"/>
      <c r="J9" s="29"/>
      <c r="K9" s="23"/>
      <c r="L9" s="23"/>
      <c r="M9" s="23"/>
      <c r="N9" s="23"/>
      <c r="O9" s="23"/>
      <c r="P9" s="23"/>
      <c r="Q9" s="30" t="str">
        <f aca="false">IF(A9="",IF(SUMPRODUCT(--(B9:P9&lt;&gt;""))&gt;0,"Add contract ID",""),IF(COUNTIF(ContractData[ID],A9)&lt;&gt;1,"Duplicate contract ID",IF(OR(R9="",S9="",M9=""),"Add award and vendor identity",IF(COUNTIF(ContractData[Record ID],M9)&lt;&gt;1,"Duplicate award record",IF(NOT(ISNUMBER(G9)),"Add numeric obligations",IF(AND(F9&lt;&gt;"In scope",F9&lt;&gt;"Needs review",F9&lt;&gt;"Out of scope"),"Choose relevance",""))))))</f>
        <v/>
      </c>
      <c r="R9" s="23"/>
      <c r="S9" s="23"/>
    </row>
    <row r="10" customFormat="false" ht="46" hidden="false" customHeight="true" outlineLevel="0" collapsed="false">
      <c r="A10" s="23"/>
      <c r="B10" s="25" t="str">
        <f aca="false">IF(R10="","",IF(N10="",R10,HYPERLINK(N10,R10)))</f>
        <v/>
      </c>
      <c r="C10" s="25" t="str">
        <f aca="false">IF(S10="","",IF(O10="",S10,HYPERLINK(O10,S10)))</f>
        <v/>
      </c>
      <c r="D10" s="27"/>
      <c r="E10" s="23"/>
      <c r="F10" s="11"/>
      <c r="G10" s="28"/>
      <c r="H10" s="29"/>
      <c r="I10" s="29"/>
      <c r="J10" s="29"/>
      <c r="K10" s="23"/>
      <c r="L10" s="23"/>
      <c r="M10" s="23"/>
      <c r="N10" s="23"/>
      <c r="O10" s="23"/>
      <c r="P10" s="23"/>
      <c r="Q10" s="30" t="str">
        <f aca="false">IF(A10="",IF(SUMPRODUCT(--(B10:P10&lt;&gt;""))&gt;0,"Add contract ID",""),IF(COUNTIF(ContractData[ID],A10)&lt;&gt;1,"Duplicate contract ID",IF(OR(R10="",S10="",M10=""),"Add award and vendor identity",IF(COUNTIF(ContractData[Record ID],M10)&lt;&gt;1,"Duplicate award record",IF(NOT(ISNUMBER(G10)),"Add numeric obligations",IF(AND(F10&lt;&gt;"In scope",F10&lt;&gt;"Needs review",F10&lt;&gt;"Out of scope"),"Choose relevance",""))))))</f>
        <v/>
      </c>
      <c r="R10" s="23"/>
      <c r="S10" s="23"/>
    </row>
    <row r="11" customFormat="false" ht="46" hidden="false" customHeight="true" outlineLevel="0" collapsed="false">
      <c r="A11" s="23"/>
      <c r="B11" s="25" t="str">
        <f aca="false">IF(R11="","",IF(N11="",R11,HYPERLINK(N11,R11)))</f>
        <v/>
      </c>
      <c r="C11" s="25" t="str">
        <f aca="false">IF(S11="","",IF(O11="",S11,HYPERLINK(O11,S11)))</f>
        <v/>
      </c>
      <c r="D11" s="27"/>
      <c r="E11" s="23"/>
      <c r="F11" s="11"/>
      <c r="G11" s="28"/>
      <c r="H11" s="29"/>
      <c r="I11" s="29"/>
      <c r="J11" s="29"/>
      <c r="K11" s="23"/>
      <c r="L11" s="23"/>
      <c r="M11" s="23"/>
      <c r="N11" s="23"/>
      <c r="O11" s="23"/>
      <c r="P11" s="23"/>
      <c r="Q11" s="30" t="str">
        <f aca="false">IF(A11="",IF(SUMPRODUCT(--(B11:P11&lt;&gt;""))&gt;0,"Add contract ID",""),IF(COUNTIF(ContractData[ID],A11)&lt;&gt;1,"Duplicate contract ID",IF(OR(R11="",S11="",M11=""),"Add award and vendor identity",IF(COUNTIF(ContractData[Record ID],M11)&lt;&gt;1,"Duplicate award record",IF(NOT(ISNUMBER(G11)),"Add numeric obligations",IF(AND(F11&lt;&gt;"In scope",F11&lt;&gt;"Needs review",F11&lt;&gt;"Out of scope"),"Choose relevance",""))))))</f>
        <v/>
      </c>
      <c r="R11" s="23"/>
      <c r="S11" s="23"/>
    </row>
    <row r="12" customFormat="false" ht="46" hidden="false" customHeight="true" outlineLevel="0" collapsed="false">
      <c r="A12" s="23"/>
      <c r="B12" s="25" t="str">
        <f aca="false">IF(R12="","",IF(N12="",R12,HYPERLINK(N12,R12)))</f>
        <v/>
      </c>
      <c r="C12" s="25" t="str">
        <f aca="false">IF(S12="","",IF(O12="",S12,HYPERLINK(O12,S12)))</f>
        <v/>
      </c>
      <c r="D12" s="27"/>
      <c r="E12" s="23"/>
      <c r="F12" s="11"/>
      <c r="G12" s="28"/>
      <c r="H12" s="29"/>
      <c r="I12" s="29"/>
      <c r="J12" s="29"/>
      <c r="K12" s="23"/>
      <c r="L12" s="23"/>
      <c r="M12" s="23"/>
      <c r="N12" s="23"/>
      <c r="O12" s="23"/>
      <c r="P12" s="23"/>
      <c r="Q12" s="30" t="str">
        <f aca="false">IF(A12="",IF(SUMPRODUCT(--(B12:P12&lt;&gt;""))&gt;0,"Add contract ID",""),IF(COUNTIF(ContractData[ID],A12)&lt;&gt;1,"Duplicate contract ID",IF(OR(R12="",S12="",M12=""),"Add award and vendor identity",IF(COUNTIF(ContractData[Record ID],M12)&lt;&gt;1,"Duplicate award record",IF(NOT(ISNUMBER(G12)),"Add numeric obligations",IF(AND(F12&lt;&gt;"In scope",F12&lt;&gt;"Needs review",F12&lt;&gt;"Out of scope"),"Choose relevance",""))))))</f>
        <v/>
      </c>
      <c r="R12" s="23"/>
      <c r="S12" s="23"/>
    </row>
    <row r="13" customFormat="false" ht="46" hidden="false" customHeight="true" outlineLevel="0" collapsed="false">
      <c r="A13" s="23"/>
      <c r="B13" s="25" t="str">
        <f aca="false">IF(R13="","",IF(N13="",R13,HYPERLINK(N13,R13)))</f>
        <v/>
      </c>
      <c r="C13" s="25" t="str">
        <f aca="false">IF(S13="","",IF(O13="",S13,HYPERLINK(O13,S13)))</f>
        <v/>
      </c>
      <c r="D13" s="27"/>
      <c r="E13" s="23"/>
      <c r="F13" s="11"/>
      <c r="G13" s="28"/>
      <c r="H13" s="29"/>
      <c r="I13" s="29"/>
      <c r="J13" s="29"/>
      <c r="K13" s="23"/>
      <c r="L13" s="23"/>
      <c r="M13" s="23"/>
      <c r="N13" s="23"/>
      <c r="O13" s="23"/>
      <c r="P13" s="23"/>
      <c r="Q13" s="30" t="str">
        <f aca="false">IF(A13="",IF(SUMPRODUCT(--(B13:P13&lt;&gt;""))&gt;0,"Add contract ID",""),IF(COUNTIF(ContractData[ID],A13)&lt;&gt;1,"Duplicate contract ID",IF(OR(R13="",S13="",M13=""),"Add award and vendor identity",IF(COUNTIF(ContractData[Record ID],M13)&lt;&gt;1,"Duplicate award record",IF(NOT(ISNUMBER(G13)),"Add numeric obligations",IF(AND(F13&lt;&gt;"In scope",F13&lt;&gt;"Needs review",F13&lt;&gt;"Out of scope"),"Choose relevance",""))))))</f>
        <v/>
      </c>
      <c r="R13" s="23"/>
      <c r="S13" s="23"/>
    </row>
    <row r="14" customFormat="false" ht="46" hidden="false" customHeight="true" outlineLevel="0" collapsed="false">
      <c r="A14" s="23"/>
      <c r="B14" s="25" t="str">
        <f aca="false">IF(R14="","",IF(N14="",R14,HYPERLINK(N14,R14)))</f>
        <v/>
      </c>
      <c r="C14" s="25" t="str">
        <f aca="false">IF(S14="","",IF(O14="",S14,HYPERLINK(O14,S14)))</f>
        <v/>
      </c>
      <c r="D14" s="27"/>
      <c r="E14" s="23"/>
      <c r="F14" s="11"/>
      <c r="G14" s="28"/>
      <c r="H14" s="29"/>
      <c r="I14" s="29"/>
      <c r="J14" s="29"/>
      <c r="K14" s="23"/>
      <c r="L14" s="23"/>
      <c r="M14" s="23"/>
      <c r="N14" s="23"/>
      <c r="O14" s="23"/>
      <c r="P14" s="23"/>
      <c r="Q14" s="30" t="str">
        <f aca="false">IF(A14="",IF(SUMPRODUCT(--(B14:P14&lt;&gt;""))&gt;0,"Add contract ID",""),IF(COUNTIF(ContractData[ID],A14)&lt;&gt;1,"Duplicate contract ID",IF(OR(R14="",S14="",M14=""),"Add award and vendor identity",IF(COUNTIF(ContractData[Record ID],M14)&lt;&gt;1,"Duplicate award record",IF(NOT(ISNUMBER(G14)),"Add numeric obligations",IF(AND(F14&lt;&gt;"In scope",F14&lt;&gt;"Needs review",F14&lt;&gt;"Out of scope"),"Choose relevance",""))))))</f>
        <v/>
      </c>
      <c r="R14" s="23"/>
      <c r="S14" s="23"/>
    </row>
    <row r="15" customFormat="false" ht="46" hidden="false" customHeight="true" outlineLevel="0" collapsed="false">
      <c r="A15" s="23"/>
      <c r="B15" s="25" t="str">
        <f aca="false">IF(R15="","",IF(N15="",R15,HYPERLINK(N15,R15)))</f>
        <v/>
      </c>
      <c r="C15" s="25" t="str">
        <f aca="false">IF(S15="","",IF(O15="",S15,HYPERLINK(O15,S15)))</f>
        <v/>
      </c>
      <c r="D15" s="27"/>
      <c r="E15" s="23"/>
      <c r="F15" s="11"/>
      <c r="G15" s="28"/>
      <c r="H15" s="29"/>
      <c r="I15" s="29"/>
      <c r="J15" s="29"/>
      <c r="K15" s="23"/>
      <c r="L15" s="23"/>
      <c r="M15" s="23"/>
      <c r="N15" s="23"/>
      <c r="O15" s="23"/>
      <c r="P15" s="23"/>
      <c r="Q15" s="30" t="str">
        <f aca="false">IF(A15="",IF(SUMPRODUCT(--(B15:P15&lt;&gt;""))&gt;0,"Add contract ID",""),IF(COUNTIF(ContractData[ID],A15)&lt;&gt;1,"Duplicate contract ID",IF(OR(R15="",S15="",M15=""),"Add award and vendor identity",IF(COUNTIF(ContractData[Record ID],M15)&lt;&gt;1,"Duplicate award record",IF(NOT(ISNUMBER(G15)),"Add numeric obligations",IF(AND(F15&lt;&gt;"In scope",F15&lt;&gt;"Needs review",F15&lt;&gt;"Out of scope"),"Choose relevance",""))))))</f>
        <v/>
      </c>
      <c r="R15" s="23"/>
      <c r="S15" s="23"/>
    </row>
  </sheetData>
  <mergeCells count="3">
    <mergeCell ref="A2:F2"/>
    <mergeCell ref="A4:H4"/>
    <mergeCell ref="A5:H5"/>
  </mergeCells>
  <conditionalFormatting sqref="Q8:Q15">
    <cfRule type="expression" priority="2" aboveAverage="0" equalAverage="0" bottom="0" percent="0" rank="0" text="" dxfId="10">
      <formula>LEN(Q8)&gt;0</formula>
    </cfRule>
  </conditionalFormatting>
  <conditionalFormatting sqref="F8:F15">
    <cfRule type="containsText" priority="3" operator="containsText" aboveAverage="0" equalAverage="0" bottom="0" percent="0" rank="0" text="Needs review" dxfId="11">
      <formula>NOT(ISERROR(SEARCH("Needs review",F8)))</formula>
    </cfRule>
  </conditionalFormatting>
  <dataValidations count="1">
    <dataValidation allowBlank="false" errorStyle="stop" operator="between" showDropDown="false" showErrorMessage="false" showInputMessage="false" sqref="F8:F15" type="list">
      <formula1>"In scope,Needs review,Out of scope"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1"/>
  <headerFooter>
    <oddHeader>&amp;L&amp;"Arial,Bold"&amp;11Contracts</oddHeader>
    <oddFooter>&amp;LContracts&amp;RPage &amp;P of &amp;N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N34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24.44"/>
    <col customWidth="true" max="2" min="2" style="0" width="13.89"/>
    <col customWidth="true" max="3" min="3" style="0" width="13.34"/>
    <col customWidth="true" max="4" min="4" style="0" width="13.34"/>
    <col customWidth="true" max="5" min="5" style="0" width="13.34"/>
    <col customWidth="true" max="6" min="6" style="0" width="18.89"/>
    <col customWidth="true" max="7" min="7" style="0" width="6.11" hidden="1" outlineLevel="1"/>
    <col customWidth="true" max="8" min="8" style="0" width="11.67" hidden="1" outlineLevel="1"/>
    <col customWidth="true" max="9" min="9" style="0" width="12.78" hidden="1" outlineLevel="1"/>
    <col customWidth="true" max="10" min="10" style="0" width="12.78" hidden="1" outlineLevel="1"/>
    <col customWidth="true" max="11" min="11" style="0" width="12.78" hidden="1" outlineLevel="1"/>
    <col customWidth="true" max="12" min="12" style="0" width="25.56" hidden="1" outlineLevel="1"/>
    <col customWidth="true" max="13" min="13" style="0" width="11.67" hidden="1" outlineLevel="1"/>
    <col customWidth="true" max="14" min="14" style="0" width="22.22" hidden="1" outlineLevel="1"/>
  </cols>
  <sheetData>
    <row r="1" customFormat="false" ht="10" hidden="false" customHeight="true" outlineLevel="0" collapsed="false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customFormat="false" ht="33" hidden="false" customHeight="true" outlineLevel="0" collapsed="false">
      <c r="A2" s="15" t="s">
        <v>66</v>
      </c>
      <c r="B2" s="15"/>
      <c r="C2" s="15"/>
      <c r="D2" s="15"/>
      <c r="E2" s="15"/>
      <c r="F2" s="15"/>
      <c r="G2" s="14"/>
      <c r="H2" s="14"/>
      <c r="I2" s="14"/>
      <c r="J2" s="14"/>
      <c r="K2" s="14"/>
      <c r="L2" s="14"/>
      <c r="M2" s="14"/>
      <c r="N2" s="14"/>
    </row>
    <row r="3" customFormat="false" ht="24" hidden="false" customHeight="true" outlineLevel="0" collapsed="false">
      <c r="A3" s="16"/>
      <c r="B3" s="16"/>
      <c r="C3" s="16"/>
      <c r="D3" s="16"/>
      <c r="E3" s="16"/>
      <c r="F3" s="16"/>
      <c r="G3" s="14"/>
      <c r="H3" s="14"/>
      <c r="I3" s="14"/>
      <c r="J3" s="14"/>
      <c r="K3" s="14"/>
      <c r="L3" s="14"/>
      <c r="M3" s="14"/>
      <c r="N3" s="14"/>
    </row>
    <row r="4" customFormat="false" ht="24" hidden="false" customHeight="true" outlineLevel="0" collapsed="false">
      <c r="A4" s="18" t="s">
        <v>67</v>
      </c>
      <c r="B4" s="18"/>
      <c r="C4" s="18"/>
      <c r="D4" s="18"/>
      <c r="E4" s="18"/>
      <c r="F4" s="18"/>
      <c r="G4" s="14"/>
      <c r="H4" s="14"/>
      <c r="I4" s="14"/>
      <c r="J4" s="14"/>
      <c r="K4" s="14"/>
      <c r="L4" s="14"/>
      <c r="M4" s="14"/>
      <c r="N4" s="14"/>
    </row>
    <row r="5" customFormat="false" ht="24" hidden="false" customHeight="true" outlineLevel="0" collapsed="false">
      <c r="A5" s="31" t="s">
        <v>68</v>
      </c>
      <c r="B5" s="31"/>
      <c r="C5" s="32"/>
      <c r="D5" s="32"/>
      <c r="E5" s="32"/>
      <c r="F5" s="14"/>
      <c r="G5" s="14"/>
      <c r="H5" s="14"/>
      <c r="I5" s="14"/>
      <c r="J5" s="14"/>
      <c r="K5" s="14"/>
      <c r="L5" s="14"/>
      <c r="M5" s="14"/>
      <c r="N5" s="14"/>
    </row>
    <row r="6" customFormat="false" ht="24" hidden="false" customHeight="true" outlineLevel="0" collapsed="false">
      <c r="A6" s="18" t="s">
        <v>69</v>
      </c>
      <c r="B6" s="18"/>
      <c r="C6" s="11"/>
      <c r="D6" s="11"/>
      <c r="E6" s="11"/>
      <c r="F6" s="14"/>
      <c r="G6" s="14"/>
      <c r="H6" s="14"/>
      <c r="I6" s="14"/>
      <c r="J6" s="14"/>
      <c r="K6" s="14"/>
      <c r="L6" s="14"/>
      <c r="M6" s="14"/>
      <c r="N6" s="14"/>
    </row>
    <row r="7" customFormat="false" ht="24" hidden="false" customHeight="true" outlineLevel="0" collapsed="false">
      <c r="A7" s="21" t="s">
        <v>70</v>
      </c>
      <c r="B7" s="21"/>
      <c r="C7" s="21"/>
      <c r="D7" s="21"/>
      <c r="E7" s="21"/>
      <c r="F7" s="21"/>
      <c r="G7" s="14"/>
      <c r="H7" s="14"/>
      <c r="I7" s="14"/>
      <c r="J7" s="14"/>
      <c r="K7" s="14"/>
      <c r="L7" s="14"/>
      <c r="M7" s="14"/>
      <c r="N7" s="14"/>
    </row>
    <row r="8" customFormat="false" ht="36" hidden="false" customHeight="true" outlineLevel="0" collapsed="false">
      <c r="A8" s="22" t="s">
        <v>71</v>
      </c>
      <c r="B8" s="22" t="s">
        <v>72</v>
      </c>
      <c r="C8" s="22" t="s">
        <v>73</v>
      </c>
      <c r="D8" s="22" t="s">
        <v>74</v>
      </c>
      <c r="E8" s="22" t="s">
        <v>75</v>
      </c>
      <c r="F8" s="22" t="s">
        <v>76</v>
      </c>
      <c r="G8" s="22" t="s">
        <v>25</v>
      </c>
      <c r="H8" s="22" t="s">
        <v>77</v>
      </c>
      <c r="I8" s="22" t="s">
        <v>78</v>
      </c>
      <c r="J8" s="22" t="s">
        <v>79</v>
      </c>
      <c r="K8" s="22" t="s">
        <v>80</v>
      </c>
      <c r="L8" s="22" t="s">
        <v>63</v>
      </c>
      <c r="M8" s="22" t="s">
        <v>32</v>
      </c>
      <c r="N8" s="22" t="s">
        <v>30</v>
      </c>
    </row>
    <row r="9" customFormat="false" ht="45" hidden="false" customHeight="true" outlineLevel="0" collapsed="false">
      <c r="A9" s="23"/>
      <c r="B9" s="23"/>
      <c r="C9" s="33"/>
      <c r="D9" s="33"/>
      <c r="E9" s="33"/>
      <c r="F9" s="25" t="str">
        <f aca="false">IF(M9="","",IF(IF(M9="","Add source ID",IF(SUMPRODUCT(--(SourceData[ID]=M9))&lt;&gt;1,"Unknown or duplicate source ID",IF(INDEX(SourceData[Input check],MATCH(M9,SourceData[ID],0))&lt;&gt;"","Complete source record","")))&lt;&gt;"","Check source",HYPERLINK(INDEX(SourceData[Source URL],MATCH(M9,SourceData[ID],0)),M9&amp;IF(N9="",""," "&amp;N9))))</f>
        <v/>
      </c>
      <c r="G9" s="23"/>
      <c r="H9" s="26" t="str">
        <f aca="false">IF(A9="","",IF(B9="USD",0.000001,IF(B9="USD thousands",0.001,IF(B9="USD millions",1,"Check units"))))</f>
        <v/>
      </c>
      <c r="I9" s="26" t="str">
        <f aca="false">IF(A9="","",IF(OR(C9="",NOT(ISNUMBER(C9)),NOT(ISNUMBER(H9))),"",C9*H9))</f>
        <v/>
      </c>
      <c r="J9" s="26" t="str">
        <f aca="false">IF(A9="","",IF(OR(D9="",NOT(ISNUMBER(D9)),NOT(ISNUMBER(H9))),"",D9*H9))</f>
        <v/>
      </c>
      <c r="K9" s="26" t="str">
        <f aca="false">IF(A9="","",IF(OR(E9="",NOT(ISNUMBER(E9)),NOT(ISNUMBER(H9))),"",E9*H9))</f>
        <v/>
      </c>
      <c r="L9" s="30" t="str">
        <f aca="false">IF(A9="",IF(SUMPRODUCT(--(B9:G9&lt;&gt;""))+COUNTA(M9:N9)&gt;0,"Add funding line",""),IF(OR(G9="",COUNTIF(FundingData[ID],G9)&lt;&gt;1),"Missing or duplicate ID",IF(NOT(ISNUMBER(H9)),"Choose source units",IF(COUNT(C9:E9)&lt;&gt;3,"Add all period amounts",IF(MIN(C9:E9)&lt;0,"Check negative amount",IF(M9="","Add source ID",IF(SUMPRODUCT(--(SourceData[ID]=M9))&lt;&gt;1,"Unknown or duplicate source ID",IF(INDEX(SourceData[Input check],MATCH(M9,SourceData[ID],0))&lt;&gt;"","Complete source record",""))))))))</f>
        <v/>
      </c>
      <c r="M9" s="23"/>
      <c r="N9" s="23"/>
    </row>
    <row r="10" customFormat="false" ht="45" hidden="false" customHeight="true" outlineLevel="0" collapsed="false">
      <c r="A10" s="23"/>
      <c r="B10" s="23"/>
      <c r="C10" s="33"/>
      <c r="D10" s="33"/>
      <c r="E10" s="33"/>
      <c r="F10" s="25" t="str">
        <f aca="false">IF(M10="","",IF(IF(M10="","Add source ID",IF(SUMPRODUCT(--(SourceData[ID]=M10))&lt;&gt;1,"Unknown or duplicate source ID",IF(INDEX(SourceData[Input check],MATCH(M10,SourceData[ID],0))&lt;&gt;"","Complete source record","")))&lt;&gt;"","Check source",HYPERLINK(INDEX(SourceData[Source URL],MATCH(M10,SourceData[ID],0)),M10&amp;IF(N10="",""," "&amp;N10))))</f>
        <v/>
      </c>
      <c r="G10" s="23"/>
      <c r="H10" s="26" t="str">
        <f aca="false">IF(A10="","",IF(B10="USD",0.000001,IF(B10="USD thousands",0.001,IF(B10="USD millions",1,"Check units"))))</f>
        <v/>
      </c>
      <c r="I10" s="26" t="str">
        <f aca="false">IF(A10="","",IF(OR(C10="",NOT(ISNUMBER(C10)),NOT(ISNUMBER(H10))),"",C10*H10))</f>
        <v/>
      </c>
      <c r="J10" s="26" t="str">
        <f aca="false">IF(A10="","",IF(OR(D10="",NOT(ISNUMBER(D10)),NOT(ISNUMBER(H10))),"",D10*H10))</f>
        <v/>
      </c>
      <c r="K10" s="26" t="str">
        <f aca="false">IF(A10="","",IF(OR(E10="",NOT(ISNUMBER(E10)),NOT(ISNUMBER(H10))),"",E10*H10))</f>
        <v/>
      </c>
      <c r="L10" s="30" t="str">
        <f aca="false">IF(A10="",IF(SUMPRODUCT(--(B10:G10&lt;&gt;""))+COUNTA(M10:N10)&gt;0,"Add funding line",""),IF(OR(G10="",COUNTIF(FundingData[ID],G10)&lt;&gt;1),"Missing or duplicate ID",IF(NOT(ISNUMBER(H10)),"Choose source units",IF(COUNT(C10:E10)&lt;&gt;3,"Add all period amounts",IF(MIN(C10:E10)&lt;0,"Check negative amount",IF(M10="","Add source ID",IF(SUMPRODUCT(--(SourceData[ID]=M10))&lt;&gt;1,"Unknown or duplicate source ID",IF(INDEX(SourceData[Input check],MATCH(M10,SourceData[ID],0))&lt;&gt;"","Complete source record",""))))))))</f>
        <v/>
      </c>
      <c r="M10" s="23"/>
      <c r="N10" s="23"/>
    </row>
    <row r="11" customFormat="false" ht="45" hidden="false" customHeight="true" outlineLevel="0" collapsed="false">
      <c r="A11" s="23"/>
      <c r="B11" s="23"/>
      <c r="C11" s="33"/>
      <c r="D11" s="33"/>
      <c r="E11" s="33"/>
      <c r="F11" s="25" t="str">
        <f aca="false">IF(M11="","",IF(IF(M11="","Add source ID",IF(SUMPRODUCT(--(SourceData[ID]=M11))&lt;&gt;1,"Unknown or duplicate source ID",IF(INDEX(SourceData[Input check],MATCH(M11,SourceData[ID],0))&lt;&gt;"","Complete source record","")))&lt;&gt;"","Check source",HYPERLINK(INDEX(SourceData[Source URL],MATCH(M11,SourceData[ID],0)),M11&amp;IF(N11="",""," "&amp;N11))))</f>
        <v/>
      </c>
      <c r="G11" s="23"/>
      <c r="H11" s="26" t="str">
        <f aca="false">IF(A11="","",IF(B11="USD",0.000001,IF(B11="USD thousands",0.001,IF(B11="USD millions",1,"Check units"))))</f>
        <v/>
      </c>
      <c r="I11" s="26" t="str">
        <f aca="false">IF(A11="","",IF(OR(C11="",NOT(ISNUMBER(C11)),NOT(ISNUMBER(H11))),"",C11*H11))</f>
        <v/>
      </c>
      <c r="J11" s="26" t="str">
        <f aca="false">IF(A11="","",IF(OR(D11="",NOT(ISNUMBER(D11)),NOT(ISNUMBER(H11))),"",D11*H11))</f>
        <v/>
      </c>
      <c r="K11" s="26" t="str">
        <f aca="false">IF(A11="","",IF(OR(E11="",NOT(ISNUMBER(E11)),NOT(ISNUMBER(H11))),"",E11*H11))</f>
        <v/>
      </c>
      <c r="L11" s="30" t="str">
        <f aca="false">IF(A11="",IF(SUMPRODUCT(--(B11:G11&lt;&gt;""))+COUNTA(M11:N11)&gt;0,"Add funding line",""),IF(OR(G11="",COUNTIF(FundingData[ID],G11)&lt;&gt;1),"Missing or duplicate ID",IF(NOT(ISNUMBER(H11)),"Choose source units",IF(COUNT(C11:E11)&lt;&gt;3,"Add all period amounts",IF(MIN(C11:E11)&lt;0,"Check negative amount",IF(M11="","Add source ID",IF(SUMPRODUCT(--(SourceData[ID]=M11))&lt;&gt;1,"Unknown or duplicate source ID",IF(INDEX(SourceData[Input check],MATCH(M11,SourceData[ID],0))&lt;&gt;"","Complete source record",""))))))))</f>
        <v/>
      </c>
      <c r="M11" s="23"/>
      <c r="N11" s="23"/>
    </row>
    <row r="12" customFormat="false" ht="45" hidden="false" customHeight="true" outlineLevel="0" collapsed="false">
      <c r="A12" s="23"/>
      <c r="B12" s="23"/>
      <c r="C12" s="33"/>
      <c r="D12" s="33"/>
      <c r="E12" s="33"/>
      <c r="F12" s="25" t="str">
        <f aca="false">IF(M12="","",IF(IF(M12="","Add source ID",IF(SUMPRODUCT(--(SourceData[ID]=M12))&lt;&gt;1,"Unknown or duplicate source ID",IF(INDEX(SourceData[Input check],MATCH(M12,SourceData[ID],0))&lt;&gt;"","Complete source record","")))&lt;&gt;"","Check source",HYPERLINK(INDEX(SourceData[Source URL],MATCH(M12,SourceData[ID],0)),M12&amp;IF(N12="",""," "&amp;N12))))</f>
        <v/>
      </c>
      <c r="G12" s="23"/>
      <c r="H12" s="26" t="str">
        <f aca="false">IF(A12="","",IF(B12="USD",0.000001,IF(B12="USD thousands",0.001,IF(B12="USD millions",1,"Check units"))))</f>
        <v/>
      </c>
      <c r="I12" s="26" t="str">
        <f aca="false">IF(A12="","",IF(OR(C12="",NOT(ISNUMBER(C12)),NOT(ISNUMBER(H12))),"",C12*H12))</f>
        <v/>
      </c>
      <c r="J12" s="26" t="str">
        <f aca="false">IF(A12="","",IF(OR(D12="",NOT(ISNUMBER(D12)),NOT(ISNUMBER(H12))),"",D12*H12))</f>
        <v/>
      </c>
      <c r="K12" s="26" t="str">
        <f aca="false">IF(A12="","",IF(OR(E12="",NOT(ISNUMBER(E12)),NOT(ISNUMBER(H12))),"",E12*H12))</f>
        <v/>
      </c>
      <c r="L12" s="30" t="str">
        <f aca="false">IF(A12="",IF(SUMPRODUCT(--(B12:G12&lt;&gt;""))+COUNTA(M12:N12)&gt;0,"Add funding line",""),IF(OR(G12="",COUNTIF(FundingData[ID],G12)&lt;&gt;1),"Missing or duplicate ID",IF(NOT(ISNUMBER(H12)),"Choose source units",IF(COUNT(C12:E12)&lt;&gt;3,"Add all period amounts",IF(MIN(C12:E12)&lt;0,"Check negative amount",IF(M12="","Add source ID",IF(SUMPRODUCT(--(SourceData[ID]=M12))&lt;&gt;1,"Unknown or duplicate source ID",IF(INDEX(SourceData[Input check],MATCH(M12,SourceData[ID],0))&lt;&gt;"","Complete source record",""))))))))</f>
        <v/>
      </c>
      <c r="M12" s="23"/>
      <c r="N12" s="23"/>
    </row>
    <row r="13" customFormat="false" ht="45" hidden="false" customHeight="true" outlineLevel="0" collapsed="false">
      <c r="A13" s="23"/>
      <c r="B13" s="23"/>
      <c r="C13" s="33"/>
      <c r="D13" s="33"/>
      <c r="E13" s="33"/>
      <c r="F13" s="25" t="str">
        <f aca="false">IF(M13="","",IF(IF(M13="","Add source ID",IF(SUMPRODUCT(--(SourceData[ID]=M13))&lt;&gt;1,"Unknown or duplicate source ID",IF(INDEX(SourceData[Input check],MATCH(M13,SourceData[ID],0))&lt;&gt;"","Complete source record","")))&lt;&gt;"","Check source",HYPERLINK(INDEX(SourceData[Source URL],MATCH(M13,SourceData[ID],0)),M13&amp;IF(N13="",""," "&amp;N13))))</f>
        <v/>
      </c>
      <c r="G13" s="23"/>
      <c r="H13" s="26" t="str">
        <f aca="false">IF(A13="","",IF(B13="USD",0.000001,IF(B13="USD thousands",0.001,IF(B13="USD millions",1,"Check units"))))</f>
        <v/>
      </c>
      <c r="I13" s="26" t="str">
        <f aca="false">IF(A13="","",IF(OR(C13="",NOT(ISNUMBER(C13)),NOT(ISNUMBER(H13))),"",C13*H13))</f>
        <v/>
      </c>
      <c r="J13" s="26" t="str">
        <f aca="false">IF(A13="","",IF(OR(D13="",NOT(ISNUMBER(D13)),NOT(ISNUMBER(H13))),"",D13*H13))</f>
        <v/>
      </c>
      <c r="K13" s="26" t="str">
        <f aca="false">IF(A13="","",IF(OR(E13="",NOT(ISNUMBER(E13)),NOT(ISNUMBER(H13))),"",E13*H13))</f>
        <v/>
      </c>
      <c r="L13" s="30" t="str">
        <f aca="false">IF(A13="",IF(SUMPRODUCT(--(B13:G13&lt;&gt;""))+COUNTA(M13:N13)&gt;0,"Add funding line",""),IF(OR(G13="",COUNTIF(FundingData[ID],G13)&lt;&gt;1),"Missing or duplicate ID",IF(NOT(ISNUMBER(H13)),"Choose source units",IF(COUNT(C13:E13)&lt;&gt;3,"Add all period amounts",IF(MIN(C13:E13)&lt;0,"Check negative amount",IF(M13="","Add source ID",IF(SUMPRODUCT(--(SourceData[ID]=M13))&lt;&gt;1,"Unknown or duplicate source ID",IF(INDEX(SourceData[Input check],MATCH(M13,SourceData[ID],0))&lt;&gt;"","Complete source record",""))))))))</f>
        <v/>
      </c>
      <c r="M13" s="23"/>
      <c r="N13" s="23"/>
    </row>
    <row r="14" customFormat="false" ht="24" hidden="false" customHeight="true" outlineLevel="0" collapsed="false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customFormat="false" ht="30" hidden="false" customHeight="true" outlineLevel="0" collapsed="false">
      <c r="A15" s="34" t="s">
        <v>13</v>
      </c>
      <c r="B15" s="34"/>
      <c r="C15" s="35" t="str">
        <f aca="false">IFERROR(IF(COUNTA(FundingData[Funding line])=0,"",IF(OR(NOT(ISNUMBER(C5)),C5&lt;1900,C5&gt;2200,MOD(C5,1)&lt;&gt;0,COUNTIF($C$5:$E$5,C5)&lt;&gt;1,AND(C6&lt;&gt;"Actual",C6&lt;&gt;"Enacted",C6&lt;&gt;"Request",C6&lt;&gt;"Estimate"),COUNT(FundingData[Period 1 USD M])&lt;&gt;COUNTA(FundingData[Funding line]),COUNTIF(FundingData[Input check],"?*")&gt;0),"Incomplete",SUM(FundingData[Period 1 USD M]))),"Incomplete")</f>
        <v/>
      </c>
      <c r="D15" s="35" t="str">
        <f aca="false">IFERROR(IF(COUNTA(FundingData[Funding line])=0,"",IF(OR(NOT(ISNUMBER(D5)),D5&lt;1900,D5&gt;2200,MOD(D5,1)&lt;&gt;0,COUNTIF($C$5:$E$5,D5)&lt;&gt;1,AND(D6&lt;&gt;"Actual",D6&lt;&gt;"Enacted",D6&lt;&gt;"Request",D6&lt;&gt;"Estimate"),COUNT(FundingData[Period 2 USD M])&lt;&gt;COUNTA(FundingData[Funding line]),COUNTIF(FundingData[Input check],"?*")&gt;0),"Incomplete",SUM(FundingData[Period 2 USD M]))),"Incomplete")</f>
        <v/>
      </c>
      <c r="E15" s="35" t="str">
        <f aca="false">IFERROR(IF(COUNTA(FundingData[Funding line])=0,"",IF(OR(NOT(ISNUMBER(E5)),E5&lt;1900,E5&gt;2200,MOD(E5,1)&lt;&gt;0,COUNTIF($C$5:$E$5,E5)&lt;&gt;1,AND(E6&lt;&gt;"Actual",E6&lt;&gt;"Enacted",E6&lt;&gt;"Request",E6&lt;&gt;"Estimate"),COUNT(FundingData[Period 3 USD M])&lt;&gt;COUNTA(FundingData[Funding line]),COUNTIF(FundingData[Input check],"?*")&gt;0),"Incomplete",SUM(FundingData[Period 3 USD M]))),"Incomplete")</f>
        <v/>
      </c>
      <c r="F15" s="26"/>
      <c r="G15" s="14"/>
      <c r="H15" s="14"/>
      <c r="I15" s="14"/>
      <c r="J15" s="14"/>
      <c r="K15" s="14"/>
      <c r="L15" s="14"/>
      <c r="M15" s="14"/>
      <c r="N15" s="14"/>
    </row>
    <row r="16" customFormat="false" ht="24" hidden="false" customHeight="true" outlineLevel="0" collapsed="false">
      <c r="A16" s="21" t="s">
        <v>81</v>
      </c>
      <c r="B16" s="21"/>
      <c r="C16" s="21"/>
      <c r="D16" s="21"/>
      <c r="E16" s="21"/>
      <c r="F16" s="21"/>
      <c r="G16" s="14"/>
      <c r="H16" s="14"/>
      <c r="I16" s="14"/>
      <c r="J16" s="14"/>
      <c r="K16" s="14"/>
      <c r="L16" s="14"/>
      <c r="M16" s="14"/>
      <c r="N16" s="14"/>
    </row>
    <row r="17" customFormat="false" ht="24" hidden="false" customHeight="true" outlineLevel="0" collapsed="false">
      <c r="A17" s="21"/>
      <c r="B17" s="21"/>
      <c r="C17" s="21"/>
      <c r="D17" s="21"/>
      <c r="E17" s="21"/>
      <c r="F17" s="21"/>
      <c r="G17" s="14"/>
      <c r="H17" s="14"/>
      <c r="I17" s="14"/>
      <c r="J17" s="14"/>
      <c r="K17" s="14"/>
      <c r="L17" s="14"/>
      <c r="M17" s="14"/>
      <c r="N17" s="14"/>
    </row>
    <row r="18" customFormat="false" ht="24" hidden="false" customHeight="true" outlineLevel="0" collapsed="false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customFormat="false" ht="24" hidden="false" customHeight="true" outlineLevel="0" collapsed="false">
      <c r="A19" s="14"/>
      <c r="B19" s="14"/>
      <c r="C19" s="14"/>
      <c r="D19" s="14"/>
      <c r="E19" s="14"/>
      <c r="F19" s="14"/>
      <c r="G19" s="14"/>
      <c r="H19" s="14" t="s">
        <v>82</v>
      </c>
      <c r="I19" s="14" t="s">
        <v>83</v>
      </c>
      <c r="J19" s="14"/>
      <c r="K19" s="14"/>
      <c r="L19" s="14"/>
      <c r="M19" s="14"/>
      <c r="N19" s="14"/>
    </row>
    <row r="20" customFormat="false" ht="24" hidden="false" customHeight="true" outlineLevel="0" collapsed="false">
      <c r="A20" s="14"/>
      <c r="B20" s="14"/>
      <c r="C20" s="14"/>
      <c r="D20" s="14"/>
      <c r="E20" s="14"/>
      <c r="F20" s="14"/>
      <c r="G20" s="14"/>
      <c r="H20" s="14" t="str">
        <f aca="false">IF(C5="","Period 1","FY"&amp;C5&amp;" "&amp;C6)</f>
        <v>Period 1</v>
      </c>
      <c r="I20" s="14" t="str">
        <f aca="false">IF(ISNUMBER(C15),C15,"")</f>
        <v/>
      </c>
      <c r="J20" s="14"/>
      <c r="K20" s="14"/>
      <c r="L20" s="14"/>
      <c r="M20" s="14"/>
      <c r="N20" s="14"/>
    </row>
    <row r="21" customFormat="false" ht="24" hidden="false" customHeight="true" outlineLevel="0" collapsed="false">
      <c r="A21" s="14"/>
      <c r="B21" s="14"/>
      <c r="C21" s="14"/>
      <c r="D21" s="14"/>
      <c r="E21" s="14"/>
      <c r="F21" s="14"/>
      <c r="G21" s="14"/>
      <c r="H21" s="14" t="str">
        <f aca="false">IF(D5="","Period 2","FY"&amp;D5&amp;" "&amp;D6)</f>
        <v>Period 2</v>
      </c>
      <c r="I21" s="14" t="str">
        <f aca="false">IF(ISNUMBER(D15),D15,"")</f>
        <v/>
      </c>
      <c r="J21" s="14"/>
      <c r="K21" s="14"/>
      <c r="L21" s="14"/>
      <c r="M21" s="14"/>
      <c r="N21" s="14"/>
    </row>
    <row r="22" customFormat="false" ht="24" hidden="false" customHeight="true" outlineLevel="0" collapsed="false">
      <c r="A22" s="14"/>
      <c r="B22" s="14"/>
      <c r="C22" s="14"/>
      <c r="D22" s="14"/>
      <c r="E22" s="14"/>
      <c r="F22" s="14"/>
      <c r="G22" s="14"/>
      <c r="H22" s="14" t="str">
        <f aca="false">IF(E5="","Period 3","FY"&amp;E5&amp;" "&amp;E6)</f>
        <v>Period 3</v>
      </c>
      <c r="I22" s="14" t="str">
        <f aca="false">IF(ISNUMBER(E15),E15,"")</f>
        <v/>
      </c>
      <c r="J22" s="14"/>
      <c r="K22" s="14"/>
      <c r="L22" s="14"/>
      <c r="M22" s="14"/>
      <c r="N22" s="14"/>
    </row>
    <row r="23" customFormat="false" ht="24" hidden="false" customHeight="true" outlineLevel="0" collapsed="false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customFormat="false" ht="24" hidden="false" customHeight="true" outlineLevel="0" collapsed="false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customFormat="false" ht="24" hidden="false" customHeight="true" outlineLevel="0" collapsed="false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customFormat="false" ht="24" hidden="false" customHeight="true" outlineLevel="0" collapsed="false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customFormat="false" ht="24" hidden="false" customHeight="true" outlineLevel="0" collapsed="false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customFormat="false" ht="24" hidden="false" customHeight="true" outlineLevel="0" collapsed="false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customFormat="false" ht="24" hidden="false" customHeight="true" outlineLevel="0" collapsed="false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customFormat="false" ht="24" hidden="false" customHeight="true" outlineLevel="0" collapsed="false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customFormat="false" ht="24" hidden="false" customHeight="true" outlineLevel="0" collapsed="false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customFormat="false" ht="24" hidden="false" customHeight="true" outlineLevel="0" collapsed="false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customFormat="false" ht="24" hidden="false" customHeight="true" outlineLevel="0" collapsed="false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customFormat="false" ht="24" hidden="false" customHeight="true" outlineLevel="0" collapsed="false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</sheetData>
  <mergeCells count="7">
    <mergeCell ref="A2:F2"/>
    <mergeCell ref="A4:F4"/>
    <mergeCell ref="A5:B5"/>
    <mergeCell ref="A6:B6"/>
    <mergeCell ref="A7:F7"/>
    <mergeCell ref="A15:B15"/>
    <mergeCell ref="A16:F17"/>
  </mergeCells>
  <conditionalFormatting sqref="L9:L13">
    <cfRule type="expression" priority="2" aboveAverage="0" equalAverage="0" bottom="0" percent="0" rank="0" text="" dxfId="12">
      <formula>LEN(L9)&gt;0</formula>
    </cfRule>
  </conditionalFormatting>
  <conditionalFormatting sqref="C9:E9">
    <cfRule type="expression" priority="3" aboveAverage="0" equalAverage="0" bottom="0" percent="0" rank="0" text="" dxfId="13">
      <formula>$B9="USD thousands"</formula>
    </cfRule>
  </conditionalFormatting>
  <conditionalFormatting sqref="C10:E10">
    <cfRule type="expression" priority="4" aboveAverage="0" equalAverage="0" bottom="0" percent="0" rank="0" text="" dxfId="14">
      <formula>$B10="USD thousands"</formula>
    </cfRule>
  </conditionalFormatting>
  <conditionalFormatting sqref="C11:E11">
    <cfRule type="expression" priority="5" aboveAverage="0" equalAverage="0" bottom="0" percent="0" rank="0" text="" dxfId="15">
      <formula>$B11="USD thousands"</formula>
    </cfRule>
  </conditionalFormatting>
  <conditionalFormatting sqref="C12:E12">
    <cfRule type="expression" priority="6" aboveAverage="0" equalAverage="0" bottom="0" percent="0" rank="0" text="" dxfId="16">
      <formula>$B12="USD thousands"</formula>
    </cfRule>
  </conditionalFormatting>
  <conditionalFormatting sqref="C13:E13">
    <cfRule type="expression" priority="7" aboveAverage="0" equalAverage="0" bottom="0" percent="0" rank="0" text="" dxfId="17">
      <formula>$B13="USD thousands"</formula>
    </cfRule>
  </conditionalFormatting>
  <conditionalFormatting sqref="F9:F13">
    <cfRule type="containsText" priority="8" operator="containsText" aboveAverage="0" equalAverage="0" bottom="0" percent="0" rank="0" text="Check source" dxfId="18">
      <formula>NOT(ISERROR(SEARCH("Check source",F9)))</formula>
    </cfRule>
  </conditionalFormatting>
  <dataValidations count="4">
    <dataValidation allowBlank="false" errorStyle="stop" operator="between" showDropDown="false" showErrorMessage="false" showInputMessage="false" sqref="C6" type="list">
      <formula1>"Actual,Enacted,Request,Estimate"</formula1>
      <formula2>0</formula2>
    </dataValidation>
    <dataValidation allowBlank="false" errorStyle="stop" operator="between" showDropDown="false" showErrorMessage="false" showInputMessage="false" sqref="D6" type="list">
      <formula1>"Actual,Enacted,Request,Estimate"</formula1>
      <formula2>0</formula2>
    </dataValidation>
    <dataValidation allowBlank="false" errorStyle="stop" operator="between" showDropDown="false" showErrorMessage="false" showInputMessage="false" sqref="E6" type="list">
      <formula1>"Actual,Enacted,Request,Estimate"</formula1>
      <formula2>0</formula2>
    </dataValidation>
    <dataValidation allowBlank="false" errorStyle="stop" operator="between" showDropDown="false" showErrorMessage="false" showInputMessage="false" sqref="B9:B13" type="list">
      <formula1>"USD,USD thousands,USD millions"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portrait" fitToWidth="1" fitToHeight="1"/>
  <headerFooter>
    <oddHeader>&amp;L&amp;"Arial,Bold"&amp;11Funding</oddHeader>
    <oddFooter>&amp;LFunding&amp;RPage &amp;P of &amp;N</oddFooter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I15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5.56"/>
    <col customWidth="true" max="2" min="2" style="0" width="14.44"/>
    <col customWidth="true" max="3" min="3" style="0" width="12.22"/>
    <col customWidth="true" max="4" min="4" style="0" width="26.11"/>
    <col customWidth="true" max="5" min="5" style="0" width="16.67"/>
    <col customWidth="true" max="6" min="6" style="0" width="38.33"/>
    <col customWidth="true" max="7" min="7" style="0" width="10.56"/>
    <col customWidth="true" max="8" min="8" style="0" width="25.56" hidden="1" outlineLevel="1"/>
    <col customWidth="true" max="9" min="9" style="0" width="11.67" hidden="1" outlineLevel="1"/>
  </cols>
  <sheetData>
    <row r="1" customFormat="false" ht="10" hidden="false" customHeight="true" outlineLevel="0" collapsed="false">
      <c r="A1" s="14"/>
      <c r="B1" s="14"/>
      <c r="C1" s="14"/>
      <c r="D1" s="14"/>
      <c r="E1" s="14"/>
      <c r="F1" s="14"/>
      <c r="G1" s="14"/>
      <c r="H1" s="14"/>
      <c r="I1" s="14"/>
    </row>
    <row r="2" customFormat="false" ht="33" hidden="false" customHeight="true" outlineLevel="0" collapsed="false">
      <c r="A2" s="15" t="s">
        <v>84</v>
      </c>
      <c r="B2" s="15"/>
      <c r="C2" s="15"/>
      <c r="D2" s="15"/>
      <c r="E2" s="15"/>
      <c r="F2" s="15"/>
      <c r="G2" s="14"/>
      <c r="H2" s="14"/>
      <c r="I2" s="14"/>
    </row>
    <row r="3" customFormat="false" ht="24" hidden="false" customHeight="true" outlineLevel="0" collapsed="false">
      <c r="A3" s="16"/>
      <c r="B3" s="16"/>
      <c r="C3" s="16"/>
      <c r="D3" s="16"/>
      <c r="E3" s="16"/>
      <c r="F3" s="16"/>
      <c r="G3" s="14"/>
      <c r="H3" s="14"/>
      <c r="I3" s="14"/>
    </row>
    <row r="4" customFormat="false" ht="24" hidden="false" customHeight="true" outlineLevel="0" collapsed="false">
      <c r="A4" s="18" t="s">
        <v>85</v>
      </c>
      <c r="B4" s="18"/>
      <c r="C4" s="18"/>
      <c r="D4" s="18"/>
      <c r="E4" s="18"/>
      <c r="F4" s="18"/>
      <c r="G4" s="18"/>
      <c r="H4" s="14"/>
      <c r="I4" s="14"/>
    </row>
    <row r="5" customFormat="false" ht="24" hidden="false" customHeight="true" outlineLevel="0" collapsed="false">
      <c r="A5" s="14"/>
      <c r="B5" s="14"/>
      <c r="C5" s="14"/>
      <c r="D5" s="14"/>
      <c r="E5" s="14"/>
      <c r="F5" s="14"/>
      <c r="G5" s="14"/>
      <c r="H5" s="14"/>
      <c r="I5" s="14"/>
    </row>
    <row r="6" customFormat="false" ht="24" hidden="false" customHeight="true" outlineLevel="0" collapsed="false">
      <c r="A6" s="14"/>
      <c r="B6" s="14"/>
      <c r="C6" s="14"/>
      <c r="D6" s="14"/>
      <c r="E6" s="14"/>
      <c r="F6" s="14"/>
      <c r="G6" s="14"/>
      <c r="H6" s="14"/>
      <c r="I6" s="14"/>
    </row>
    <row r="7" customFormat="false" ht="36" hidden="false" customHeight="true" outlineLevel="0" collapsed="false">
      <c r="A7" s="22" t="s">
        <v>25</v>
      </c>
      <c r="B7" s="22" t="s">
        <v>86</v>
      </c>
      <c r="C7" s="22" t="s">
        <v>87</v>
      </c>
      <c r="D7" s="22" t="s">
        <v>88</v>
      </c>
      <c r="E7" s="22" t="s">
        <v>89</v>
      </c>
      <c r="F7" s="22" t="s">
        <v>90</v>
      </c>
      <c r="G7" s="22" t="s">
        <v>29</v>
      </c>
      <c r="H7" s="22" t="s">
        <v>63</v>
      </c>
      <c r="I7" s="22" t="s">
        <v>32</v>
      </c>
    </row>
    <row r="8" customFormat="false" ht="49" hidden="false" customHeight="true" outlineLevel="0" collapsed="false">
      <c r="A8" s="23"/>
      <c r="B8" s="36"/>
      <c r="C8" s="23"/>
      <c r="D8" s="23"/>
      <c r="E8" s="23"/>
      <c r="F8" s="23"/>
      <c r="G8" s="25" t="str">
        <f aca="false">IF(I8="","",IF(IF(I8="","Add source ID",IF(SUMPRODUCT(--(SourceData[ID]=I8))&lt;&gt;1,"Unknown or duplicate source ID",IF(INDEX(SourceData[Input check],MATCH(I8,SourceData[ID],0))&lt;&gt;"","Complete source record","")))&lt;&gt;"","Check source",HYPERLINK(INDEX(SourceData[Source URL],MATCH(I8,SourceData[ID],0)),I8)))</f>
        <v/>
      </c>
      <c r="H8" s="30" t="str">
        <f aca="false">IF(A8="",IF(SUMPRODUCT(--(B8:G8&lt;&gt;""))+COUNTA(I8)&gt;0,"Add milestone ID",""),IF(COUNTIF(MilestoneData[ID],A8)&lt;&gt;1,"Duplicate milestone ID",IF(OR(D8="",E8="",I8=""),"Add milestone, status and source",IF(AND(B8="",C8=""),"Add date or period",IF(AND(B8&lt;&gt;"",C8&lt;&gt;""),"Use date or period only",IF(AND(B8&lt;&gt;"",NOT(ISNUMBER(B8))),"Use a valid date",IF(AND(E8&lt;&gt;"Completed",E8&lt;&gt;"Planned",E8&lt;&gt;"Needs confirmation"),"Choose status",IF(I8="","Add source ID",IF(SUMPRODUCT(--(SourceData[ID]=I8))&lt;&gt;1,"Unknown or duplicate source ID",IF(INDEX(SourceData[Input check],MATCH(I8,SourceData[ID],0))&lt;&gt;"","Complete source record",""))))))))))</f>
        <v/>
      </c>
      <c r="I8" s="23"/>
    </row>
    <row r="9" customFormat="false" ht="49" hidden="false" customHeight="true" outlineLevel="0" collapsed="false">
      <c r="A9" s="23"/>
      <c r="B9" s="36"/>
      <c r="C9" s="23"/>
      <c r="D9" s="23"/>
      <c r="E9" s="23"/>
      <c r="F9" s="23"/>
      <c r="G9" s="25" t="str">
        <f aca="false">IF(I9="","",IF(IF(I9="","Add source ID",IF(SUMPRODUCT(--(SourceData[ID]=I9))&lt;&gt;1,"Unknown or duplicate source ID",IF(INDEX(SourceData[Input check],MATCH(I9,SourceData[ID],0))&lt;&gt;"","Complete source record","")))&lt;&gt;"","Check source",HYPERLINK(INDEX(SourceData[Source URL],MATCH(I9,SourceData[ID],0)),I9)))</f>
        <v/>
      </c>
      <c r="H9" s="30" t="str">
        <f aca="false">IF(A9="",IF(SUMPRODUCT(--(B9:G9&lt;&gt;""))+COUNTA(I9)&gt;0,"Add milestone ID",""),IF(COUNTIF(MilestoneData[ID],A9)&lt;&gt;1,"Duplicate milestone ID",IF(OR(D9="",E9="",I9=""),"Add milestone, status and source",IF(AND(B9="",C9=""),"Add date or period",IF(AND(B9&lt;&gt;"",C9&lt;&gt;""),"Use date or period only",IF(AND(B9&lt;&gt;"",NOT(ISNUMBER(B9))),"Use a valid date",IF(AND(E9&lt;&gt;"Completed",E9&lt;&gt;"Planned",E9&lt;&gt;"Needs confirmation"),"Choose status",IF(I9="","Add source ID",IF(SUMPRODUCT(--(SourceData[ID]=I9))&lt;&gt;1,"Unknown or duplicate source ID",IF(INDEX(SourceData[Input check],MATCH(I9,SourceData[ID],0))&lt;&gt;"","Complete source record",""))))))))))</f>
        <v/>
      </c>
      <c r="I9" s="23"/>
    </row>
    <row r="10" customFormat="false" ht="49" hidden="false" customHeight="true" outlineLevel="0" collapsed="false">
      <c r="A10" s="23"/>
      <c r="B10" s="36"/>
      <c r="C10" s="23"/>
      <c r="D10" s="23"/>
      <c r="E10" s="23"/>
      <c r="F10" s="23"/>
      <c r="G10" s="25" t="str">
        <f aca="false">IF(I10="","",IF(IF(I10="","Add source ID",IF(SUMPRODUCT(--(SourceData[ID]=I10))&lt;&gt;1,"Unknown or duplicate source ID",IF(INDEX(SourceData[Input check],MATCH(I10,SourceData[ID],0))&lt;&gt;"","Complete source record","")))&lt;&gt;"","Check source",HYPERLINK(INDEX(SourceData[Source URL],MATCH(I10,SourceData[ID],0)),I10)))</f>
        <v/>
      </c>
      <c r="H10" s="30" t="str">
        <f aca="false">IF(A10="",IF(SUMPRODUCT(--(B10:G10&lt;&gt;""))+COUNTA(I10)&gt;0,"Add milestone ID",""),IF(COUNTIF(MilestoneData[ID],A10)&lt;&gt;1,"Duplicate milestone ID",IF(OR(D10="",E10="",I10=""),"Add milestone, status and source",IF(AND(B10="",C10=""),"Add date or period",IF(AND(B10&lt;&gt;"",C10&lt;&gt;""),"Use date or period only",IF(AND(B10&lt;&gt;"",NOT(ISNUMBER(B10))),"Use a valid date",IF(AND(E10&lt;&gt;"Completed",E10&lt;&gt;"Planned",E10&lt;&gt;"Needs confirmation"),"Choose status",IF(I10="","Add source ID",IF(SUMPRODUCT(--(SourceData[ID]=I10))&lt;&gt;1,"Unknown or duplicate source ID",IF(INDEX(SourceData[Input check],MATCH(I10,SourceData[ID],0))&lt;&gt;"","Complete source record",""))))))))))</f>
        <v/>
      </c>
      <c r="I10" s="23"/>
    </row>
    <row r="11" customFormat="false" ht="49" hidden="false" customHeight="true" outlineLevel="0" collapsed="false">
      <c r="A11" s="23"/>
      <c r="B11" s="36"/>
      <c r="C11" s="23"/>
      <c r="D11" s="23"/>
      <c r="E11" s="23"/>
      <c r="F11" s="23"/>
      <c r="G11" s="25" t="str">
        <f aca="false">IF(I11="","",IF(IF(I11="","Add source ID",IF(SUMPRODUCT(--(SourceData[ID]=I11))&lt;&gt;1,"Unknown or duplicate source ID",IF(INDEX(SourceData[Input check],MATCH(I11,SourceData[ID],0))&lt;&gt;"","Complete source record","")))&lt;&gt;"","Check source",HYPERLINK(INDEX(SourceData[Source URL],MATCH(I11,SourceData[ID],0)),I11)))</f>
        <v/>
      </c>
      <c r="H11" s="30" t="str">
        <f aca="false">IF(A11="",IF(SUMPRODUCT(--(B11:G11&lt;&gt;""))+COUNTA(I11)&gt;0,"Add milestone ID",""),IF(COUNTIF(MilestoneData[ID],A11)&lt;&gt;1,"Duplicate milestone ID",IF(OR(D11="",E11="",I11=""),"Add milestone, status and source",IF(AND(B11="",C11=""),"Add date or period",IF(AND(B11&lt;&gt;"",C11&lt;&gt;""),"Use date or period only",IF(AND(B11&lt;&gt;"",NOT(ISNUMBER(B11))),"Use a valid date",IF(AND(E11&lt;&gt;"Completed",E11&lt;&gt;"Planned",E11&lt;&gt;"Needs confirmation"),"Choose status",IF(I11="","Add source ID",IF(SUMPRODUCT(--(SourceData[ID]=I11))&lt;&gt;1,"Unknown or duplicate source ID",IF(INDEX(SourceData[Input check],MATCH(I11,SourceData[ID],0))&lt;&gt;"","Complete source record",""))))))))))</f>
        <v/>
      </c>
      <c r="I11" s="23"/>
    </row>
    <row r="12" customFormat="false" ht="49" hidden="false" customHeight="true" outlineLevel="0" collapsed="false">
      <c r="A12" s="23"/>
      <c r="B12" s="36"/>
      <c r="C12" s="23"/>
      <c r="D12" s="23"/>
      <c r="E12" s="23"/>
      <c r="F12" s="23"/>
      <c r="G12" s="25" t="str">
        <f aca="false">IF(I12="","",IF(IF(I12="","Add source ID",IF(SUMPRODUCT(--(SourceData[ID]=I12))&lt;&gt;1,"Unknown or duplicate source ID",IF(INDEX(SourceData[Input check],MATCH(I12,SourceData[ID],0))&lt;&gt;"","Complete source record","")))&lt;&gt;"","Check source",HYPERLINK(INDEX(SourceData[Source URL],MATCH(I12,SourceData[ID],0)),I12)))</f>
        <v/>
      </c>
      <c r="H12" s="30" t="str">
        <f aca="false">IF(A12="",IF(SUMPRODUCT(--(B12:G12&lt;&gt;""))+COUNTA(I12)&gt;0,"Add milestone ID",""),IF(COUNTIF(MilestoneData[ID],A12)&lt;&gt;1,"Duplicate milestone ID",IF(OR(D12="",E12="",I12=""),"Add milestone, status and source",IF(AND(B12="",C12=""),"Add date or period",IF(AND(B12&lt;&gt;"",C12&lt;&gt;""),"Use date or period only",IF(AND(B12&lt;&gt;"",NOT(ISNUMBER(B12))),"Use a valid date",IF(AND(E12&lt;&gt;"Completed",E12&lt;&gt;"Planned",E12&lt;&gt;"Needs confirmation"),"Choose status",IF(I12="","Add source ID",IF(SUMPRODUCT(--(SourceData[ID]=I12))&lt;&gt;1,"Unknown or duplicate source ID",IF(INDEX(SourceData[Input check],MATCH(I12,SourceData[ID],0))&lt;&gt;"","Complete source record",""))))))))))</f>
        <v/>
      </c>
      <c r="I12" s="23"/>
    </row>
    <row r="13" customFormat="false" ht="49" hidden="false" customHeight="true" outlineLevel="0" collapsed="false">
      <c r="A13" s="23"/>
      <c r="B13" s="36"/>
      <c r="C13" s="23"/>
      <c r="D13" s="23"/>
      <c r="E13" s="23"/>
      <c r="F13" s="23"/>
      <c r="G13" s="25" t="str">
        <f aca="false">IF(I13="","",IF(IF(I13="","Add source ID",IF(SUMPRODUCT(--(SourceData[ID]=I13))&lt;&gt;1,"Unknown or duplicate source ID",IF(INDEX(SourceData[Input check],MATCH(I13,SourceData[ID],0))&lt;&gt;"","Complete source record","")))&lt;&gt;"","Check source",HYPERLINK(INDEX(SourceData[Source URL],MATCH(I13,SourceData[ID],0)),I13)))</f>
        <v/>
      </c>
      <c r="H13" s="30" t="str">
        <f aca="false">IF(A13="",IF(SUMPRODUCT(--(B13:G13&lt;&gt;""))+COUNTA(I13)&gt;0,"Add milestone ID",""),IF(COUNTIF(MilestoneData[ID],A13)&lt;&gt;1,"Duplicate milestone ID",IF(OR(D13="",E13="",I13=""),"Add milestone, status and source",IF(AND(B13="",C13=""),"Add date or period",IF(AND(B13&lt;&gt;"",C13&lt;&gt;""),"Use date or period only",IF(AND(B13&lt;&gt;"",NOT(ISNUMBER(B13))),"Use a valid date",IF(AND(E13&lt;&gt;"Completed",E13&lt;&gt;"Planned",E13&lt;&gt;"Needs confirmation"),"Choose status",IF(I13="","Add source ID",IF(SUMPRODUCT(--(SourceData[ID]=I13))&lt;&gt;1,"Unknown or duplicate source ID",IF(INDEX(SourceData[Input check],MATCH(I13,SourceData[ID],0))&lt;&gt;"","Complete source record",""))))))))))</f>
        <v/>
      </c>
      <c r="I13" s="23"/>
    </row>
    <row r="14" customFormat="false" ht="49" hidden="false" customHeight="true" outlineLevel="0" collapsed="false">
      <c r="A14" s="23"/>
      <c r="B14" s="36"/>
      <c r="C14" s="23"/>
      <c r="D14" s="23"/>
      <c r="E14" s="23"/>
      <c r="F14" s="23"/>
      <c r="G14" s="25" t="str">
        <f aca="false">IF(I14="","",IF(IF(I14="","Add source ID",IF(SUMPRODUCT(--(SourceData[ID]=I14))&lt;&gt;1,"Unknown or duplicate source ID",IF(INDEX(SourceData[Input check],MATCH(I14,SourceData[ID],0))&lt;&gt;"","Complete source record","")))&lt;&gt;"","Check source",HYPERLINK(INDEX(SourceData[Source URL],MATCH(I14,SourceData[ID],0)),I14)))</f>
        <v/>
      </c>
      <c r="H14" s="30" t="str">
        <f aca="false">IF(A14="",IF(SUMPRODUCT(--(B14:G14&lt;&gt;""))+COUNTA(I14)&gt;0,"Add milestone ID",""),IF(COUNTIF(MilestoneData[ID],A14)&lt;&gt;1,"Duplicate milestone ID",IF(OR(D14="",E14="",I14=""),"Add milestone, status and source",IF(AND(B14="",C14=""),"Add date or period",IF(AND(B14&lt;&gt;"",C14&lt;&gt;""),"Use date or period only",IF(AND(B14&lt;&gt;"",NOT(ISNUMBER(B14))),"Use a valid date",IF(AND(E14&lt;&gt;"Completed",E14&lt;&gt;"Planned",E14&lt;&gt;"Needs confirmation"),"Choose status",IF(I14="","Add source ID",IF(SUMPRODUCT(--(SourceData[ID]=I14))&lt;&gt;1,"Unknown or duplicate source ID",IF(INDEX(SourceData[Input check],MATCH(I14,SourceData[ID],0))&lt;&gt;"","Complete source record",""))))))))))</f>
        <v/>
      </c>
      <c r="I14" s="23"/>
    </row>
    <row r="15" customFormat="false" ht="49" hidden="false" customHeight="true" outlineLevel="0" collapsed="false">
      <c r="A15" s="23"/>
      <c r="B15" s="36"/>
      <c r="C15" s="23"/>
      <c r="D15" s="23"/>
      <c r="E15" s="23"/>
      <c r="F15" s="23"/>
      <c r="G15" s="25" t="str">
        <f aca="false">IF(I15="","",IF(IF(I15="","Add source ID",IF(SUMPRODUCT(--(SourceData[ID]=I15))&lt;&gt;1,"Unknown or duplicate source ID",IF(INDEX(SourceData[Input check],MATCH(I15,SourceData[ID],0))&lt;&gt;"","Complete source record","")))&lt;&gt;"","Check source",HYPERLINK(INDEX(SourceData[Source URL],MATCH(I15,SourceData[ID],0)),I15)))</f>
        <v/>
      </c>
      <c r="H15" s="30" t="str">
        <f aca="false">IF(A15="",IF(SUMPRODUCT(--(B15:G15&lt;&gt;""))+COUNTA(I15)&gt;0,"Add milestone ID",""),IF(COUNTIF(MilestoneData[ID],A15)&lt;&gt;1,"Duplicate milestone ID",IF(OR(D15="",E15="",I15=""),"Add milestone, status and source",IF(AND(B15="",C15=""),"Add date or period",IF(AND(B15&lt;&gt;"",C15&lt;&gt;""),"Use date or period only",IF(AND(B15&lt;&gt;"",NOT(ISNUMBER(B15))),"Use a valid date",IF(AND(E15&lt;&gt;"Completed",E15&lt;&gt;"Planned",E15&lt;&gt;"Needs confirmation"),"Choose status",IF(I15="","Add source ID",IF(SUMPRODUCT(--(SourceData[ID]=I15))&lt;&gt;1,"Unknown or duplicate source ID",IF(INDEX(SourceData[Input check],MATCH(I15,SourceData[ID],0))&lt;&gt;"","Complete source record",""))))))))))</f>
        <v/>
      </c>
      <c r="I15" s="23"/>
    </row>
  </sheetData>
  <mergeCells count="2">
    <mergeCell ref="A2:F2"/>
    <mergeCell ref="A4:G4"/>
  </mergeCells>
  <conditionalFormatting sqref="H8:H15">
    <cfRule type="expression" priority="2" aboveAverage="0" equalAverage="0" bottom="0" percent="0" rank="0" text="" dxfId="19">
      <formula>LEN(H8)&gt;0</formula>
    </cfRule>
  </conditionalFormatting>
  <conditionalFormatting sqref="E8:E15">
    <cfRule type="containsText" priority="3" operator="containsText" aboveAverage="0" equalAverage="0" bottom="0" percent="0" rank="0" text="Needs confirmation" dxfId="20">
      <formula>NOT(ISERROR(SEARCH("Needs confirmation",E8)))</formula>
    </cfRule>
  </conditionalFormatting>
  <conditionalFormatting sqref="G8:G15">
    <cfRule type="containsText" priority="4" operator="containsText" aboveAverage="0" equalAverage="0" bottom="0" percent="0" rank="0" text="Check source" dxfId="21">
      <formula>NOT(ISERROR(SEARCH("Check source",G8)))</formula>
    </cfRule>
  </conditionalFormatting>
  <dataValidations count="1">
    <dataValidation allowBlank="false" errorStyle="stop" operator="between" showDropDown="false" showErrorMessage="false" showInputMessage="false" sqref="E8:E15" type="list">
      <formula1>"Completed,Planned,Needs confirmation"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1"/>
  <headerFooter>
    <oddHeader>&amp;L&amp;"Arial,Bold"&amp;11Timeline</oddHeader>
    <oddFooter>&amp;LTimeline&amp;RPage &amp;P of &amp;N</oddFooter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I26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5.56"/>
    <col customWidth="true" max="2" min="2" style="0" width="33.33"/>
    <col customWidth="true" max="3" min="3" style="0" width="40"/>
    <col customWidth="true" max="4" min="4" style="0" width="20.56"/>
    <col customWidth="true" max="5" min="5" style="0" width="13.89"/>
    <col customWidth="true" max="6" min="6" style="0" width="11.67"/>
    <col customWidth="true" max="7" min="7" style="0" width="42.22" hidden="1" outlineLevel="1"/>
    <col customWidth="true" max="8" min="8" style="0" width="43.33" hidden="1" outlineLevel="1"/>
    <col customWidth="true" max="9" min="9" style="0" width="25.56" hidden="1" outlineLevel="1"/>
  </cols>
  <sheetData>
    <row r="1" customFormat="false" ht="10" hidden="false" customHeight="true" outlineLevel="0" collapsed="false">
      <c r="A1" s="14"/>
      <c r="B1" s="14"/>
      <c r="C1" s="14"/>
      <c r="D1" s="14"/>
      <c r="E1" s="14"/>
      <c r="F1" s="14"/>
      <c r="G1" s="14"/>
      <c r="H1" s="14"/>
      <c r="I1" s="14"/>
    </row>
    <row r="2" customFormat="false" ht="33" hidden="false" customHeight="true" outlineLevel="0" collapsed="false">
      <c r="A2" s="15" t="s">
        <v>91</v>
      </c>
      <c r="B2" s="15"/>
      <c r="C2" s="15"/>
      <c r="D2" s="15"/>
      <c r="E2" s="15"/>
      <c r="F2" s="15"/>
      <c r="G2" s="14"/>
      <c r="H2" s="14"/>
      <c r="I2" s="14"/>
    </row>
    <row r="3" customFormat="false" ht="24" hidden="false" customHeight="true" outlineLevel="0" collapsed="false">
      <c r="A3" s="16"/>
      <c r="B3" s="16"/>
      <c r="C3" s="16"/>
      <c r="D3" s="16"/>
      <c r="E3" s="16"/>
      <c r="F3" s="16"/>
      <c r="G3" s="14"/>
      <c r="H3" s="14"/>
      <c r="I3" s="14"/>
    </row>
    <row r="4" customFormat="false" ht="24" hidden="false" customHeight="true" outlineLevel="0" collapsed="false">
      <c r="A4" s="18" t="s">
        <v>92</v>
      </c>
      <c r="B4" s="18"/>
      <c r="C4" s="18"/>
      <c r="D4" s="18"/>
      <c r="E4" s="18"/>
      <c r="F4" s="18"/>
      <c r="G4" s="14"/>
      <c r="H4" s="14"/>
      <c r="I4" s="14"/>
    </row>
    <row r="5" customFormat="false" ht="24" hidden="false" customHeight="true" outlineLevel="0" collapsed="false">
      <c r="A5" s="14"/>
      <c r="B5" s="14"/>
      <c r="C5" s="14"/>
      <c r="D5" s="14"/>
      <c r="E5" s="14"/>
      <c r="F5" s="14"/>
      <c r="G5" s="14"/>
      <c r="H5" s="14"/>
      <c r="I5" s="14"/>
    </row>
    <row r="6" customFormat="false" ht="24" hidden="false" customHeight="true" outlineLevel="0" collapsed="false">
      <c r="A6" s="14"/>
      <c r="B6" s="14"/>
      <c r="C6" s="14"/>
      <c r="D6" s="14"/>
      <c r="E6" s="14"/>
      <c r="F6" s="14"/>
      <c r="G6" s="14"/>
      <c r="H6" s="14"/>
      <c r="I6" s="14"/>
    </row>
    <row r="7" customFormat="false" ht="36" hidden="false" customHeight="true" outlineLevel="0" collapsed="false">
      <c r="A7" s="22" t="s">
        <v>25</v>
      </c>
      <c r="B7" s="22" t="s">
        <v>93</v>
      </c>
      <c r="C7" s="22" t="s">
        <v>94</v>
      </c>
      <c r="D7" s="22" t="s">
        <v>95</v>
      </c>
      <c r="E7" s="22" t="s">
        <v>89</v>
      </c>
      <c r="F7" s="22" t="s">
        <v>29</v>
      </c>
      <c r="G7" s="22" t="s">
        <v>96</v>
      </c>
      <c r="H7" s="22" t="s">
        <v>63</v>
      </c>
      <c r="I7" s="22" t="s">
        <v>32</v>
      </c>
    </row>
    <row r="8" customFormat="false" ht="66" hidden="false" customHeight="true" outlineLevel="0" collapsed="false">
      <c r="A8" s="23"/>
      <c r="B8" s="23"/>
      <c r="C8" s="23"/>
      <c r="D8" s="23"/>
      <c r="E8" s="11"/>
      <c r="F8" s="25" t="str">
        <f aca="false">IF(I8="","",IF(IF(I8="","Add source ID",IF(SUMPRODUCT(--(SourceData[ID]=I8))&lt;&gt;1,"Unknown or duplicate source ID",IF(INDEX(SourceData[Input check],MATCH(I8,SourceData[ID],0))&lt;&gt;"","Complete source record","")))&lt;&gt;"","Check source",HYPERLINK(INDEX(SourceData[Source URL],MATCH(I8,SourceData[ID],0)),I8)))</f>
        <v/>
      </c>
      <c r="G8" s="23"/>
      <c r="H8" s="30" t="str">
        <f aca="false">IF(A8="",IF(SUMPRODUCT(--(B8:G8&lt;&gt;""))+COUNTA(I8)&gt;0,"Add question ID",""),IF(COUNTIF(QuestionData[ID],A8)&lt;&gt;1,"Duplicate question ID",IF(OR(B8="",C8=""),"Add question and next action",IF(AND(E8&lt;&gt;"Open",E8&lt;&gt;"Resolved"),"Choose status",IF(AND(E8="Resolved",OR(I8="",G8="")),"Add resolution evidence",IF(OR(E8="Resolved",I8&lt;&gt;""),IF(I8="","Add source ID",IF(SUMPRODUCT(--(SourceData[ID]=I8))&lt;&gt;1,"Unknown or duplicate source ID",IF(INDEX(SourceData[Input check],MATCH(I8,SourceData[ID],0))&lt;&gt;"","Complete source record",""))),""))))))</f>
        <v/>
      </c>
      <c r="I8" s="23"/>
    </row>
    <row r="9" customFormat="false" ht="66" hidden="false" customHeight="true" outlineLevel="0" collapsed="false">
      <c r="A9" s="23"/>
      <c r="B9" s="23"/>
      <c r="C9" s="23"/>
      <c r="D9" s="23"/>
      <c r="E9" s="11"/>
      <c r="F9" s="25" t="str">
        <f aca="false">IF(I9="","",IF(IF(I9="","Add source ID",IF(SUMPRODUCT(--(SourceData[ID]=I9))&lt;&gt;1,"Unknown or duplicate source ID",IF(INDEX(SourceData[Input check],MATCH(I9,SourceData[ID],0))&lt;&gt;"","Complete source record","")))&lt;&gt;"","Check source",HYPERLINK(INDEX(SourceData[Source URL],MATCH(I9,SourceData[ID],0)),I9)))</f>
        <v/>
      </c>
      <c r="G9" s="23"/>
      <c r="H9" s="30" t="str">
        <f aca="false">IF(A9="",IF(SUMPRODUCT(--(B9:G9&lt;&gt;""))+COUNTA(I9)&gt;0,"Add question ID",""),IF(COUNTIF(QuestionData[ID],A9)&lt;&gt;1,"Duplicate question ID",IF(OR(B9="",C9=""),"Add question and next action",IF(AND(E9&lt;&gt;"Open",E9&lt;&gt;"Resolved"),"Choose status",IF(AND(E9="Resolved",OR(I9="",G9="")),"Add resolution evidence",IF(OR(E9="Resolved",I9&lt;&gt;""),IF(I9="","Add source ID",IF(SUMPRODUCT(--(SourceData[ID]=I9))&lt;&gt;1,"Unknown or duplicate source ID",IF(INDEX(SourceData[Input check],MATCH(I9,SourceData[ID],0))&lt;&gt;"","Complete source record",""))),""))))))</f>
        <v/>
      </c>
      <c r="I9" s="23"/>
    </row>
    <row r="10" customFormat="false" ht="66" hidden="false" customHeight="true" outlineLevel="0" collapsed="false">
      <c r="A10" s="23"/>
      <c r="B10" s="23"/>
      <c r="C10" s="23"/>
      <c r="D10" s="23"/>
      <c r="E10" s="11"/>
      <c r="F10" s="25" t="str">
        <f aca="false">IF(I10="","",IF(IF(I10="","Add source ID",IF(SUMPRODUCT(--(SourceData[ID]=I10))&lt;&gt;1,"Unknown or duplicate source ID",IF(INDEX(SourceData[Input check],MATCH(I10,SourceData[ID],0))&lt;&gt;"","Complete source record","")))&lt;&gt;"","Check source",HYPERLINK(INDEX(SourceData[Source URL],MATCH(I10,SourceData[ID],0)),I10)))</f>
        <v/>
      </c>
      <c r="G10" s="23"/>
      <c r="H10" s="30" t="str">
        <f aca="false">IF(A10="",IF(SUMPRODUCT(--(B10:G10&lt;&gt;""))+COUNTA(I10)&gt;0,"Add question ID",""),IF(COUNTIF(QuestionData[ID],A10)&lt;&gt;1,"Duplicate question ID",IF(OR(B10="",C10=""),"Add question and next action",IF(AND(E10&lt;&gt;"Open",E10&lt;&gt;"Resolved"),"Choose status",IF(AND(E10="Resolved",OR(I10="",G10="")),"Add resolution evidence",IF(OR(E10="Resolved",I10&lt;&gt;""),IF(I10="","Add source ID",IF(SUMPRODUCT(--(SourceData[ID]=I10))&lt;&gt;1,"Unknown or duplicate source ID",IF(INDEX(SourceData[Input check],MATCH(I10,SourceData[ID],0))&lt;&gt;"","Complete source record",""))),""))))))</f>
        <v/>
      </c>
      <c r="I10" s="23"/>
    </row>
    <row r="11" customFormat="false" ht="66" hidden="false" customHeight="true" outlineLevel="0" collapsed="false">
      <c r="A11" s="23"/>
      <c r="B11" s="23"/>
      <c r="C11" s="23"/>
      <c r="D11" s="23"/>
      <c r="E11" s="11"/>
      <c r="F11" s="25" t="str">
        <f aca="false">IF(I11="","",IF(IF(I11="","Add source ID",IF(SUMPRODUCT(--(SourceData[ID]=I11))&lt;&gt;1,"Unknown or duplicate source ID",IF(INDEX(SourceData[Input check],MATCH(I11,SourceData[ID],0))&lt;&gt;"","Complete source record","")))&lt;&gt;"","Check source",HYPERLINK(INDEX(SourceData[Source URL],MATCH(I11,SourceData[ID],0)),I11)))</f>
        <v/>
      </c>
      <c r="G11" s="23"/>
      <c r="H11" s="30" t="str">
        <f aca="false">IF(A11="",IF(SUMPRODUCT(--(B11:G11&lt;&gt;""))+COUNTA(I11)&gt;0,"Add question ID",""),IF(COUNTIF(QuestionData[ID],A11)&lt;&gt;1,"Duplicate question ID",IF(OR(B11="",C11=""),"Add question and next action",IF(AND(E11&lt;&gt;"Open",E11&lt;&gt;"Resolved"),"Choose status",IF(AND(E11="Resolved",OR(I11="",G11="")),"Add resolution evidence",IF(OR(E11="Resolved",I11&lt;&gt;""),IF(I11="","Add source ID",IF(SUMPRODUCT(--(SourceData[ID]=I11))&lt;&gt;1,"Unknown or duplicate source ID",IF(INDEX(SourceData[Input check],MATCH(I11,SourceData[ID],0))&lt;&gt;"","Complete source record",""))),""))))))</f>
        <v/>
      </c>
      <c r="I11" s="23"/>
    </row>
    <row r="12" customFormat="false" ht="66" hidden="false" customHeight="true" outlineLevel="0" collapsed="false">
      <c r="A12" s="23"/>
      <c r="B12" s="23"/>
      <c r="C12" s="23"/>
      <c r="D12" s="23"/>
      <c r="E12" s="11"/>
      <c r="F12" s="25" t="str">
        <f aca="false">IF(I12="","",IF(IF(I12="","Add source ID",IF(SUMPRODUCT(--(SourceData[ID]=I12))&lt;&gt;1,"Unknown or duplicate source ID",IF(INDEX(SourceData[Input check],MATCH(I12,SourceData[ID],0))&lt;&gt;"","Complete source record","")))&lt;&gt;"","Check source",HYPERLINK(INDEX(SourceData[Source URL],MATCH(I12,SourceData[ID],0)),I12)))</f>
        <v/>
      </c>
      <c r="G12" s="23"/>
      <c r="H12" s="30" t="str">
        <f aca="false">IF(A12="",IF(SUMPRODUCT(--(B12:G12&lt;&gt;""))+COUNTA(I12)&gt;0,"Add question ID",""),IF(COUNTIF(QuestionData[ID],A12)&lt;&gt;1,"Duplicate question ID",IF(OR(B12="",C12=""),"Add question and next action",IF(AND(E12&lt;&gt;"Open",E12&lt;&gt;"Resolved"),"Choose status",IF(AND(E12="Resolved",OR(I12="",G12="")),"Add resolution evidence",IF(OR(E12="Resolved",I12&lt;&gt;""),IF(I12="","Add source ID",IF(SUMPRODUCT(--(SourceData[ID]=I12))&lt;&gt;1,"Unknown or duplicate source ID",IF(INDEX(SourceData[Input check],MATCH(I12,SourceData[ID],0))&lt;&gt;"","Complete source record",""))),""))))))</f>
        <v/>
      </c>
      <c r="I12" s="23"/>
    </row>
    <row r="13" customFormat="false" ht="66" hidden="false" customHeight="true" outlineLevel="0" collapsed="false">
      <c r="A13" s="23"/>
      <c r="B13" s="23"/>
      <c r="C13" s="23"/>
      <c r="D13" s="23"/>
      <c r="E13" s="11"/>
      <c r="F13" s="25" t="str">
        <f aca="false">IF(I13="","",IF(IF(I13="","Add source ID",IF(SUMPRODUCT(--(SourceData[ID]=I13))&lt;&gt;1,"Unknown or duplicate source ID",IF(INDEX(SourceData[Input check],MATCH(I13,SourceData[ID],0))&lt;&gt;"","Complete source record","")))&lt;&gt;"","Check source",HYPERLINK(INDEX(SourceData[Source URL],MATCH(I13,SourceData[ID],0)),I13)))</f>
        <v/>
      </c>
      <c r="G13" s="23"/>
      <c r="H13" s="30" t="str">
        <f aca="false">IF(A13="",IF(SUMPRODUCT(--(B13:G13&lt;&gt;""))+COUNTA(I13)&gt;0,"Add question ID",""),IF(COUNTIF(QuestionData[ID],A13)&lt;&gt;1,"Duplicate question ID",IF(OR(B13="",C13=""),"Add question and next action",IF(AND(E13&lt;&gt;"Open",E13&lt;&gt;"Resolved"),"Choose status",IF(AND(E13="Resolved",OR(I13="",G13="")),"Add resolution evidence",IF(OR(E13="Resolved",I13&lt;&gt;""),IF(I13="","Add source ID",IF(SUMPRODUCT(--(SourceData[ID]=I13))&lt;&gt;1,"Unknown or duplicate source ID",IF(INDEX(SourceData[Input check],MATCH(I13,SourceData[ID],0))&lt;&gt;"","Complete source record",""))),""))))))</f>
        <v/>
      </c>
      <c r="I13" s="23"/>
    </row>
    <row r="14" customFormat="false" ht="66" hidden="false" customHeight="true" outlineLevel="0" collapsed="false">
      <c r="A14" s="23"/>
      <c r="B14" s="23"/>
      <c r="C14" s="23"/>
      <c r="D14" s="23"/>
      <c r="E14" s="11"/>
      <c r="F14" s="25" t="str">
        <f aca="false">IF(I14="","",IF(IF(I14="","Add source ID",IF(SUMPRODUCT(--(SourceData[ID]=I14))&lt;&gt;1,"Unknown or duplicate source ID",IF(INDEX(SourceData[Input check],MATCH(I14,SourceData[ID],0))&lt;&gt;"","Complete source record","")))&lt;&gt;"","Check source",HYPERLINK(INDEX(SourceData[Source URL],MATCH(I14,SourceData[ID],0)),I14)))</f>
        <v/>
      </c>
      <c r="G14" s="23"/>
      <c r="H14" s="30" t="str">
        <f aca="false">IF(A14="",IF(SUMPRODUCT(--(B14:G14&lt;&gt;""))+COUNTA(I14)&gt;0,"Add question ID",""),IF(COUNTIF(QuestionData[ID],A14)&lt;&gt;1,"Duplicate question ID",IF(OR(B14="",C14=""),"Add question and next action",IF(AND(E14&lt;&gt;"Open",E14&lt;&gt;"Resolved"),"Choose status",IF(AND(E14="Resolved",OR(I14="",G14="")),"Add resolution evidence",IF(OR(E14="Resolved",I14&lt;&gt;""),IF(I14="","Add source ID",IF(SUMPRODUCT(--(SourceData[ID]=I14))&lt;&gt;1,"Unknown or duplicate source ID",IF(INDEX(SourceData[Input check],MATCH(I14,SourceData[ID],0))&lt;&gt;"","Complete source record",""))),""))))))</f>
        <v/>
      </c>
      <c r="I14" s="23"/>
    </row>
    <row r="15" customFormat="false" ht="24" hidden="false" customHeight="true" outlineLevel="0" collapsed="false">
      <c r="A15" s="14"/>
      <c r="B15" s="14"/>
      <c r="C15" s="14"/>
      <c r="D15" s="14"/>
      <c r="E15" s="14"/>
      <c r="F15" s="14"/>
      <c r="G15" s="14"/>
      <c r="H15" s="14"/>
      <c r="I15" s="14"/>
    </row>
    <row r="16" customFormat="false" ht="24" hidden="false" customHeight="true" outlineLevel="0" collapsed="false">
      <c r="A16" s="14"/>
      <c r="B16" s="14"/>
      <c r="C16" s="14"/>
      <c r="D16" s="14"/>
      <c r="E16" s="14"/>
      <c r="F16" s="14"/>
      <c r="G16" s="14"/>
      <c r="H16" s="14"/>
      <c r="I16" s="14"/>
    </row>
    <row r="17" customFormat="false" ht="24" hidden="false" customHeight="true" outlineLevel="0" collapsed="false">
      <c r="A17" s="37" t="s">
        <v>97</v>
      </c>
      <c r="B17" s="37"/>
      <c r="C17" s="37"/>
      <c r="D17" s="37"/>
      <c r="E17" s="37"/>
      <c r="F17" s="37"/>
      <c r="G17" s="14"/>
      <c r="H17" s="14"/>
      <c r="I17" s="14"/>
    </row>
    <row r="18" customFormat="false" ht="24" hidden="false" customHeight="true" outlineLevel="0" collapsed="false">
      <c r="A18" s="14"/>
      <c r="B18" s="14"/>
      <c r="C18" s="14"/>
      <c r="D18" s="14"/>
      <c r="E18" s="14"/>
      <c r="F18" s="14"/>
      <c r="G18" s="14"/>
      <c r="H18" s="14"/>
      <c r="I18" s="14"/>
    </row>
    <row r="19" customFormat="false" ht="36" hidden="false" customHeight="true" outlineLevel="0" collapsed="false">
      <c r="A19" s="22" t="s">
        <v>25</v>
      </c>
      <c r="B19" s="22" t="s">
        <v>29</v>
      </c>
      <c r="C19" s="22" t="s">
        <v>98</v>
      </c>
      <c r="D19" s="22" t="s">
        <v>99</v>
      </c>
      <c r="E19" s="22" t="s">
        <v>100</v>
      </c>
      <c r="F19" s="22" t="s">
        <v>101</v>
      </c>
      <c r="G19" s="22" t="s">
        <v>102</v>
      </c>
      <c r="H19" s="22" t="s">
        <v>31</v>
      </c>
      <c r="I19" s="22" t="s">
        <v>63</v>
      </c>
    </row>
    <row r="20" customFormat="false" ht="76" hidden="false" customHeight="true" outlineLevel="0" collapsed="false">
      <c r="A20" s="23"/>
      <c r="B20" s="23"/>
      <c r="C20" s="23"/>
      <c r="D20" s="29"/>
      <c r="E20" s="29"/>
      <c r="F20" s="38" t="str">
        <f aca="false">IF(A20="","",IF(I20&lt;&gt;"","Check source",HYPERLINK(H20,A20)))</f>
        <v/>
      </c>
      <c r="G20" s="23"/>
      <c r="H20" s="23"/>
      <c r="I20" s="26" t="str">
        <f aca="false">IF(A20="",IF(COUNTA(B20:E20,G20:H20)&gt;0,"Add source ID",""),IF(SUMPRODUCT(--(SourceData[ID]=A20))&lt;&gt;1,"Duplicate source ID",IF(OR(LEN(TRIM(B20))=0,NOT(ISNUMBER(E20)),E20&lt;=0,AND(LEFT(H20,8)&lt;&gt;"https://",LEFT(H20,7)&lt;&gt;"http://"),LEN(H20)&lt;10),"Add source name, retrieval date and URL","")))</f>
        <v/>
      </c>
    </row>
    <row r="21" customFormat="false" ht="76" hidden="false" customHeight="true" outlineLevel="0" collapsed="false">
      <c r="A21" s="23"/>
      <c r="B21" s="23"/>
      <c r="C21" s="23"/>
      <c r="D21" s="29"/>
      <c r="E21" s="29"/>
      <c r="F21" s="38" t="str">
        <f aca="false">IF(A21="","",IF(I21&lt;&gt;"","Check source",HYPERLINK(H21,A21)))</f>
        <v/>
      </c>
      <c r="G21" s="23"/>
      <c r="H21" s="23"/>
      <c r="I21" s="26" t="str">
        <f aca="false">IF(A21="",IF(COUNTA(B21:E21,G21:H21)&gt;0,"Add source ID",""),IF(SUMPRODUCT(--(SourceData[ID]=A21))&lt;&gt;1,"Duplicate source ID",IF(OR(LEN(TRIM(B21))=0,NOT(ISNUMBER(E21)),E21&lt;=0,AND(LEFT(H21,8)&lt;&gt;"https://",LEFT(H21,7)&lt;&gt;"http://"),LEN(H21)&lt;10),"Add source name, retrieval date and URL","")))</f>
        <v/>
      </c>
    </row>
    <row r="22" customFormat="false" ht="76" hidden="false" customHeight="true" outlineLevel="0" collapsed="false">
      <c r="A22" s="23"/>
      <c r="B22" s="23"/>
      <c r="C22" s="23"/>
      <c r="D22" s="29"/>
      <c r="E22" s="29"/>
      <c r="F22" s="38" t="str">
        <f aca="false">IF(A22="","",IF(I22&lt;&gt;"","Check source",HYPERLINK(H22,A22)))</f>
        <v/>
      </c>
      <c r="G22" s="23"/>
      <c r="H22" s="23"/>
      <c r="I22" s="26" t="str">
        <f aca="false">IF(A22="",IF(COUNTA(B22:E22,G22:H22)&gt;0,"Add source ID",""),IF(SUMPRODUCT(--(SourceData[ID]=A22))&lt;&gt;1,"Duplicate source ID",IF(OR(LEN(TRIM(B22))=0,NOT(ISNUMBER(E22)),E22&lt;=0,AND(LEFT(H22,8)&lt;&gt;"https://",LEFT(H22,7)&lt;&gt;"http://"),LEN(H22)&lt;10),"Add source name, retrieval date and URL","")))</f>
        <v/>
      </c>
    </row>
    <row r="23" customFormat="false" ht="76" hidden="false" customHeight="true" outlineLevel="0" collapsed="false">
      <c r="A23" s="23"/>
      <c r="B23" s="23"/>
      <c r="C23" s="23"/>
      <c r="D23" s="29"/>
      <c r="E23" s="29"/>
      <c r="F23" s="38" t="str">
        <f aca="false">IF(A23="","",IF(I23&lt;&gt;"","Check source",HYPERLINK(H23,A23)))</f>
        <v/>
      </c>
      <c r="G23" s="23"/>
      <c r="H23" s="23"/>
      <c r="I23" s="26" t="str">
        <f aca="false">IF(A23="",IF(COUNTA(B23:E23,G23:H23)&gt;0,"Add source ID",""),IF(SUMPRODUCT(--(SourceData[ID]=A23))&lt;&gt;1,"Duplicate source ID",IF(OR(LEN(TRIM(B23))=0,NOT(ISNUMBER(E23)),E23&lt;=0,AND(LEFT(H23,8)&lt;&gt;"https://",LEFT(H23,7)&lt;&gt;"http://"),LEN(H23)&lt;10),"Add source name, retrieval date and URL","")))</f>
        <v/>
      </c>
    </row>
    <row r="24" customFormat="false" ht="76" hidden="false" customHeight="true" outlineLevel="0" collapsed="false">
      <c r="A24" s="23"/>
      <c r="B24" s="23"/>
      <c r="C24" s="23"/>
      <c r="D24" s="29"/>
      <c r="E24" s="29"/>
      <c r="F24" s="38" t="str">
        <f aca="false">IF(A24="","",IF(I24&lt;&gt;"","Check source",HYPERLINK(H24,A24)))</f>
        <v/>
      </c>
      <c r="G24" s="23"/>
      <c r="H24" s="23"/>
      <c r="I24" s="26" t="str">
        <f aca="false">IF(A24="",IF(COUNTA(B24:E24,G24:H24)&gt;0,"Add source ID",""),IF(SUMPRODUCT(--(SourceData[ID]=A24))&lt;&gt;1,"Duplicate source ID",IF(OR(LEN(TRIM(B24))=0,NOT(ISNUMBER(E24)),E24&lt;=0,AND(LEFT(H24,8)&lt;&gt;"https://",LEFT(H24,7)&lt;&gt;"http://"),LEN(H24)&lt;10),"Add source name, retrieval date and URL","")))</f>
        <v/>
      </c>
    </row>
    <row r="25" customFormat="false" ht="76" hidden="false" customHeight="true" outlineLevel="0" collapsed="false">
      <c r="A25" s="23"/>
      <c r="B25" s="23"/>
      <c r="C25" s="23"/>
      <c r="D25" s="29"/>
      <c r="E25" s="29"/>
      <c r="F25" s="38" t="str">
        <f aca="false">IF(A25="","",IF(I25&lt;&gt;"","Check source",HYPERLINK(H25,A25)))</f>
        <v/>
      </c>
      <c r="G25" s="23"/>
      <c r="H25" s="23"/>
      <c r="I25" s="26" t="str">
        <f aca="false">IF(A25="",IF(COUNTA(B25:E25,G25:H25)&gt;0,"Add source ID",""),IF(SUMPRODUCT(--(SourceData[ID]=A25))&lt;&gt;1,"Duplicate source ID",IF(OR(LEN(TRIM(B25))=0,NOT(ISNUMBER(E25)),E25&lt;=0,AND(LEFT(H25,8)&lt;&gt;"https://",LEFT(H25,7)&lt;&gt;"http://"),LEN(H25)&lt;10),"Add source name, retrieval date and URL","")))</f>
        <v/>
      </c>
    </row>
    <row r="26" customFormat="false" ht="76" hidden="false" customHeight="true" outlineLevel="0" collapsed="false">
      <c r="A26" s="23"/>
      <c r="B26" s="23"/>
      <c r="C26" s="23"/>
      <c r="D26" s="29"/>
      <c r="E26" s="29"/>
      <c r="F26" s="38" t="str">
        <f aca="false">IF(A26="","",IF(I26&lt;&gt;"","Check source",HYPERLINK(H26,A26)))</f>
        <v/>
      </c>
      <c r="G26" s="23"/>
      <c r="H26" s="23"/>
      <c r="I26" s="26" t="str">
        <f aca="false">IF(A26="",IF(COUNTA(B26:E26,G26:H26)&gt;0,"Add source ID",""),IF(SUMPRODUCT(--(SourceData[ID]=A26))&lt;&gt;1,"Duplicate source ID",IF(OR(LEN(TRIM(B26))=0,NOT(ISNUMBER(E26)),E26&lt;=0,AND(LEFT(H26,8)&lt;&gt;"https://",LEFT(H26,7)&lt;&gt;"http://"),LEN(H26)&lt;10),"Add source name, retrieval date and URL","")))</f>
        <v/>
      </c>
    </row>
  </sheetData>
  <mergeCells count="3">
    <mergeCell ref="A2:F2"/>
    <mergeCell ref="A4:F4"/>
    <mergeCell ref="A17:F17"/>
  </mergeCells>
  <conditionalFormatting sqref="H8:H14">
    <cfRule type="expression" priority="2" aboveAverage="0" equalAverage="0" bottom="0" percent="0" rank="0" text="" dxfId="22">
      <formula>LEN(H8)&gt;0</formula>
    </cfRule>
  </conditionalFormatting>
  <conditionalFormatting sqref="I20:I26">
    <cfRule type="expression" priority="3" aboveAverage="0" equalAverage="0" bottom="0" percent="0" rank="0" text="" dxfId="23">
      <formula>LEN(I20)&gt;0</formula>
    </cfRule>
  </conditionalFormatting>
  <conditionalFormatting sqref="F8:F14">
    <cfRule type="containsText" priority="4" operator="containsText" aboveAverage="0" equalAverage="0" bottom="0" percent="0" rank="0" text="Check source" dxfId="24">
      <formula>NOT(ISERROR(SEARCH("Check source",F8)))</formula>
    </cfRule>
  </conditionalFormatting>
  <conditionalFormatting sqref="F20:F26">
    <cfRule type="containsText" priority="5" operator="containsText" aboveAverage="0" equalAverage="0" bottom="0" percent="0" rank="0" text="Check source" dxfId="25">
      <formula>NOT(ISERROR(SEARCH("Check source",F20)))</formula>
    </cfRule>
  </conditionalFormatting>
  <dataValidations count="1">
    <dataValidation allowBlank="false" errorStyle="stop" operator="between" showDropDown="false" showErrorMessage="false" showInputMessage="false" sqref="E8:E14" type="list">
      <formula1>"Open,Resolved"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1"/>
  <headerFooter>
    <oddHeader>&amp;L&amp;"Arial,Bold"&amp;11Research Log</oddHeader>
    <oddFooter>&amp;LResearch Log&amp;RPage &amp;P of &amp;N</oddFooter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