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ables/table2.xml" ContentType="application/vnd.openxmlformats-officedocument.spreadsheetml.table+xml"/>
  <Override PartName="/xl/tables/table1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ns2="http://schemas.libreoffice.org/" xmlns:r="http://schemas.openxmlformats.org/officeDocument/2006/relationships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shboard" sheetId="1" state="visible" r:id="rId3"/>
    <sheet name="Pipeline" sheetId="2" state="visible" r:id="rId4"/>
    <sheet name="Actions" sheetId="3" state="visible" r:id="rId5"/>
    <sheet name="Source Data" sheetId="4" state="visible" r:id="rId6"/>
  </sheets>
  <definedNames>
    <definedName name="StageNames">StageMap[Stage]</definedName>
    <definedName name="StatusNames">WorkStatuses[Status]</definedName>
    <definedName name="_xlnm.Print_Area" localSheetId="0">'Dashboard'!$A$1:$X$37</definedName>
    <definedName name="_xlnm.Print_Area" localSheetId="1">'Pipeline'!$A$7:$E$11,'Pipeline'!$F$7:$I$11</definedName>
    <definedName name="_xlnm.Print_Titles" localSheetId="1">'Pipeline'!$7:$7,'Pipeline'!$A:$B</definedName>
    <definedName name="_xlnm.Print_Area" localSheetId="2">'Actions'!$A$7:$J$11</definedName>
    <definedName name="_xlnm.Print_Titles" localSheetId="2">'Actions'!$7:$7,'Actions'!$A:$C</definedName>
    <definedName name="_xlnm.Print_Area" localSheetId="3">'Source Data'!$A$7:$X$11</definedName>
    <definedName name="_xlnm.Print_Titles" localSheetId="3">'Source Data'!$7:$7,'Source Data'!$A:$B</definedName>
  </definedNames>
  <calcPr iterateCount="100" refMode="A1" iterate="false" iterateDelta="0.001"/>
  <extLst>
    <ext uri="{7626C862-2A13-11E5-B345-FEFF819CDC9F}">
      <ns2:extCalcPr stringRefSyntax="CalcA1ExcelA1"/>
    </ext>
  </extLst>
</workbook>
</file>

<file path=xl/sharedStrings.xml><?xml version="1.0" encoding="utf-8"?>
<sst xmlns="http://schemas.openxmlformats.org/spreadsheetml/2006/main" count="403" uniqueCount="123">
  <si>
    <t xml:space="preserve">Active pursuits</t>
  </si>
  <si>
    <t xml:space="preserve">Opportunity pipeline</t>
  </si>
  <si>
    <t xml:space="preserve">Logo here</t>
  </si>
  <si>
    <t xml:space="preserve">Estimates available</t>
  </si>
  <si>
    <t xml:space="preserve">As of</t>
  </si>
  <si>
    <t xml:space="preserve">Input issues</t>
  </si>
  <si>
    <t xml:space="preserve">Estimated value</t>
  </si>
  <si>
    <t xml:space="preserve">Probabilities available</t>
  </si>
  <si>
    <t xml:space="preserve">Probable value</t>
  </si>
  <si>
    <t xml:space="preserve">Responses due in 30 days</t>
  </si>
  <si>
    <t xml:space="preserve">Overdue actions</t>
  </si>
  <si>
    <t xml:space="preserve">Responses in 30 days</t>
  </si>
  <si>
    <t xml:space="preserve">Open actions</t>
  </si>
  <si>
    <t xml:space="preserve">Pursuits to review</t>
  </si>
  <si>
    <t xml:space="preserve">Unresolved pursuit stages</t>
  </si>
  <si>
    <t xml:space="preserve">Pipeline by stage</t>
  </si>
  <si>
    <t xml:space="preserve">Upcoming responses</t>
  </si>
  <si>
    <t xml:space="preserve">Invalid status settings</t>
  </si>
  <si>
    <t xml:space="preserve">Stage</t>
  </si>
  <si>
    <t xml:space="preserve">Pursuits</t>
  </si>
  <si>
    <t xml:space="preserve">Actions needing attention</t>
  </si>
  <si>
    <t xml:space="preserve">Pursuits needing review</t>
  </si>
  <si>
    <t xml:space="preserve">Pursuit</t>
  </si>
  <si>
    <t xml:space="preserve">Action</t>
  </si>
  <si>
    <t xml:space="preserve">Due</t>
  </si>
  <si>
    <t xml:space="preserve">Status</t>
  </si>
  <si>
    <t xml:space="preserve">Add company details, an As of date, pursuits and actions. Blue cells accept inputs.</t>
  </si>
  <si>
    <t xml:space="preserve">Pipeline</t>
  </si>
  <si>
    <t xml:space="preserve">Actions</t>
  </si>
  <si>
    <t xml:space="preserve">Source Data</t>
  </si>
  <si>
    <t xml:space="preserve">Settings</t>
  </si>
  <si>
    <t xml:space="preserve">Blue inputs; gray calculations</t>
  </si>
  <si>
    <t xml:space="preserve">Value: total company contract scope (USD)</t>
  </si>
  <si>
    <t xml:space="preserve">Pursuit ID</t>
  </si>
  <si>
    <t xml:space="preserve">Opportunity</t>
  </si>
  <si>
    <t xml:space="preserve">Buyer</t>
  </si>
  <si>
    <t xml:space="preserve">Response due</t>
  </si>
  <si>
    <t xml:space="preserve">Next action</t>
  </si>
  <si>
    <t xml:space="preserve">Action due</t>
  </si>
  <si>
    <t xml:space="preserve">Needs attention</t>
  </si>
  <si>
    <t xml:space="preserve">Response type</t>
  </si>
  <si>
    <t xml:space="preserve">Description</t>
  </si>
  <si>
    <t xml:space="preserve">Agency office</t>
  </si>
  <si>
    <t xml:space="preserve">Solicitation</t>
  </si>
  <si>
    <t xml:space="preserve">Acquisition route</t>
  </si>
  <si>
    <t xml:space="preserve">Location</t>
  </si>
  <si>
    <t xml:space="preserve">Release period</t>
  </si>
  <si>
    <t xml:space="preserve">Award period</t>
  </si>
  <si>
    <t xml:space="preserve">Duration months</t>
  </si>
  <si>
    <t xml:space="preserve">Last reviewed</t>
  </si>
  <si>
    <t xml:space="preserve">Value basis</t>
  </si>
  <si>
    <t xml:space="preserve">Value period</t>
  </si>
  <si>
    <t xml:space="preserve">Probability of win</t>
  </si>
  <si>
    <t xml:space="preserve">Notes</t>
  </si>
  <si>
    <t xml:space="preserve">Owner</t>
  </si>
  <si>
    <t xml:space="preserve">GovTribe link</t>
  </si>
  <si>
    <t xml:space="preserve">Related file</t>
  </si>
  <si>
    <t xml:space="preserve">Source ID</t>
  </si>
  <si>
    <t xml:space="preserve">Reviewed source version</t>
  </si>
  <si>
    <t xml:space="preserve">Source row</t>
  </si>
  <si>
    <t xml:space="preserve">Active</t>
  </si>
  <si>
    <t xml:space="preserve">ID check</t>
  </si>
  <si>
    <t xml:space="preserve">Value check</t>
  </si>
  <si>
    <t xml:space="preserve">Included value</t>
  </si>
  <si>
    <t xml:space="preserve">Deadline order</t>
  </si>
  <si>
    <t xml:space="preserve">Next action ID</t>
  </si>
  <si>
    <t xml:space="preserve">Review order</t>
  </si>
  <si>
    <t xml:space="preserve">Undated actions</t>
  </si>
  <si>
    <t xml:space="preserve">Source change</t>
  </si>
  <si>
    <t xml:space="preserve">Review age</t>
  </si>
  <si>
    <t xml:space="preserve">Input check</t>
  </si>
  <si>
    <t xml:space="preserve">Response clock</t>
  </si>
  <si>
    <t xml:space="preserve">Review candidate</t>
  </si>
  <si>
    <t xml:space="preserve">Identity valid</t>
  </si>
  <si>
    <t xml:space="preserve">Action ID</t>
  </si>
  <si>
    <t xml:space="preserve">Due date</t>
  </si>
  <si>
    <t xml:space="preserve">Result or blocker</t>
  </si>
  <si>
    <t xml:space="preserve">Completed date</t>
  </si>
  <si>
    <t xml:space="preserve">Active pursuit</t>
  </si>
  <si>
    <t xml:space="preserve">Open action</t>
  </si>
  <si>
    <t xml:space="preserve">Sort date</t>
  </si>
  <si>
    <t xml:space="preserve">Dashboard order</t>
  </si>
  <si>
    <t xml:space="preserve">Pursuit order</t>
  </si>
  <si>
    <t xml:space="preserve">Pursuit action key</t>
  </si>
  <si>
    <t xml:space="preserve">Published inputs and source evidence</t>
  </si>
  <si>
    <t xml:space="preserve">Coverage</t>
  </si>
  <si>
    <t xml:space="preserve">Original title</t>
  </si>
  <si>
    <t xml:space="preserve">Record type</t>
  </si>
  <si>
    <t xml:space="preserve">Source status</t>
  </si>
  <si>
    <t xml:space="preserve">Response date</t>
  </si>
  <si>
    <t xml:space="preserve">Response time</t>
  </si>
  <si>
    <t xml:space="preserve">Time zone</t>
  </si>
  <si>
    <t xml:space="preserve">Raw deadline</t>
  </si>
  <si>
    <t xml:space="preserve">Raw award date</t>
  </si>
  <si>
    <t xml:space="preserve">Govt value low</t>
  </si>
  <si>
    <t xml:space="preserve">Govt value high</t>
  </si>
  <si>
    <t xml:space="preserve">Source updated</t>
  </si>
  <si>
    <t xml:space="preserve">Retrieved</t>
  </si>
  <si>
    <t xml:space="preserve">GovTribe URL</t>
  </si>
  <si>
    <t xml:space="preserve">Primary URL</t>
  </si>
  <si>
    <t xml:space="preserve">Evidence</t>
  </si>
  <si>
    <t xml:space="preserve">Source issue</t>
  </si>
  <si>
    <t xml:space="preserve">GovTribe ID</t>
  </si>
  <si>
    <t xml:space="preserve">Open source</t>
  </si>
  <si>
    <t xml:space="preserve">Review interval (days)</t>
  </si>
  <si>
    <t xml:space="preserve">Active: 1 includes the stage in open-pursuit totals. Use 0 for Won, Lost and Abandoned.</t>
  </si>
  <si>
    <t xml:space="preserve">Identified</t>
  </si>
  <si>
    <t xml:space="preserve">Qualifying</t>
  </si>
  <si>
    <t xml:space="preserve">Pursuing</t>
  </si>
  <si>
    <t xml:space="preserve">Preparing response</t>
  </si>
  <si>
    <t xml:space="preserve">Submitted</t>
  </si>
  <si>
    <t xml:space="preserve">Won</t>
  </si>
  <si>
    <t xml:space="preserve">Lost</t>
  </si>
  <si>
    <t xml:space="preserve">Abandoned</t>
  </si>
  <si>
    <t xml:space="preserve">Complete</t>
  </si>
  <si>
    <t xml:space="preserve">Complete: 1 closes the action. Use 0 for work still open. Labels can be renamed.</t>
  </si>
  <si>
    <t xml:space="preserve">Not started</t>
  </si>
  <si>
    <t xml:space="preserve">In progress</t>
  </si>
  <si>
    <t xml:space="preserve">In review</t>
  </si>
  <si>
    <t xml:space="preserve">Update the As of date on Dashboard before reviewing. The 30-day window includes that date.</t>
  </si>
  <si>
    <t xml:space="preserve">Refresh source rows by Source ID. Keep pursuit IDs, stages, company estimates and Actions intact. Source changed stays visible until reviewed.</t>
  </si>
  <si>
    <t xml:space="preserve">After reviewing a source change, update Last reviewed and copy Source updated into Reviewed source version. Add rows inside the Excel table.</t>
  </si>
  <si>
    <t xml:space="preserve">After adding rows, expand the print area to the last populated row before exporting PDF. Keep repeated headers and IDs. Input validation is prepared through row 5007.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</si>
</sst>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mmm\ d&quot;, &quot;yyyy"/>
    <numFmt numFmtId="166" formatCode="\$#,##0"/>
    <numFmt numFmtId="167" formatCode="\$0.0,,\m"/>
    <numFmt numFmtId="168" formatCode="mmm\ d"/>
    <numFmt numFmtId="169" formatCode="0"/>
    <numFmt numFmtId="170" formatCode="mm/dd/yy"/>
    <numFmt numFmtId="171" formatCode="0%"/>
    <numFmt numFmtId="172" formatCode="h:mm\ AM/PM"/>
  </numFmts>
  <fonts count="2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sz val="11"/>
      <color rgb="FF27364B"/>
      <name val="Arial"/>
      <family val="0"/>
      <charset val="1"/>
    </font>
    <font>
      <b val="true"/>
      <sz val="22"/>
      <color rgb="FF1B283F"/>
      <name val="Arial"/>
      <family val="0"/>
      <charset val="1"/>
    </font>
    <font>
      <sz val="10"/>
      <color rgb="FF69788A"/>
      <name val="Arial"/>
      <family val="0"/>
      <charset val="1"/>
    </font>
    <font>
      <sz val="12"/>
      <color rgb="FF27364B"/>
      <name val="Arial"/>
      <family val="0"/>
      <charset val="1"/>
    </font>
    <font>
      <sz val="11"/>
      <color rgb="FF69788A"/>
      <name val="Arial"/>
      <family val="0"/>
      <charset val="1"/>
    </font>
    <font>
      <sz val="10"/>
      <color rgb="FFA6403D"/>
      <name val="Arial"/>
      <family val="0"/>
      <charset val="1"/>
    </font>
    <font>
      <b val="true"/>
      <sz val="23"/>
      <color rgb="FF1B283F"/>
      <name val="Arial"/>
      <family val="0"/>
      <charset val="1"/>
    </font>
    <font>
      <sz val="9"/>
      <color rgb="FF69788A"/>
      <name val="Arial"/>
      <family val="0"/>
      <charset val="1"/>
    </font>
    <font>
      <b val="true"/>
      <sz val="14"/>
      <color rgb="FF1B283F"/>
      <name val="Arial"/>
      <family val="0"/>
      <charset val="1"/>
    </font>
    <font>
      <b val="true"/>
      <sz val="11"/>
      <color rgb="FF27364B"/>
      <name val="Arial"/>
      <family val="0"/>
      <charset val="1"/>
    </font>
    <font>
      <b val="true"/>
      <sz val="11"/>
      <color rgb="FF1B283F"/>
      <name val="Arial"/>
      <family val="0"/>
      <charset val="1"/>
    </font>
    <font>
      <b val="true"/>
      <sz val="10"/>
      <color rgb="FF69788A"/>
      <name val="Arial"/>
      <family val="0"/>
      <charset val="1"/>
    </font>
    <font>
      <sz val="10"/>
      <color rgb="FF27364B"/>
      <name val="Arial"/>
      <family val="0"/>
      <charset val="1"/>
    </font>
    <font>
      <b val="true"/>
      <sz val="10"/>
      <color rgb="FF2A91AC"/>
      <name val="Arial"/>
      <family val="0"/>
      <charset val="1"/>
    </font>
    <font>
      <sz val="10"/>
      <color rgb="FF000000"/>
      <name val="Calibri"/>
      <family val="2"/>
    </font>
    <font>
      <sz val="7.5"/>
      <color rgb="FF000000"/>
      <name val="Arial"/>
      <family val="2"/>
    </font>
    <font>
      <b val="true"/>
      <sz val="17"/>
      <color rgb="FF1B283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2A91AC"/>
      <name val="Arial"/>
      <family val="0"/>
      <charset val="1"/>
    </font>
    <font>
      <sz val="11"/>
      <name val="Arial"/>
      <family val="0"/>
      <charset val="1"/>
    </font>
    <font>
      <sz val="11"/>
      <color rgb="FF236654"/>
      <name val="Arial"/>
      <family val="0"/>
      <charset val="1"/>
    </font>
    <font>
      <b val="true"/>
      <sz val="16"/>
      <color rgb="FF1B283F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6F8FA"/>
      </patternFill>
    </fill>
    <fill>
      <patternFill patternType="solid">
        <fgColor rgb="FFF4F7FA"/>
        <bgColor rgb="FFF4F7F8"/>
      </patternFill>
    </fill>
    <fill>
      <patternFill patternType="solid">
        <fgColor rgb="FFEEF5FC"/>
        <bgColor rgb="FFEAF3FB"/>
      </patternFill>
    </fill>
    <fill>
      <patternFill patternType="solid">
        <fgColor rgb="FFD8EDF3"/>
        <bgColor rgb="FFDDF1E7"/>
      </patternFill>
    </fill>
    <fill>
      <patternFill patternType="solid">
        <fgColor rgb="FFDDF1E7"/>
        <bgColor rgb="FFD8EDF3"/>
      </patternFill>
    </fill>
    <fill>
      <patternFill patternType="solid">
        <fgColor rgb="FFEAE1F5"/>
        <bgColor rgb="FFF0EAF8"/>
      </patternFill>
    </fill>
    <fill>
      <patternFill patternType="solid">
        <fgColor rgb="FFF8E3D8"/>
        <bgColor rgb="FFFCEBE8"/>
      </patternFill>
    </fill>
    <fill>
      <patternFill patternType="solid">
        <fgColor rgb="FFFFF8EC"/>
        <bgColor rgb="FFFFF3EC"/>
      </patternFill>
    </fill>
    <fill>
      <patternFill patternType="solid">
        <fgColor rgb="FFF6F8FA"/>
        <bgColor rgb="FFF4F7FA"/>
      </patternFill>
    </fill>
    <fill>
      <patternFill patternType="solid">
        <fgColor rgb="FF1B283F"/>
        <bgColor rgb="FF27364B"/>
      </patternFill>
    </fill>
    <fill>
      <patternFill patternType="solid">
        <fgColor rgb="FFF4F7F8"/>
        <bgColor rgb="FFF4F7FA"/>
      </patternFill>
    </fill>
    <fill>
      <patternFill patternType="solid">
        <fgColor rgb="FFF1F7F4"/>
        <bgColor rgb="FFF4F7F8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E4EB"/>
      </left>
      <right style="thin">
        <color rgb="FFDDE4EB"/>
      </right>
      <top style="thin">
        <color rgb="FFDDE4EB"/>
      </top>
      <bottom/>
      <diagonal/>
    </border>
    <border diagonalUp="false" diagonalDown="false">
      <left style="thin">
        <color rgb="FFDDE4EB"/>
      </left>
      <right style="thin">
        <color rgb="FFDDE4EB"/>
      </right>
      <top/>
      <bottom/>
      <diagonal/>
    </border>
    <border diagonalUp="false" diagonalDown="false">
      <left style="thin">
        <color rgb="FFDDE4EB"/>
      </left>
      <right style="thin">
        <color rgb="FFDDE4EB"/>
      </right>
      <top/>
      <bottom style="thin">
        <color rgb="FFDDE4EB"/>
      </bottom>
      <diagonal/>
    </border>
    <border diagonalUp="false" diagonalDown="false">
      <left/>
      <right/>
      <top/>
      <bottom style="thin">
        <color rgb="FFDDE4EB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0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2" borderId="2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3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2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9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8" fontId="17" fillId="1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8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70" fontId="5" fillId="0" borderId="0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4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11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1" fontId="5" fillId="4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3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4" fillId="1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0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72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25" fillId="1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5" fillId="12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6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22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86"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A6403D"/>
      </font>
      <fill>
        <patternFill>
          <bgColor rgb="FFFFF3EC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A6403D"/>
      </font>
      <fill>
        <patternFill>
          <bgColor rgb="FFFCEBE8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ont>
        <color rgb="FF69788A"/>
      </font>
      <fill>
        <patternFill>
          <bgColor rgb="FFFFFFFF"/>
        </patternFill>
      </fill>
    </dxf>
    <dxf>
      <fill>
        <patternFill patternType="solid">
          <fgColor rgb="FF1B283F"/>
          <bgColor rgb="FF000000"/>
        </patternFill>
      </fill>
    </dxf>
    <dxf>
      <fill>
        <patternFill patternType="solid">
          <fgColor rgb="FFEEF5FC"/>
          <bgColor rgb="FF000000"/>
        </patternFill>
      </fill>
    </dxf>
    <dxf>
      <fill>
        <patternFill patternType="solid">
          <fgColor rgb="FF27364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4F7F8"/>
          <bgColor rgb="FF000000"/>
        </patternFill>
      </fill>
    </dxf>
    <dxf>
      <fill>
        <patternFill patternType="solid">
          <fgColor rgb="FF2A91AC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0DC"/>
        </patternFill>
      </fill>
    </dxf>
    <dxf>
      <fill>
        <patternFill patternType="solid">
          <bgColor rgb="FF000000"/>
        </patternFill>
      </fill>
    </dxf>
    <dxf>
      <font>
        <color rgb="FF69788A"/>
      </font>
      <fill>
        <patternFill>
          <bgColor rgb="FFF0F3F6"/>
        </patternFill>
      </fill>
    </dxf>
    <dxf>
      <font>
        <color rgb="FF32658D"/>
      </font>
      <fill>
        <patternFill>
          <bgColor rgb="FFEAF3FB"/>
        </patternFill>
      </fill>
    </dxf>
    <dxf>
      <font>
        <color rgb="FF70518A"/>
      </font>
      <fill>
        <patternFill>
          <bgColor rgb="FFF0EAF8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327452"/>
      </font>
      <fill>
        <patternFill>
          <bgColor rgb="FFE9F5EE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A6403D"/>
      </font>
      <fill>
        <patternFill>
          <bgColor rgb="FFFCEBE8"/>
        </patternFill>
      </fill>
    </dxf>
    <dxf>
      <fill>
        <patternFill patternType="solid">
          <fgColor rgb="FFF1F7F4"/>
          <bgColor rgb="FF000000"/>
        </patternFill>
      </fill>
    </dxf>
    <dxf>
      <fill>
        <patternFill patternType="solid">
          <fgColor rgb="FF236654"/>
          <bgColor rgb="FF000000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985F14"/>
      </font>
      <fill>
        <patternFill>
          <bgColor rgb="FFFFF1DC"/>
        </patternFill>
      </fill>
    </dxf>
    <dxf>
      <font>
        <color rgb="FF000000"/>
      </font>
      <border diagonalUp="false" diagonalDown="false">
        <left/>
        <right/>
        <top style="thin">
          <color theme="1"/>
        </top>
        <bottom style="thin">
          <color theme="1"/>
        </bottom>
        <diagonal/>
      </border>
    </dxf>
    <dxf>
      <fill>
        <patternFill>
          <bgColor theme="0" tint="-0.15"/>
        </patternFill>
      </fill>
    </dxf>
    <dxf>
      <fill>
        <patternFill>
          <bgColor theme="0" tint="-0.15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000000"/>
      </font>
      <border diagonalUp="false" diagonalDown="false">
        <left/>
        <right/>
        <top/>
        <bottom style="thin">
          <color theme="1"/>
        </bottom>
        <diagonal/>
      </border>
    </dxf>
    <dxf>
      <font>
        <b val="1"/>
        <color rgb="FF000000"/>
      </font>
      <border diagonalUp="false" diagonalDown="false">
        <left/>
        <right/>
        <top style="thin">
          <color theme="1"/>
        </top>
        <bottom/>
        <diagonal/>
      </border>
    </dxf>
    <dxf>
      <font>
        <color rgb="FF000000"/>
      </font>
      <border diagonalUp="false" diagonalDown="false"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 diagonalUp="false" diagonalDown="false">
        <left/>
        <right/>
        <top style="double">
          <color theme="4"/>
        </top>
        <bottom/>
        <diagonal/>
      </border>
    </dxf>
  </dxfs>
  <tableStyles count="2">
    <tableStyle count="7" name="TableStyleLight1">
      <tableStyleElement dxfId="72" type="wholeTable"/>
      <tableStyleElement dxfId="73" type="firstColumnStripe"/>
      <tableStyleElement dxfId="74" type="firstRowStripe"/>
      <tableStyleElement dxfId="75" type="lastColumn"/>
      <tableStyleElement dxfId="76" type="firstColumn"/>
      <tableStyleElement dxfId="77" type="headerRow"/>
      <tableStyleElement dxfId="78" type="totalRow"/>
    </tableStyle>
    <tableStyle count="7" name="TableStyleMedium2">
      <tableStyleElement dxfId="79" type="wholeTable"/>
      <tableStyleElement dxfId="80" type="firstColumnStripe"/>
      <tableStyleElement dxfId="81" type="firstRowStripe"/>
      <tableStyleElement dxfId="82" type="lastColumn"/>
      <tableStyleElement dxfId="83" type="firstColumn"/>
      <tableStyleElement dxfId="84" type="headerRow"/>
      <tableStyleElement dxfId="85" type="totalRow"/>
    </tableStyle>
  </tableStyles>
  <colors>
    <indexedColors>
      <rgbColor rgb="FF000000"/>
      <rgbColor rgb="FFFFFFFF"/>
      <rgbColor rgb="FFFF0000"/>
      <rgbColor rgb="FF00FF00"/>
      <rgbColor rgb="FF0000FF"/>
      <rgbColor rgb="FFFFF0DC"/>
      <rgbColor rgb="FFFF00FF"/>
      <rgbColor rgb="FFF4F7FA"/>
      <rgbColor rgb="FF800000"/>
      <rgbColor rgb="FF327452"/>
      <rgbColor rgb="FF000080"/>
      <rgbColor rgb="FF985F14"/>
      <rgbColor rgb="FF800080"/>
      <rgbColor rgb="FF156082"/>
      <rgbColor rgb="FFDDE4EB"/>
      <rgbColor rgb="FF8B8B8B"/>
      <rgbColor rgb="FFF0EAF8"/>
      <rgbColor rgb="FFA6403D"/>
      <rgbColor rgb="FFFFF8EC"/>
      <rgbColor rgb="FFD8EDF3"/>
      <rgbColor rgb="FF660066"/>
      <rgbColor rgb="FFEEF5FC"/>
      <rgbColor rgb="FF32658D"/>
      <rgbColor rgb="FFD9D9D9"/>
      <rgbColor rgb="FF000080"/>
      <rgbColor rgb="FFFF00FF"/>
      <rgbColor rgb="FFFFF3EC"/>
      <rgbColor rgb="FFF6F8FA"/>
      <rgbColor rgb="FF800080"/>
      <rgbColor rgb="FF800000"/>
      <rgbColor rgb="FF236654"/>
      <rgbColor rgb="FF0000FF"/>
      <rgbColor rgb="FF00CCFF"/>
      <rgbColor rgb="FFDDF1E7"/>
      <rgbColor rgb="FFE9F5EE"/>
      <rgbColor rgb="FFFFF1DC"/>
      <rgbColor rgb="FF69CBDF"/>
      <rgbColor rgb="FFFCEBE8"/>
      <rgbColor rgb="FFEAE1F5"/>
      <rgbColor rgb="FFF8E3D8"/>
      <rgbColor rgb="FF3366FF"/>
      <rgbColor rgb="FF46B1E1"/>
      <rgbColor rgb="FFF1F7F4"/>
      <rgbColor rgb="FFF0F3F6"/>
      <rgbColor rgb="FFF4F7F8"/>
      <rgbColor rgb="FFFF6600"/>
      <rgbColor rgb="FF69788A"/>
      <rgbColor rgb="FFEAF3FB"/>
      <rgbColor rgb="FF1B283F"/>
      <rgbColor rgb="FF2A91AC"/>
      <rgbColor rgb="FF003300"/>
      <rgbColor rgb="FF333300"/>
      <rgbColor rgb="FF993300"/>
      <rgbColor rgb="FF70518A"/>
      <rgbColor rgb="FF333399"/>
      <rgbColor rgb="FF27364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_rels/chart1.xml.rels><?xml version="1.0" encoding="UTF-8"?>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
</Relationships>
</file>

<file path=xl/charts/chart1.xml><?xml version="1.0" encoding="utf-8"?>
<ns0:chartSpace xmlns:ns0="http://schemas.openxmlformats.org/drawingml/2006/chart" xmlns:ns1="http://schemas.openxmlformats.org/drawingml/2006/main" xmlns:ns2="http://schemas.microsoft.com/office/drawing/2012/chart">
  <ns0:lang val="en-US"/>
  <ns0:roundedCorners val="0"/>
  <ns0:chart>
    <ns0:autoTitleDeleted val="1"/>
    <ns0:plotArea>
      <ns0:barChart>
        <ns0:barDir val="col"/>
        <ns0:grouping val="clustered"/>
        <ns0:varyColors val="0"/>
        <ns0:ser>
          <ns0:idx val="0"/>
          <ns0:order val="0"/>
          <ns0:tx>
            <ns0:strRef>
              <ns0:f>"Pursuits"</ns0:f>
              <ns0:strCache>
                <ns0:ptCount val="1"/>
                <ns0:pt idx="0">
                  <ns0:v>Pursuits</ns0:v>
                </ns0:pt>
              </ns0:strCache>
            </ns0:strRef>
          </ns0:tx>
          <ns0:spPr>
            <ns1:solidFill>
              <ns1:srgbClr val="69CBDF"/>
            </ns1:solidFill>
            <ns1:ln w="0">
              <ns1:noFill/>
            </ns1:ln>
          </ns0:spPr>
          <ns0:invertIfNegative val="0"/>
          <ns0:dLbls>
            <ns0:numFmt formatCode="0" sourceLinked="1"/>
            <ns0:txPr>
              <ns1:bodyPr wrap="square"/>
              <ns1:lstStyle/>
              <ns1:p>
                <ns1:pPr>
                  <ns1:defRPr sz="1000" b="0" u="none" strike="noStrike">
                    <ns1:solidFill>
                      <ns1:srgbClr val="000000"/>
                    </ns1:solidFill>
                    <ns1:uFillTx/>
                    <ns1:latin typeface="Calibri"/>
                    <ns1:ea typeface="Calibri"/>
                  </ns1:defRPr>
                </ns1:pPr>
              </ns1:p>
            </ns0:txPr>
            <ns0:dLblPos val="outEnd"/>
            <ns0:showLegendKey val="0"/>
            <ns0:showVal val="1"/>
            <ns0:showCatName val="0"/>
            <ns0:showSerName val="0"/>
            <ns0:showPercent val="0"/>
            <ns0:separator>; </ns0:separator>
            <ns0:extLst>
              <ns0:ext uri="{CE6537A1-D6FC-4f65-9D91-7224C49458BB}">
                <ns2:showLeaderLines val="0"/>
              </ns0:ext>
            </ns0:extLst>
          </ns0:dLbls>
          <ns0:cat>
            <ns0:strRef>
              <ns0:f>Dashboard!$AA$15:$AA$22</ns0:f>
              <ns0:strCache>
                <ns0:ptCount val="8"/>
                <ns0:pt idx="0">
                  <ns0:v>Identified</ns0:v>
                </ns0:pt>
                <ns0:pt idx="1">
                  <ns0:v>Qualifying</ns0:v>
                </ns0:pt>
                <ns0:pt idx="2">
                  <ns0:v>Pursuing</ns0:v>
                </ns0:pt>
                <ns0:pt idx="3">
                  <ns0:v>Preparing
response</ns0:v>
                </ns0:pt>
                <ns0:pt idx="4">
                  <ns0:v>Submitted</ns0:v>
                </ns0:pt>
                <ns0:pt idx="5">
                  <ns0:v>Won</ns0:v>
                </ns0:pt>
                <ns0:pt idx="6">
                  <ns0:v>Lost</ns0:v>
                </ns0:pt>
                <ns0:pt idx="7">
                  <ns0:v>Abandoned</ns0:v>
                </ns0:pt>
              </ns0:strCache>
            </ns0:strRef>
          </ns0:cat>
          <ns0:val>
            <ns0:numRef>
              <ns0:f>Dashboard!$AB$15:$AB$22</ns0:f>
              <ns0:numCache>
                <ns0:formatCode>General</ns0:formatCode>
                <ns0:ptCount val="8"/>
                <ns0:pt idx="0">
                  <ns0:v>0</ns0:v>
                </ns0:pt>
                <ns0:pt idx="1">
                  <ns0:v>0</ns0:v>
                </ns0:pt>
                <ns0:pt idx="2">
                  <ns0:v>0</ns0:v>
                </ns0:pt>
                <ns0:pt idx="3">
                  <ns0:v>0</ns0:v>
                </ns0:pt>
                <ns0:pt idx="4">
                  <ns0:v>0</ns0:v>
                </ns0:pt>
                <ns0:pt idx="5">
                  <ns0:v>0</ns0:v>
                </ns0:pt>
                <ns0:pt idx="6">
                  <ns0:v>0</ns0:v>
                </ns0:pt>
                <ns0:pt idx="7">
                  <ns0:v>0</ns0:v>
                </ns0:pt>
              </ns0:numCache>
            </ns0:numRef>
          </ns0:val>
        </ns0:ser>
        <ns0:gapWidth val="80"/>
        <ns0:overlap val="0"/>
        <ns0:axId val="79151353"/>
        <ns0:axId val="42738692"/>
      </ns0:barChart>
      <ns0:catAx>
        <ns0:axId val="79151353"/>
        <ns0:scaling>
          <ns0:orientation val="minMax"/>
        </ns0:scaling>
        <ns0:delete val="0"/>
        <ns0:axPos val="b"/>
        <ns0:numFmt formatCode="General" sourceLinked="0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42738692"/>
        <ns0:crosses val="autoZero"/>
        <ns0:auto val="1"/>
        <ns0:lblAlgn val="ctr"/>
        <ns0:lblOffset val="100"/>
        <ns0:noMultiLvlLbl val="0"/>
      </ns0:catAx>
      <ns0:valAx>
        <ns0:axId val="42738692"/>
        <ns0:scaling>
          <ns0:orientation val="minMax"/>
        </ns0:scaling>
        <ns0:delete val="1"/>
        <ns0:axPos val="l"/>
        <ns0:numFmt formatCode="General" sourceLinked="1"/>
        <ns0:majorTickMark val="none"/>
        <ns0:minorTickMark val="none"/>
        <ns0:tickLblPos val="nextTo"/>
        <ns0:spPr>
          <ns1:ln w="12600">
            <ns1:solidFill>
              <ns1:srgbClr val="8B8B8B"/>
            </ns1:solidFill>
            <ns1:round/>
          </ns1:ln>
        </ns0:spPr>
        <ns0:txPr>
          <ns1:bodyPr/>
          <ns1:lstStyle/>
          <ns1:p>
            <ns1:pPr>
              <ns1:defRPr sz="750" b="0" u="none" strike="noStrike">
                <ns1:solidFill>
                  <ns1:srgbClr val="000000"/>
                </ns1:solidFill>
                <ns1:uFillTx/>
                <ns1:latin typeface="Arial"/>
                <ns1:ea typeface="Arial"/>
              </ns1:defRPr>
            </ns1:pPr>
          </ns1:p>
        </ns0:txPr>
        <ns0:crossAx val="79151353"/>
        <ns0:crossBetween val="between"/>
      </ns0:valAx>
      <ns0:spPr>
        <ns1:ln w="0">
          <ns1:noFill/>
        </ns1:ln>
      </ns0:spPr>
    </ns0:plotArea>
    <ns0:plotVisOnly val="0"/>
    <ns0:dispBlanksAs val="zero"/>
  </ns0:chart>
  <ns0:spPr>
    <ns1:ln w="9360">
      <ns1:solidFill>
        <ns1:srgbClr val="D9D9D9"/>
      </ns1:solidFill>
      <ns1:round/>
    </ns1:ln>
  </ns0:spPr>
</ns0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/>
  </cs:axisTitle>
  <cs:categoryAxis>
    <cs:lnRef idx="0"/>
    <cs:fillRef idx="0"/>
    <cs:effectRef idx="0"/>
    <cs:fontRef idx="minor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chartArea>
  <cs:dataLabel>
    <cs:lnRef idx="0"/>
    <cs:fillRef idx="0"/>
    <cs:effectRef idx="0"/>
    <cs:fontRef idx="minor"/>
  </cs:dataLabel>
  <cs:dataPoint>
    <cs:lnRef idx="0"/>
    <cs:fillRef idx="0">
      <cs:styleClr val="auto"/>
    </cs:fillRef>
    <cs:effectRef idx="0"/>
    <cs:fontRef idx="minor">
      <cs:schemeClr val="tx1"/>
    </cs:fontRef>
    <cs:spPr>
      <a:solidFill>
        <a:schemeClr val="phClr"/>
      </a:solidFill>
    </cs:spPr>
  </cs:dataPoint>
  <cs:dataPoint3D>
    <cs:lnRef idx="0"/>
    <cs:fillRef idx="0"/>
    <cs:effectRef idx="0"/>
    <cs:fontRef idx="minor"/>
  </cs:dataPoint3D>
  <cs:dataPointLine>
    <cs:lnRef idx="0"/>
    <cs:fillRef idx="0"/>
    <cs:effectRef idx="0"/>
    <cs:fontRef idx="minor"/>
  </cs:dataPointLine>
  <cs:dataPointMarker>
    <cs:lnRef idx="0"/>
    <cs:fillRef idx="0"/>
    <cs:effectRef idx="0"/>
    <cs:fontRef idx="minor"/>
  </cs:dataPointMarker>
  <cs:dataPointMarkerLayout>
    <cs:lnRef idx="0"/>
    <cs:fillRef idx="0"/>
    <cs:effectRef idx="0"/>
    <cs:fontRef idx="minor"/>
  </cs:dataPointMarkerLayout>
  <cs:dataPointWireframe>
    <cs:lnRef idx="0"/>
    <cs:fillRef idx="0"/>
    <cs:effectRef idx="0"/>
    <cs:fontRef idx="minor"/>
  </cs:dataPointWireframe>
  <cs:dataTable>
    <cs:lnRef idx="0"/>
    <cs:fillRef idx="0"/>
    <cs:effectRef idx="0"/>
    <cs:fontRef idx="minor"/>
  </cs:dataTable>
  <cs:downBar>
    <cs:lnRef idx="0"/>
    <cs:fillRef idx="0"/>
    <cs:effectRef idx="0"/>
    <cs:fontRef idx="minor"/>
  </cs:downBar>
  <cs:dropLine>
    <cs:lnRef idx="0"/>
    <cs:fillRef idx="0"/>
    <cs:effectRef idx="0"/>
    <cs:fontRef idx="minor"/>
  </cs:dropLine>
  <cs:errorBar>
    <cs:lnRef idx="0"/>
    <cs:fillRef idx="0"/>
    <cs:effectRef idx="0"/>
    <cs:fontRef idx="minor"/>
  </cs:errorBar>
  <cs:floor>
    <cs:lnRef idx="0"/>
    <cs:fillRef idx="0"/>
    <cs:effectRef idx="0"/>
    <cs:fontRef idx="minor"/>
  </cs:floor>
  <cs:gridlineMajor>
    <cs:lnRef idx="0"/>
    <cs:fillRef idx="0"/>
    <cs:effectRef idx="0"/>
    <cs:fontRef idx="minor"/>
  </cs:gridlineMajor>
  <cs:gridlineMinor>
    <cs:lnRef idx="0"/>
    <cs:fillRef idx="0"/>
    <cs:effectRef idx="0"/>
    <cs:fontRef idx="minor"/>
  </cs:gridlineMinor>
  <cs:hiLoLine>
    <cs:lnRef idx="0"/>
    <cs:fillRef idx="0"/>
    <cs:effectRef idx="0"/>
    <cs:fontRef idx="minor"/>
  </cs:hiLoLine>
  <cs:leaderLine>
    <cs:lnRef idx="0"/>
    <cs:fillRef idx="0"/>
    <cs:effectRef idx="0"/>
    <cs:fontRef idx="minor"/>
  </cs:leaderLine>
  <cs:legend>
    <cs:lnRef idx="0"/>
    <cs:fillRef idx="0"/>
    <cs:effectRef idx="0"/>
    <cs:fontRef idx="minor"/>
  </cs:legend>
  <cs:plotArea>
    <cs:lnRef idx="0"/>
    <cs:fillRef idx="0"/>
    <cs:effectRef idx="0"/>
    <cs:fontRef idx="minor"/>
  </cs:plotArea>
  <cs:plotArea3D>
    <cs:lnRef idx="0"/>
    <cs:fillRef idx="0"/>
    <cs:effectRef idx="0"/>
    <cs:fontRef idx="minor"/>
  </cs:plotArea3D>
  <cs:seriesAxis>
    <cs:lnRef idx="0"/>
    <cs:fillRef idx="0"/>
    <cs:effectRef idx="0"/>
    <cs:fontRef idx="minor"/>
  </cs:seriesAxis>
  <cs:seriesLine>
    <cs:lnRef idx="0"/>
    <cs:fillRef idx="0"/>
    <cs:effectRef idx="0"/>
    <cs:fontRef idx="minor"/>
  </cs:seriesLine>
  <cs:title>
    <cs:lnRef idx="0"/>
    <cs:fillRef idx="0"/>
    <cs:effectRef idx="0"/>
    <cs:fontRef idx="minor"/>
  </cs:title>
  <cs:trendline>
    <cs:lnRef idx="0"/>
    <cs:fillRef idx="0"/>
    <cs:effectRef idx="0"/>
    <cs:fontRef idx="minor"/>
  </cs:trendline>
  <cs:trendlineLabel>
    <cs:lnRef idx="0"/>
    <cs:fillRef idx="0"/>
    <cs:effectRef idx="0"/>
    <cs:fontRef idx="minor"/>
  </cs:trendlineLabel>
  <cs:upBar>
    <cs:lnRef idx="0"/>
    <cs:fillRef idx="0"/>
    <cs:effectRef idx="0"/>
    <cs:fontRef idx="minor"/>
  </cs:upBar>
  <cs:valueAxis>
    <cs:lnRef idx="0"/>
    <cs:fillRef idx="0"/>
    <cs:effectRef idx="0"/>
    <cs:fontRef idx="minor"/>
  </cs:valueAxis>
  <cs:wall>
    <cs:lnRef idx="0"/>
    <cs:fillRef idx="0"/>
    <cs:effectRef idx="0"/>
    <cs:fontRef idx="minor"/>
  </cs:wall>
</cs:chartStyl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1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4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12</xdr:row>
      <xdr:rowOff>0</xdr:rowOff>
    </xdr:from>
    <xdr:to>
      <xdr:col>14</xdr:col>
      <xdr:colOff>375480</xdr:colOff>
      <xdr:row>21</xdr:row>
      <xdr:rowOff>209160</xdr:rowOff>
    </xdr:to>
    <xdr:graphicFrame>
      <xdr:nvGraphicFramePr>
        <xdr:cNvPr id="1" name="Chart"/>
        <xdr:cNvGraphicFramePr/>
      </xdr:nvGraphicFramePr>
      <xdr:xfrm>
        <a:off x="141120" y="2562120"/>
        <a:ext cx="4762080" cy="22665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3</xdr:col>
      <xdr:colOff>114480</xdr:colOff>
      <xdr:row>5</xdr:row>
      <xdr:rowOff>9360</xdr:rowOff>
    </xdr:from>
    <xdr:to>
      <xdr:col>3</xdr:col>
      <xdr:colOff>352080</xdr:colOff>
      <xdr:row>5</xdr:row>
      <xdr:rowOff>246960</xdr:rowOff>
    </xdr:to>
    <xdr:pic>
      <xdr:nvPicPr>
        <xdr:cNvPr id="2" name="01f40315-010f-414b-8773-e798a0bfbe6c"/>
        <xdr:cNvPicPr/>
      </xdr:nvPicPr>
      <xdr:blipFill>
        <a:blip r:embed="rId2"/>
        <a:stretch/>
      </xdr:blipFill>
      <xdr:spPr>
        <a:xfrm>
          <a:off x="10072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9</xdr:col>
      <xdr:colOff>114480</xdr:colOff>
      <xdr:row>5</xdr:row>
      <xdr:rowOff>9360</xdr:rowOff>
    </xdr:from>
    <xdr:to>
      <xdr:col>9</xdr:col>
      <xdr:colOff>352080</xdr:colOff>
      <xdr:row>5</xdr:row>
      <xdr:rowOff>246960</xdr:rowOff>
    </xdr:to>
    <xdr:pic>
      <xdr:nvPicPr>
        <xdr:cNvPr id="3" name="310f891c-8c0d-4d9b-85b0-0b05a8e8ba3d"/>
        <xdr:cNvPicPr/>
      </xdr:nvPicPr>
      <xdr:blipFill>
        <a:blip r:embed="rId3"/>
        <a:stretch/>
      </xdr:blipFill>
      <xdr:spPr>
        <a:xfrm>
          <a:off x="301248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15</xdr:col>
      <xdr:colOff>114480</xdr:colOff>
      <xdr:row>5</xdr:row>
      <xdr:rowOff>9360</xdr:rowOff>
    </xdr:from>
    <xdr:to>
      <xdr:col>15</xdr:col>
      <xdr:colOff>352080</xdr:colOff>
      <xdr:row>5</xdr:row>
      <xdr:rowOff>246960</xdr:rowOff>
    </xdr:to>
    <xdr:pic>
      <xdr:nvPicPr>
        <xdr:cNvPr id="4" name="57edd3b9-3e52-4350-9f0a-54e0cf73cd2d"/>
        <xdr:cNvPicPr/>
      </xdr:nvPicPr>
      <xdr:blipFill>
        <a:blip r:embed="rId4"/>
        <a:stretch/>
      </xdr:blipFill>
      <xdr:spPr>
        <a:xfrm>
          <a:off x="50180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21</xdr:col>
      <xdr:colOff>114480</xdr:colOff>
      <xdr:row>5</xdr:row>
      <xdr:rowOff>9360</xdr:rowOff>
    </xdr:from>
    <xdr:to>
      <xdr:col>21</xdr:col>
      <xdr:colOff>352080</xdr:colOff>
      <xdr:row>5</xdr:row>
      <xdr:rowOff>246960</xdr:rowOff>
    </xdr:to>
    <xdr:pic>
      <xdr:nvPicPr>
        <xdr:cNvPr id="5" name="e5626c7c-18fb-4534-aaae-e9127b0ae4f9"/>
        <xdr:cNvPicPr/>
      </xdr:nvPicPr>
      <xdr:blipFill>
        <a:blip r:embed="rId5"/>
        <a:stretch/>
      </xdr:blipFill>
      <xdr:spPr>
        <a:xfrm>
          <a:off x="7023240" y="961920"/>
          <a:ext cx="237600" cy="23760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ables/table1.xml><?xml version="1.0" encoding="utf-8"?>
<table xmlns="http://schemas.openxmlformats.org/spreadsheetml/2006/main" id="1" name="Actions" displayName="Actions" ref="A7:Q27" headerRowCount="1" totalsRowCount="0" totalsRowShown="0">
  <autoFilter ref="A7:Q27"/>
  <tableColumns count="17">
    <tableColumn id="1" name="Action ID"/>
    <tableColumn id="2" name="Pursuit ID"/>
    <tableColumn id="3" name="Pursuit">
      <calculatedColumnFormula>IF(COUNTIFS(Pursuits[Pursuit ID],$B8)&lt;&gt;1,"",INDEX(Pursuits[Opportunity],MATCH($B8,Pursuits[Pursuit ID],0)))</calculatedColumnFormula>
    </tableColumn>
    <tableColumn id="4" name="Action"/>
    <tableColumn id="5" name="Due date"/>
    <tableColumn id="6" name="Status"/>
    <tableColumn id="7" name="Result or blocker"/>
    <tableColumn id="8" name="Owner"/>
    <tableColumn id="9" name="Completed date"/>
    <tableColumn id="10" name="Needs attention">
      <calculatedColumnFormula>IF($P8&lt;&gt;"",$P8,IF($A8="","",IF(COUNTIFS(WorkStatuses[Status],$F8)&lt;&gt;1,"Choose a status",IF(INDEX(WorkStatuses[Input check],MATCH($F8,WorkStatuses[Status],0))&lt;&gt;"","Check status settings",_xlfn.TEXTJOIN(CHAR(10),TRUE,IF(AND(INDEX(WorkStatuses[Complete],MATCH($F8,WorkStatuses[Status],0))=0,$E8=""),"Add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date",""),IF(AND(AND(ISNUMBER('Dashboard'!$V$3),'Dashboard'!$V$3&gt;=1,'Dashboard'!$V$3&lt;DATE(2099,1,1)),ISNUMBER($I8),$I8&gt;'Dashboard'!$V$3),"Completed date is in future",""))))))</calculatedColumnFormula>
    </tableColumn>
    <tableColumn id="11" name="Active pursuit">
      <calculatedColumnFormula>IF($P8&lt;&gt;"",0,IF($A8="",0,SUMIFS(Pursuits[Active],Pursuits[Pursuit ID],$B8)))</calculatedColumnFormula>
    </tableColumn>
    <tableColumn id="12" name="Open action">
      <calculatedColumnFormula>IF(AND($A8&lt;&gt;"",$P8="",COUNTIFS(WorkStatuses[Status],$F8)=1),IF(INDEX(WorkStatuses[Input check],MATCH($F8,WorkStatuses[Status],0))&lt;&gt;"",0,IF(INDEX(WorkStatuses[Complete],MATCH($F8,WorkStatuses[Status],0))=0,1,0)),0)</calculatedColumnFormula>
    </tableColumn>
    <tableColumn id="13" name="Sort date">
      <calculatedColumnFormula>IF($L8=0,"",IF(AND(ISNUMBER($E8),$E8&gt;=1,$E8&lt;DATE(2099,1,1)),$E8,DATE(9999,12,31)))</calculatedColumnFormula>
    </tableColumn>
    <tableColumn id="14" name="Dashboard order">
      <calculatedColumnFormula>IF(AND($L8=1,$K8=1),COUNTIFS(Actions[Open action],1,Actions[Active pursuit],1,Actions[Sort date],"&lt;"&amp;$M8)+COUNTIFS(Actions[Open action],1,Actions[Active pursuit],1,Actions[Sort date],$M8,Actions[Action ID],"&lt;"&amp;$A8)+1,"")</calculatedColumnFormula>
    </tableColumn>
    <tableColumn id="15" name="Pursuit order">
      <calculatedColumnFormula>IF($L8&lt;&gt;1,"",COUNTIFS(Actions[Open action],1,Actions[Pursuit ID],$B8,Actions[Sort date],"&lt;"&amp;$M8)+COUNTIFS(Actions[Open action],1,Actions[Pursuit ID],$B8,Actions[Sort date],$M8,Actions[Action ID],"&lt;"&amp;$A8)+1)</calculatedColumnFormula>
    </tableColumn>
    <tableColumn id="16" name="ID check">
      <calculatedColumnFormula>IF($A8="",IF(COUNTA(B8,D8:I8)&gt;0,"Missing action ID",""),IF(COUNTIFS(Actions[Action ID],$A8)&gt;1,"Duplicate action ID",IF(COUNTIFS(Pursuits[Pursuit ID],$B8)&lt;&gt;1,"Pursuit link needs review",IF($D8="","Add action text",""))))</calculatedColumnFormula>
    </tableColumn>
    <tableColumn id="17" name="Pursuit action key">
      <calculatedColumnFormula>IF($L8=1,$B8&amp;"|"&amp;$O8,"")</calculatedColumnFormula>
    </tableColumn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Pursuits" displayName="Pursuits" ref="A7:AS27" headerRowCount="1" totalsRowCount="0" totalsRowShown="0">
  <autoFilter ref="A7:AS27"/>
  <tableColumns count="45">
    <tableColumn id="1" name="Pursuit ID"/>
    <tableColumn id="2" name="Opportunity"/>
    <tableColumn id="3" name="Buyer"/>
    <tableColumn id="4" name="Stage"/>
    <tableColumn id="5" name="Response due">
      <calculatedColumnFormula>IF($AD8=0,"",IF(INDEX(Sources[Response date],$AD8)="","",INDEX(Sources[Response date],$AD8)))</calculatedColumnFormula>
    </tableColumn>
    <tableColumn id="6" name="Next action">
      <calculatedColumnFormula>IF($AJ8="","",INDEX(Actions[Action],MATCH($AJ8,Actions[Action ID],0)))</calculatedColumnFormula>
    </tableColumn>
    <tableColumn id="7" name="Action due">
      <calculatedColumnFormula>IF($AJ8="","",IF(INDEX(Actions[Due date],MATCH($AJ8,Actions[Action ID],0))="","",INDEX(Actions[Due date],MATCH($AJ8,Actions[Action ID],0))))</calculatedColumnFormula>
    </tableColumn>
    <tableColumn id="8" name="Estimated value"/>
    <tableColumn id="9" name="Needs attention">
      <calculatedColumnFormula>IF($A8="",$AF8,_xlfn.TEXTJOIN(CHAR(10),TRUE,$AP8,$AG8,IF(AND($AE8=1,AND(ISNUMBER('Dashboard'!$V$3),'Dashboard'!$V$3&gt;=1,'Dashboard'!$V$3&lt;DATE(2099,1,1)),ISNUMBER($E8),$E8&lt;'Dashboard'!$V$3),"Response date passed",""),IF(AND($AE8=1,$AL8=0),"No next action",""),IF(AND($AE8=1,$AM8&gt;0),"Action needs a date",""),IF($AE8=1,$AN8,""),$AO8,IF($AD8=0,"",INDEX(Sources[Source issue],$AD8))))</calculatedColumnFormula>
    </tableColumn>
    <tableColumn id="10" name="Response type"/>
    <tableColumn id="11" name="Description"/>
    <tableColumn id="12" name="Agency office">
      <calculatedColumnFormula>IF($AD8=0,"",IF(INDEX(Sources[Agency office],$AD8)="","",INDEX(Sources[Agency office],$AD8)))</calculatedColumnFormula>
    </tableColumn>
    <tableColumn id="13" name="Solicitation">
      <calculatedColumnFormula>IF($AD8=0,"",IF(INDEX(Sources[Solicitation],$AD8)="","",INDEX(Sources[Solicitation],$AD8)))</calculatedColumnFormula>
    </tableColumn>
    <tableColumn id="14" name="Acquisition route">
      <calculatedColumnFormula>IF($AD8=0,"",IF(INDEX(Sources[Acquisition route],$AD8)="","",INDEX(Sources[Acquisition route],$AD8)))</calculatedColumnFormula>
    </tableColumn>
    <tableColumn id="15" name="Location">
      <calculatedColumnFormula>IF($AD8=0,"",IF(INDEX(Sources[Location],$AD8)="","",INDEX(Sources[Location],$AD8)))</calculatedColumnFormula>
    </tableColumn>
    <tableColumn id="16" name="Release period">
      <calculatedColumnFormula>IF($AD8=0,"",IF(INDEX(Sources[Release period],$AD8)="","",INDEX(Sources[Release period],$AD8)))</calculatedColumnFormula>
    </tableColumn>
    <tableColumn id="17" name="Award period">
      <calculatedColumnFormula>IF($AD8=0,"",IF(INDEX(Sources[Award period],$AD8)="","",INDEX(Sources[Award period],$AD8)))</calculatedColumnFormula>
    </tableColumn>
    <tableColumn id="18" name="Duration months"/>
    <tableColumn id="19" name="Last reviewed"/>
    <tableColumn id="20" name="Value basis"/>
    <tableColumn id="21" name="Value period"/>
    <tableColumn id="22" name="Probability of win"/>
    <tableColumn id="23" name="Probable value">
      <calculatedColumnFormula>IF(AND(ISNUMBER($AH8),ISNUMBER($V8),$V8&gt;=0,$V8&lt;=1),ROUND($AH8*$V8,2),"")</calculatedColumnFormula>
    </tableColumn>
    <tableColumn id="24" name="Notes"/>
    <tableColumn id="25" name="Owner"/>
    <tableColumn id="26" name="GovTribe link">
      <calculatedColumnFormula>IF($AD8=0,"",IF(INDEX(Sources[GovTribe URL],$AD8)="","",HYPERLINK(INDEX(Sources[GovTribe URL],$AD8),"Open GovTribe")))</calculatedColumnFormula>
    </tableColumn>
    <tableColumn id="27" name="Related file"/>
    <tableColumn id="28" name="Source ID"/>
    <tableColumn id="29" name="Reviewed source version"/>
    <tableColumn id="30" name="Source row">
      <calculatedColumnFormula>IF($A8="",0,IF(AND($AB8&lt;&gt;"",COUNTIFS(Sources[Source ID],$AB8,Sources[Pursuit ID],$A8)=1,COUNTIFS(Sources[Source ID],$AB8)=1),MATCH($AB8,Sources[Source ID],0),0))</calculatedColumnFormula>
    </tableColumn>
    <tableColumn id="31" name="Active">
      <calculatedColumnFormula>IF($AS8=0,"",IF(COUNTIFS(StageMap[Stage],$D8)&lt;&gt;1,"",IF(INDEX(StageMap[Input check],MATCH($D8,StageMap[Stage],0))="",INDEX(StageMap[Active],MATCH($D8,StageMap[Stage],0)),"")))</calculatedColumnFormula>
    </tableColumn>
    <tableColumn id="32" name="ID check">
      <calculatedColumnFormula>IF($A8="",IF(COUNTA(B8:D8,H8,J8:K8,R8:V8,X8:Y8,AA8:AC8)&gt;0,"Missing pursuit ID",""),IF(COUNTIFS(Pursuits[Pursuit ID],$A8)&gt;1,"Duplicate pursuit ID",IF($B8="","Add opportunity name","")))</calculatedColumnFormula>
    </tableColumn>
    <tableColumn id="33" name="Value check">
      <calculatedColumnFormula>IF($A8="","",IF($H8="","",IF(NOT(ISNUMBER($H8)),"Enter a numeric estimate",IF($H8&lt;0,"Estimate cannot be negative",IF($T8&lt;&gt;"Total company contract value","Non-total value excluded",IF($U8="","Add value period",""))))))</calculatedColumnFormula>
    </tableColumn>
    <tableColumn id="34" name="Included value">
      <calculatedColumnFormula>IF(AND($AE8=1,$AG8="",ISNUMBER($H8)),$H8,"")</calculatedColumnFormula>
    </tableColumn>
    <tableColumn id="35" name="Deadline order">
      <calculatedColumnFormula>IF(AND($AE8=1,AND(ISNUMBER('Dashboard'!$V$3),'Dashboard'!$V$3&gt;=1,'Dashboard'!$V$3&lt;DATE(2099,1,1)),ISNUMBER($E8),$E8&gt;=1,$E8&lt;DATE(2099,1,1),$E8&gt;='Dashboard'!$V$3,$E8&lt;'Dashboard'!$V$3+30),COUNTIFS(Pursuits[Active],1,Pursuits[Response due],"&gt;="&amp;'Dashboard'!$V$3,Pursuits[Response due],"&lt;"&amp;$E8)+COUNTIFS(Pursuits[Active],1,Pursuits[Response due],$E8,Pursuits[Pursuit ID],"&lt;"&amp;$A8)+1,"")</calculatedColumnFormula>
    </tableColumn>
    <tableColumn id="36" name="Next action ID">
      <calculatedColumnFormula>IF(OR($A8="",$AL8=0),"",INDEX(Actions[Action ID],MATCH($A8&amp;"|1",Actions[Pursuit action key],0)))</calculatedColumnFormula>
    </tableColumn>
    <tableColumn id="37" name="Review order">
      <calculatedColumnFormula>IF($AR8&lt;&gt;1,"",COUNTIFS(Pursuits[Review candidate],1,Pursuits[Pursuit ID],"&lt;"&amp;$A8)+COUNTIFS($A$8:$A8,$A8,$AR$8:$AR8,1))</calculatedColumnFormula>
    </tableColumn>
    <tableColumn id="38" name="Open actions">
      <calculatedColumnFormula>IF($A8="","",COUNTIFS(Actions[Pursuit ID],$A8,Actions[Open action],1))</calculatedColumnFormula>
    </tableColumn>
    <tableColumn id="39" name="Undated actions">
      <calculatedColumnFormula>IF($A8="","",COUNTIFS(Actions[Pursuit ID],$A8,Actions[Open action],1,Actions[Sort date],DATE(9999,12,31)))</calculatedColumnFormula>
    </tableColumn>
    <tableColumn id="40" name="Source change">
      <calculatedColumnFormula>IF($AD8=0,"",IF($AC8="","Source not reviewed",IF($AC8&lt;&gt;INDEX(Sources[Source updated],$AD8),"Source changed","")))</calculatedColumnFormula>
    </tableColumn>
    <tableColumn id="41" name="Review age">
      <calculatedColumnFormula>IF(OR($AE8&lt;&gt;1,NOT(AND(ISNUMBER('Dashboard'!$V$3),'Dashboard'!$V$3&gt;=1,'Dashboard'!$V$3&lt;DATE(2099,1,1)))),"",IF($S8="","Not reviewed",IF(NOT(ISNUMBER($S8)),"Use a real review date",IF($S8&gt;'Dashboard'!$V$3,"Review date is in future",IF(AND(ISNUMBER('Source Data'!$AE$36),'Source Data'!$AE$36&gt;0),IF('Dashboard'!$V$3-$S8&gt;'Source Data'!$AE$36,"Review is overdue",""),"Set review interval")))))</calculatedColumnFormula>
    </tableColumn>
    <tableColumn id="42" name="Input check">
      <calculatedColumnFormula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calculatedColumnFormula>
    </tableColumn>
    <tableColumn id="43" name="Response clock">
      <calculatedColumnFormula>IF($AD8=0,"",IF(INDEX(Sources[Response time],$AD8)="","Time not confirmed",TEXT(INDEX(Sources[Response time],$AD8),"h:mm AM/PM")&amp;" "&amp;INDEX(Sources[Time zone],$AD8)))</calculatedColumnFormula>
    </tableColumn>
    <tableColumn id="44" name="Review candidate">
      <calculatedColumnFormula>IF(AND($I8&lt;&gt;"",OR($AE8=1,$AP8&lt;&gt;"")),1,0)</calculatedColumnFormula>
    </tableColumn>
    <tableColumn id="45" name="Identity valid">
      <calculatedColumnFormula>IF(AND($A8&lt;&gt;"",$AF8=""),1,0)</calculatedColumnFormula>
    </tableColumn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Sources" displayName="Sources" ref="A7:AA27" headerRowCount="1" totalsRowCount="0" totalsRowShown="0">
  <autoFilter ref="A7:AA27"/>
  <tableColumns count="27">
    <tableColumn id="1" name="Source ID"/>
    <tableColumn id="2" name="Pursuit ID"/>
    <tableColumn id="3" name="Original title"/>
    <tableColumn id="4" name="Record type"/>
    <tableColumn id="5" name="Solicitation"/>
    <tableColumn id="6" name="Agency office"/>
    <tableColumn id="7" name="Source status"/>
    <tableColumn id="8" name="Response date"/>
    <tableColumn id="9" name="Response time"/>
    <tableColumn id="10" name="Time zone"/>
    <tableColumn id="11" name="Raw deadline"/>
    <tableColumn id="12" name="Release period"/>
    <tableColumn id="13" name="Award period"/>
    <tableColumn id="14" name="Raw award date"/>
    <tableColumn id="15" name="Govt value low"/>
    <tableColumn id="16" name="Govt value high"/>
    <tableColumn id="17" name="Acquisition route"/>
    <tableColumn id="18" name="Location"/>
    <tableColumn id="19" name="Source updated"/>
    <tableColumn id="20" name="Retrieved"/>
    <tableColumn id="21" name="GovTribe URL"/>
    <tableColumn id="22" name="Primary URL"/>
    <tableColumn id="23" name="Evidence"/>
    <tableColumn id="24" name="Source issue"/>
    <tableColumn id="25" name="GovTribe ID"/>
    <tableColumn id="26" name="Input check">
      <calculatedColumnFormula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calculatedColumnFormula>
    </tableColumn>
    <tableColumn id="27" name="Open source">
      <calculatedColumnFormula>IF(OR($A8="",$U8=""),"",HYPERLINK($U8,"Open GovTribe"))</calculatedColumnFormula>
    </tableColumn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id="4" name="StageMap" displayName="StageMap" ref="AD39:AF47" headerRowCount="1" totalsRowCount="0" totalsRowShown="0">
  <autoFilter ref="AD39:AF47"/>
  <tableColumns count="3">
    <tableColumn id="1" name="Stage"/>
    <tableColumn id="2" name="Active"/>
    <tableColumn id="3" name="Input check">
      <calculatedColumnFormula>IF(AD40="","Add a stage label",IF(COUNTIFS(StageMap[Stage],AD40)&lt;&gt;1,"Use a unique label",IF(OR(COUNT(AE40)&lt;&gt;1,AND(AE40&lt;&gt;0,AE40&lt;&gt;1)),"Use 0 or 1","")))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WorkStatuses" displayName="WorkStatuses" ref="AD50:AF54" headerRowCount="1" totalsRowCount="0" totalsRowShown="0">
  <autoFilter ref="AD50:AF54"/>
  <tableColumns count="3">
    <tableColumn id="1" name="Status"/>
    <tableColumn id="2" name="Complete"/>
    <tableColumn id="3" name="Input check">
      <calculatedColumnFormula>IF(AD51="","Add a status label",IF(COUNTIFS(WorkStatuses[Status],AD51)&lt;&gt;1,"Use a unique label",IF(OR(COUNT(AE51)&lt;&gt;1,AND(AE51&lt;&gt;0,AE51&lt;&gt;1)),"Use 0 or 1","")))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table" Target="../tables/table3.xml"/><Relationship Id="rId2" Type="http://schemas.openxmlformats.org/officeDocument/2006/relationships/table" Target="../tables/table4.xml"/><Relationship Id="rId3" Type="http://schemas.openxmlformats.org/officeDocument/2006/relationships/table" Target="../tables/table5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tabColor rgb="FF1B283F"/>
    <outlinePr summaryRight="0"/>
    <pageSetUpPr fitToPage="1"/>
  </sheetPr>
  <dimension ref="A1:AK40"/>
  <sheetViews>
    <sheetView showFormulas="false" showGridLines="0" showRowColHeaders="true" showZeros="true" rightToLeft="false" tabSelected="1" showOutlineSymbols="true" defaultGridColor="true" view="normal" topLeftCell="A1" colorId="64" zoomScale="95" zoomScaleNormal="95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2"/>
    <col customWidth="true" max="2" min="2" style="0" width="5.33"/>
    <col customWidth="true" max="3" min="3" style="0" width="5.33"/>
    <col customWidth="true" max="4" min="4" style="0" width="5.33"/>
    <col customWidth="true" max="5" min="5" style="0" width="5.33"/>
    <col customWidth="true" max="6" min="6" style="0" width="5.33"/>
    <col customWidth="true" max="7" min="7" style="0" width="1.78"/>
    <col customWidth="true" max="8" min="8" style="0" width="5.33"/>
    <col customWidth="true" max="9" min="9" style="0" width="5.33"/>
    <col customWidth="true" max="10" min="10" style="0" width="5.33"/>
    <col customWidth="true" max="11" min="11" style="0" width="5.33"/>
    <col customWidth="true" max="12" min="12" style="0" width="5.33"/>
    <col customWidth="true" max="13" min="13" style="0" width="1.78"/>
    <col customWidth="true" max="14" min="14" style="0" width="5.33"/>
    <col customWidth="true" max="15" min="15" style="0" width="5.33"/>
    <col customWidth="true" max="16" min="16" style="0" width="5.33"/>
    <col customWidth="true" max="17" min="17" style="0" width="5.33"/>
    <col customWidth="true" max="18" min="18" style="0" width="5.33"/>
    <col customWidth="true" max="19" min="19" style="0" width="1.78"/>
    <col customWidth="true" max="20" min="20" style="0" width="5.33"/>
    <col customWidth="true" max="21" min="21" style="0" width="5.33"/>
    <col customWidth="true" max="22" min="22" style="0" width="5.33"/>
    <col customWidth="true" max="23" min="23" style="0" width="5.33"/>
    <col customWidth="true" max="24" min="24" style="0" width="5.33"/>
    <col customWidth="true" max="25" min="25" style="0" width="2"/>
    <col customWidth="true" max="27" min="27" style="0" width="12" hidden="1" outlineLevel="1"/>
    <col customWidth="true" max="28" min="28" style="0" width="12" hidden="1" outlineLevel="1"/>
    <col customWidth="true" max="29" min="29" style="0" width="12" hidden="1" outlineLevel="1"/>
    <col customWidth="true" max="30" min="30" style="0" width="12" hidden="1" outlineLevel="1"/>
    <col customWidth="true" max="31" min="31" style="0" width="12" hidden="1" outlineLevel="1"/>
    <col customWidth="true" max="32" min="32" style="0" width="12" hidden="1" outlineLevel="1"/>
    <col customWidth="true" max="33" min="33" style="0" width="12" hidden="1" outlineLevel="1"/>
    <col customWidth="true" max="34" min="34" style="0" width="12" hidden="1" outlineLevel="1"/>
    <col customWidth="true" max="35" min="35" style="0" width="12" hidden="1" outlineLevel="1"/>
    <col customWidth="true" max="36" min="36" style="0" width="12" hidden="1" outlineLevel="1"/>
    <col customWidth="true" max="37" min="37" style="0" width="12" hidden="1" outlineLevel="1"/>
  </cols>
  <sheetData>
    <row r="1" customFormat="false" ht="9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 t="n">
        <f aca="false">COUNTIFS(Pursuits[Active],1)</f>
        <v>0</v>
      </c>
      <c r="AB1" s="1" t="s">
        <v>0</v>
      </c>
      <c r="AC1" s="1"/>
      <c r="AD1" s="1" t="n">
        <f aca="false">IF(AA7&lt;1,0,MATCH(1,Pursuits[Deadline order],0))</f>
        <v>0</v>
      </c>
      <c r="AE1" s="1" t="n">
        <f aca="false">IF(AA9&lt;1,0,MATCH(1,Actions[Dashboard order],0))</f>
        <v>0</v>
      </c>
      <c r="AF1" s="1" t="n">
        <f aca="false">IF(AA10&lt;1,0,MATCH(1,Pursuits[Review order],0))</f>
        <v>0</v>
      </c>
      <c r="AG1" s="1"/>
      <c r="AH1" s="1"/>
      <c r="AI1" s="1"/>
      <c r="AJ1" s="1"/>
      <c r="AK1" s="1"/>
    </row>
    <row r="2" customFormat="false" ht="22.5" hidden="false" customHeight="true" outlineLevel="0" collapsed="false">
      <c r="A2" s="1"/>
      <c r="B2" s="2" t="s">
        <v>1</v>
      </c>
      <c r="C2" s="2" t="s">
        <v>1</v>
      </c>
      <c r="D2" s="2" t="s">
        <v>1</v>
      </c>
      <c r="E2" s="2" t="s">
        <v>1</v>
      </c>
      <c r="F2" s="2" t="s">
        <v>1</v>
      </c>
      <c r="G2" s="2" t="s">
        <v>1</v>
      </c>
      <c r="H2" s="2" t="s">
        <v>1</v>
      </c>
      <c r="I2" s="2" t="s">
        <v>1</v>
      </c>
      <c r="J2" s="2" t="s">
        <v>1</v>
      </c>
      <c r="K2" s="2" t="s">
        <v>1</v>
      </c>
      <c r="L2" s="2" t="s">
        <v>1</v>
      </c>
      <c r="M2" s="2" t="s">
        <v>1</v>
      </c>
      <c r="N2" s="2" t="s">
        <v>1</v>
      </c>
      <c r="O2" s="2" t="s">
        <v>1</v>
      </c>
      <c r="P2" s="2" t="s">
        <v>1</v>
      </c>
      <c r="Q2" s="2" t="s">
        <v>1</v>
      </c>
      <c r="R2" s="2" t="s">
        <v>1</v>
      </c>
      <c r="S2" s="1"/>
      <c r="T2" s="3" t="s">
        <v>2</v>
      </c>
      <c r="U2" s="3" t="s">
        <v>2</v>
      </c>
      <c r="V2" s="3" t="s">
        <v>2</v>
      </c>
      <c r="W2" s="3" t="s">
        <v>2</v>
      </c>
      <c r="X2" s="3" t="s">
        <v>2</v>
      </c>
      <c r="Y2" s="1"/>
      <c r="Z2" s="1"/>
      <c r="AA2" s="1" t="n">
        <f aca="false">COUNT(Pursuits[Included value])</f>
        <v>0</v>
      </c>
      <c r="AB2" s="1" t="s">
        <v>3</v>
      </c>
      <c r="AC2" s="1"/>
      <c r="AD2" s="1" t="n">
        <f aca="false">IF(AA7&lt;2,0,MATCH(2,Pursuits[Deadline order],0))</f>
        <v>0</v>
      </c>
      <c r="AE2" s="1" t="n">
        <f aca="false">IF(AA9&lt;2,0,MATCH(2,Actions[Dashboard order],0))</f>
        <v>0</v>
      </c>
      <c r="AF2" s="1" t="n">
        <f aca="false">IF(AA10&lt;2,0,MATCH(2,Pursuits[Review order],0))</f>
        <v>0</v>
      </c>
      <c r="AG2" s="1"/>
      <c r="AH2" s="1"/>
      <c r="AI2" s="1"/>
      <c r="AJ2" s="1"/>
      <c r="AK2" s="1"/>
    </row>
    <row r="3" customFormat="false" ht="18.75" hidden="false" customHeight="true" outlineLevel="0" collapsed="false">
      <c r="A3" s="1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1"/>
      <c r="T3" s="5" t="s">
        <v>4</v>
      </c>
      <c r="U3" s="5" t="s">
        <v>4</v>
      </c>
      <c r="V3" s="6"/>
      <c r="W3" s="6"/>
      <c r="X3" s="6"/>
      <c r="Y3" s="1"/>
      <c r="Z3" s="1"/>
      <c r="AA3" s="1" t="n">
        <f aca="false">COUNTIFS(Pursuits[Input check],"?*")+COUNTIFS(Actions[Needs attention],"?*")+COUNTIFS(Sources[Input check],"?*")+COUNTIFS(StageMap[Input check],"?*")+COUNTIFS(WorkStatuses[Input check],"?*")</f>
        <v>0</v>
      </c>
      <c r="AB3" s="1" t="s">
        <v>5</v>
      </c>
      <c r="AC3" s="1"/>
      <c r="AD3" s="1" t="n">
        <f aca="false">IF(AA7&lt;3,0,MATCH(3,Pursuits[Deadline order],0))</f>
        <v>0</v>
      </c>
      <c r="AE3" s="1" t="n">
        <f aca="false">IF(AA9&lt;3,0,MATCH(3,Actions[Dashboard order],0))</f>
        <v>0</v>
      </c>
      <c r="AF3" s="1" t="n">
        <f aca="false">IF(AA10&lt;3,0,MATCH(3,Pursuits[Review order],0))</f>
        <v>0</v>
      </c>
      <c r="AG3" s="1"/>
      <c r="AH3" s="1"/>
      <c r="AI3" s="1"/>
      <c r="AJ3" s="1"/>
      <c r="AK3" s="1"/>
    </row>
    <row r="4" customFormat="false" ht="17.25" hidden="false" customHeight="true" outlineLevel="0" collapsed="false">
      <c r="A4" s="1"/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1"/>
      <c r="N4" s="8" t="str">
        <f aca="false">IF(AA3&gt;0,AA3&amp;IF(AA3=1," row needs attention"," rows need attention")&amp;"; see working tabs","")</f>
        <v/>
      </c>
      <c r="O4" s="8"/>
      <c r="P4" s="8"/>
      <c r="Q4" s="8"/>
      <c r="R4" s="8"/>
      <c r="S4" s="8"/>
      <c r="T4" s="8"/>
      <c r="U4" s="8"/>
      <c r="V4" s="8"/>
      <c r="W4" s="8"/>
      <c r="X4" s="8"/>
      <c r="Y4" s="1"/>
      <c r="Z4" s="1"/>
      <c r="AA4" s="9" t="n">
        <f aca="false">SUM(Pursuits[Included value])</f>
        <v>0</v>
      </c>
      <c r="AB4" s="1" t="s">
        <v>6</v>
      </c>
      <c r="AC4" s="1"/>
      <c r="AD4" s="1"/>
      <c r="AE4" s="1" t="n">
        <f aca="false">IF(AA9&lt;4,0,MATCH(4,Actions[Dashboard order],0))</f>
        <v>0</v>
      </c>
      <c r="AF4" s="1"/>
      <c r="AG4" s="1"/>
      <c r="AH4" s="1"/>
      <c r="AI4" s="1"/>
      <c r="AJ4" s="1"/>
      <c r="AK4" s="1"/>
    </row>
    <row r="5" customFormat="false" ht="7.5" hidden="false" customHeight="tru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 t="n">
        <f aca="false">COUNT(Pursuits[Probable value])</f>
        <v>0</v>
      </c>
      <c r="AB5" s="1" t="s">
        <v>7</v>
      </c>
      <c r="AC5" s="1"/>
      <c r="AD5" s="1"/>
      <c r="AE5" s="1" t="n">
        <f aca="false">IF(AA9&lt;5,0,MATCH(5,Actions[Dashboard order],0))</f>
        <v>0</v>
      </c>
      <c r="AF5" s="1"/>
      <c r="AG5" s="1"/>
      <c r="AH5" s="1"/>
      <c r="AI5" s="1"/>
      <c r="AJ5" s="1"/>
      <c r="AK5" s="1"/>
    </row>
    <row r="6" customFormat="false" ht="21" hidden="false" customHeight="true" outlineLevel="0" collapsed="false">
      <c r="A6" s="1"/>
      <c r="B6" s="10"/>
      <c r="C6" s="10"/>
      <c r="D6" s="10"/>
      <c r="E6" s="10"/>
      <c r="F6" s="10"/>
      <c r="G6" s="1"/>
      <c r="H6" s="11"/>
      <c r="I6" s="11"/>
      <c r="J6" s="11"/>
      <c r="K6" s="11"/>
      <c r="L6" s="11"/>
      <c r="M6" s="1"/>
      <c r="N6" s="12"/>
      <c r="O6" s="12"/>
      <c r="P6" s="12"/>
      <c r="Q6" s="12"/>
      <c r="R6" s="12"/>
      <c r="S6" s="1"/>
      <c r="T6" s="13"/>
      <c r="U6" s="13"/>
      <c r="V6" s="13"/>
      <c r="W6" s="13"/>
      <c r="X6" s="13"/>
      <c r="Y6" s="1"/>
      <c r="Z6" s="1"/>
      <c r="AA6" s="9" t="n">
        <f aca="false">SUM(Pursuits[Probable value])</f>
        <v>0</v>
      </c>
      <c r="AB6" s="1" t="s">
        <v>8</v>
      </c>
      <c r="AC6" s="1"/>
      <c r="AD6" s="1"/>
      <c r="AE6" s="1"/>
      <c r="AF6" s="1"/>
      <c r="AG6" s="1"/>
      <c r="AH6" s="1"/>
      <c r="AI6" s="1"/>
      <c r="AJ6" s="1"/>
      <c r="AK6" s="1"/>
    </row>
    <row r="7" customFormat="false" ht="16.5" hidden="false" customHeight="true" outlineLevel="0" collapsed="false">
      <c r="A7" s="1"/>
      <c r="B7" s="14" t="s">
        <v>0</v>
      </c>
      <c r="C7" s="14" t="s">
        <v>0</v>
      </c>
      <c r="D7" s="14" t="s">
        <v>0</v>
      </c>
      <c r="E7" s="14" t="s">
        <v>0</v>
      </c>
      <c r="F7" s="14" t="s">
        <v>0</v>
      </c>
      <c r="G7" s="1"/>
      <c r="H7" s="14" t="s">
        <v>6</v>
      </c>
      <c r="I7" s="14" t="s">
        <v>6</v>
      </c>
      <c r="J7" s="14" t="s">
        <v>6</v>
      </c>
      <c r="K7" s="14" t="s">
        <v>6</v>
      </c>
      <c r="L7" s="14" t="s">
        <v>6</v>
      </c>
      <c r="M7" s="1"/>
      <c r="N7" s="14" t="s">
        <v>9</v>
      </c>
      <c r="O7" s="14" t="s">
        <v>9</v>
      </c>
      <c r="P7" s="14" t="s">
        <v>9</v>
      </c>
      <c r="Q7" s="14" t="s">
        <v>9</v>
      </c>
      <c r="R7" s="14" t="s">
        <v>9</v>
      </c>
      <c r="S7" s="1"/>
      <c r="T7" s="14" t="s">
        <v>10</v>
      </c>
      <c r="U7" s="14" t="s">
        <v>10</v>
      </c>
      <c r="V7" s="14" t="s">
        <v>10</v>
      </c>
      <c r="W7" s="14" t="s">
        <v>10</v>
      </c>
      <c r="X7" s="14" t="s">
        <v>10</v>
      </c>
      <c r="Y7" s="1"/>
      <c r="Z7" s="1"/>
      <c r="AA7" s="1" t="n">
        <f aca="false">COUNT(Pursuits[Deadline order])</f>
        <v>0</v>
      </c>
      <c r="AB7" s="1" t="s">
        <v>11</v>
      </c>
      <c r="AC7" s="1"/>
      <c r="AD7" s="1"/>
      <c r="AE7" s="1"/>
      <c r="AF7" s="1"/>
      <c r="AG7" s="1"/>
      <c r="AH7" s="1"/>
      <c r="AI7" s="1"/>
      <c r="AJ7" s="1"/>
      <c r="AK7" s="1"/>
    </row>
    <row r="8" customFormat="false" ht="24.75" hidden="false" customHeight="true" outlineLevel="0" collapsed="false">
      <c r="A8" s="1"/>
      <c r="B8" s="15" t="n">
        <f aca="false">IF(AA11&gt;0,"Check stages",AA1)</f>
        <v>0</v>
      </c>
      <c r="C8" s="15"/>
      <c r="D8" s="15"/>
      <c r="E8" s="15"/>
      <c r="F8" s="15"/>
      <c r="G8" s="1"/>
      <c r="H8" s="16" t="str">
        <f aca="false">IF(AA11&gt;0,"Check stages",IF(AA2=0,"—",AA4))</f>
        <v>—</v>
      </c>
      <c r="I8" s="16"/>
      <c r="J8" s="16"/>
      <c r="K8" s="16"/>
      <c r="L8" s="16"/>
      <c r="M8" s="1"/>
      <c r="N8" s="15" t="str">
        <f aca="false">IF(AA11&gt;0,"Check stages",IF(AND(ISNUMBER(Dashboard!$V$3),Dashboard!$V$3&gt;=1,Dashboard!$V$3&lt;DATE(2099,1,1)),AA7,"Set As of"))</f>
        <v>Set As of</v>
      </c>
      <c r="O8" s="15"/>
      <c r="P8" s="15"/>
      <c r="Q8" s="15"/>
      <c r="R8" s="15"/>
      <c r="S8" s="1"/>
      <c r="T8" s="15" t="str">
        <f aca="false">IF(AA11&gt;0,"Check stages",IF(AA12&gt;0,"Check status",IF(AND(ISNUMBER(Dashboard!$V$3),Dashboard!$V$3&gt;=1,Dashboard!$V$3&lt;DATE(2099,1,1)),AA8,"Set As of")))</f>
        <v>Set As of</v>
      </c>
      <c r="U8" s="15"/>
      <c r="V8" s="15"/>
      <c r="W8" s="15"/>
      <c r="X8" s="15"/>
      <c r="Y8" s="1"/>
      <c r="Z8" s="1"/>
      <c r="AA8" s="1" t="str">
        <f aca="false">IF(AND(ISNUMBER(Dashboard!$V$3),Dashboard!$V$3&gt;=1,Dashboard!$V$3&lt;DATE(2099,1,1)),COUNTIFS(Actions[Active pursuit],1,Actions[Open action],1,Actions[Sort date],"&lt;"&amp;Dashboard!$V$3),"")</f>
        <v/>
      </c>
      <c r="AB8" s="1" t="s">
        <v>10</v>
      </c>
      <c r="AC8" s="1"/>
      <c r="AD8" s="1"/>
      <c r="AE8" s="1"/>
      <c r="AF8" s="1"/>
      <c r="AG8" s="1"/>
      <c r="AH8" s="1"/>
      <c r="AI8" s="1"/>
      <c r="AJ8" s="1"/>
      <c r="AK8" s="1"/>
    </row>
    <row r="9" customFormat="false" ht="16.5" hidden="false" customHeight="true" outlineLevel="0" collapsed="false">
      <c r="A9" s="1"/>
      <c r="B9" s="17" t="str">
        <f aca="false">IF(AA11&gt;0,"Resolve the stage settings",IF(AA1=0,"Add pursuits on Pipeline","Across active stages"))</f>
        <v>Add pursuits on Pipeline</v>
      </c>
      <c r="C9" s="17"/>
      <c r="D9" s="17"/>
      <c r="E9" s="17"/>
      <c r="F9" s="17"/>
      <c r="G9" s="1"/>
      <c r="H9" s="14" t="str">
        <f aca="false">IF(AA11&gt;0,"Resolve the stage settings",AA2&amp;" of "&amp;AA1&amp;" valued")</f>
        <v>0 of 0 valued</v>
      </c>
      <c r="I9" s="14"/>
      <c r="J9" s="14"/>
      <c r="K9" s="14"/>
      <c r="L9" s="14"/>
      <c r="M9" s="1"/>
      <c r="N9" s="17" t="str">
        <f aca="false">IF(AND(ISNUMBER(Dashboard!$V$3),Dashboard!$V$3&gt;=1,Dashboard!$V$3&lt;DATE(2099,1,1)),"Includes responses due today","Enter the review date above")</f>
        <v>Enter the review date above</v>
      </c>
      <c r="O9" s="17"/>
      <c r="P9" s="17"/>
      <c r="Q9" s="17"/>
      <c r="R9" s="17"/>
      <c r="S9" s="1"/>
      <c r="T9" s="17" t="str">
        <f aca="false">IF(AND(ISNUMBER(Dashboard!$V$3),Dashboard!$V$3&gt;=1,Dashboard!$V$3&lt;DATE(2099,1,1)),"Incomplete actions on active pursuits","Enter the review date above")</f>
        <v>Enter the review date above</v>
      </c>
      <c r="U9" s="17"/>
      <c r="V9" s="17"/>
      <c r="W9" s="17"/>
      <c r="X9" s="17"/>
      <c r="Y9" s="1"/>
      <c r="Z9" s="1"/>
      <c r="AA9" s="1" t="n">
        <f aca="false">COUNT(Actions[Dashboard order])</f>
        <v>0</v>
      </c>
      <c r="AB9" s="1" t="s">
        <v>12</v>
      </c>
      <c r="AC9" s="1"/>
      <c r="AD9" s="1"/>
      <c r="AE9" s="1"/>
      <c r="AF9" s="1"/>
      <c r="AG9" s="1"/>
      <c r="AH9" s="1"/>
      <c r="AI9" s="1"/>
      <c r="AJ9" s="1"/>
      <c r="AK9" s="1"/>
    </row>
    <row r="10" customFormat="false" ht="18" hidden="false" customHeight="true" outlineLevel="0" collapsed="false">
      <c r="A10" s="1"/>
      <c r="B10" s="17"/>
      <c r="C10" s="17"/>
      <c r="D10" s="17"/>
      <c r="E10" s="17"/>
      <c r="F10" s="17"/>
      <c r="G10" s="1"/>
      <c r="H10" s="18" t="str">
        <f aca="false">IF(OR(AA11&gt;0,AA5=0),"",TEXT(AA6,"$0.00,,")&amp;"m probable; "&amp;AA5&amp;" of "&amp;AA1)</f>
        <v/>
      </c>
      <c r="I10" s="18"/>
      <c r="J10" s="18"/>
      <c r="K10" s="18"/>
      <c r="L10" s="18"/>
      <c r="M10" s="1"/>
      <c r="N10" s="17"/>
      <c r="O10" s="17"/>
      <c r="P10" s="17"/>
      <c r="Q10" s="17"/>
      <c r="R10" s="17"/>
      <c r="S10" s="1"/>
      <c r="T10" s="17"/>
      <c r="U10" s="17"/>
      <c r="V10" s="17"/>
      <c r="W10" s="17"/>
      <c r="X10" s="17"/>
      <c r="Y10" s="1"/>
      <c r="Z10" s="1"/>
      <c r="AA10" s="1" t="n">
        <f aca="false">COUNT(Pursuits[Review order])</f>
        <v>0</v>
      </c>
      <c r="AB10" s="1" t="s">
        <v>13</v>
      </c>
      <c r="AC10" s="1"/>
      <c r="AD10" s="1"/>
      <c r="AE10" s="1"/>
      <c r="AF10" s="1"/>
      <c r="AG10" s="1"/>
      <c r="AH10" s="1"/>
      <c r="AI10" s="1"/>
      <c r="AJ10" s="1"/>
      <c r="AK10" s="1"/>
    </row>
    <row r="11" customFormat="false" ht="10.5" hidden="false" customHeight="tru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 t="n">
        <f aca="false">COUNTIFS(Pursuits[Identity valid],1)-COUNT(Pursuits[Active])</f>
        <v>0</v>
      </c>
      <c r="AB11" s="1" t="s">
        <v>14</v>
      </c>
      <c r="AC11" s="1"/>
      <c r="AD11" s="1"/>
      <c r="AE11" s="1"/>
      <c r="AF11" s="1"/>
      <c r="AG11" s="1"/>
      <c r="AH11" s="1"/>
      <c r="AI11" s="1"/>
      <c r="AJ11" s="1"/>
      <c r="AK11" s="1"/>
    </row>
    <row r="12" customFormat="false" ht="19.5" hidden="false" customHeight="true" outlineLevel="0" collapsed="false">
      <c r="A12" s="1"/>
      <c r="B12" s="19" t="s">
        <v>15</v>
      </c>
      <c r="C12" s="19" t="s">
        <v>15</v>
      </c>
      <c r="D12" s="19" t="s">
        <v>15</v>
      </c>
      <c r="E12" s="19" t="s">
        <v>15</v>
      </c>
      <c r="F12" s="19" t="s">
        <v>15</v>
      </c>
      <c r="G12" s="19" t="s">
        <v>15</v>
      </c>
      <c r="H12" s="19" t="s">
        <v>15</v>
      </c>
      <c r="I12" s="19" t="s">
        <v>15</v>
      </c>
      <c r="J12" s="19" t="s">
        <v>15</v>
      </c>
      <c r="K12" s="19" t="s">
        <v>15</v>
      </c>
      <c r="L12" s="19" t="s">
        <v>15</v>
      </c>
      <c r="M12" s="19" t="s">
        <v>15</v>
      </c>
      <c r="N12" s="19" t="s">
        <v>15</v>
      </c>
      <c r="O12" s="19" t="s">
        <v>15</v>
      </c>
      <c r="P12" s="1"/>
      <c r="Q12" s="19" t="s">
        <v>16</v>
      </c>
      <c r="R12" s="19" t="s">
        <v>16</v>
      </c>
      <c r="S12" s="19" t="s">
        <v>16</v>
      </c>
      <c r="T12" s="19" t="s">
        <v>16</v>
      </c>
      <c r="U12" s="19" t="s">
        <v>16</v>
      </c>
      <c r="V12" s="19" t="s">
        <v>16</v>
      </c>
      <c r="W12" s="19" t="s">
        <v>16</v>
      </c>
      <c r="X12" s="19" t="s">
        <v>16</v>
      </c>
      <c r="Y12" s="1"/>
      <c r="Z12" s="1"/>
      <c r="AA12" s="1" t="n">
        <f aca="false">COUNTIFS(WorkStatuses[Input check],"?*")</f>
        <v>0</v>
      </c>
      <c r="AB12" s="1" t="s">
        <v>17</v>
      </c>
      <c r="AC12" s="1"/>
      <c r="AD12" s="1"/>
      <c r="AE12" s="1"/>
      <c r="AF12" s="1"/>
      <c r="AG12" s="1"/>
      <c r="AH12" s="1"/>
      <c r="AI12" s="1"/>
      <c r="AJ12" s="1"/>
      <c r="AK12" s="1"/>
    </row>
    <row r="13" customFormat="false" ht="16.5" hidden="false" customHeight="true" outlineLevel="0" collapsed="false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0" t="str">
        <f aca="false">IF(AD1=0,"",HYPERLINK("#'Pipeline'!B"&amp;(AD1+7),IF(AD1=0,"",INDEX(Pursuits[Opportunity],AD1))))</f>
        <v/>
      </c>
      <c r="R13" s="20"/>
      <c r="S13" s="20"/>
      <c r="T13" s="20"/>
      <c r="U13" s="20"/>
      <c r="V13" s="21" t="str">
        <f aca="false">IF(AD1=0,"",INDEX(Pursuits[Response due],AD1))</f>
        <v/>
      </c>
      <c r="W13" s="21"/>
      <c r="X13" s="2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</row>
    <row r="14" customFormat="false" ht="16.5" hidden="false" customHeight="true" outlineLevel="0" collapsed="false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0"/>
      <c r="R14" s="20"/>
      <c r="S14" s="20"/>
      <c r="T14" s="20"/>
      <c r="U14" s="20"/>
      <c r="V14" s="21"/>
      <c r="W14" s="21"/>
      <c r="X14" s="21"/>
      <c r="Y14" s="1"/>
      <c r="Z14" s="1"/>
      <c r="AA14" s="1" t="s">
        <v>18</v>
      </c>
      <c r="AB14" s="1" t="s">
        <v>19</v>
      </c>
      <c r="AC14" s="1"/>
      <c r="AD14" s="1"/>
      <c r="AE14" s="1"/>
      <c r="AF14" s="1"/>
      <c r="AG14" s="1"/>
      <c r="AH14" s="1"/>
      <c r="AI14" s="1"/>
      <c r="AJ14" s="1"/>
      <c r="AK14" s="1"/>
    </row>
    <row r="15" customFormat="false" ht="21" hidden="false" customHeight="true" outlineLevel="0" collapsed="false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2" t="str">
        <f aca="false">IF(AD1=0,"",INDEX(Pursuits[Response type],AD1)&amp;", "&amp;INDEX(Pursuits[Response clock],AD1))</f>
        <v/>
      </c>
      <c r="R15" s="22"/>
      <c r="S15" s="22"/>
      <c r="T15" s="22"/>
      <c r="U15" s="22"/>
      <c r="V15" s="22"/>
      <c r="W15" s="22"/>
      <c r="X15" s="22"/>
      <c r="Y15" s="1"/>
      <c r="Z15" s="1"/>
      <c r="AA15" s="1" t="str">
        <f aca="false">SUBSTITUTE('Source Data'!AD40," ",CHAR(10))</f>
        <v>Identified</v>
      </c>
      <c r="AB15" s="1" t="n">
        <f aca="false">COUNTIFS(Pursuits[Stage],'Source Data'!AD40,Pursuits[Identity valid],1)</f>
        <v>0</v>
      </c>
      <c r="AC15" s="1"/>
      <c r="AD15" s="1"/>
      <c r="AE15" s="1"/>
      <c r="AF15" s="1"/>
      <c r="AG15" s="1"/>
      <c r="AH15" s="1"/>
      <c r="AI15" s="1"/>
      <c r="AJ15" s="1"/>
      <c r="AK15" s="1"/>
    </row>
    <row r="16" customFormat="false" ht="16.5" hidden="false" customHeight="true" outlineLevel="0" collapsed="false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0" t="str">
        <f aca="false">IF(AD2=0,"",HYPERLINK("#'Pipeline'!B"&amp;(AD2+7),IF(AD2=0,"",INDEX(Pursuits[Opportunity],AD2))))</f>
        <v/>
      </c>
      <c r="R16" s="20"/>
      <c r="S16" s="20"/>
      <c r="T16" s="20"/>
      <c r="U16" s="20"/>
      <c r="V16" s="21" t="str">
        <f aca="false">IF(AD2=0,"",INDEX(Pursuits[Response due],AD2))</f>
        <v/>
      </c>
      <c r="W16" s="21"/>
      <c r="X16" s="21"/>
      <c r="Y16" s="1"/>
      <c r="Z16" s="1"/>
      <c r="AA16" s="1" t="str">
        <f aca="false">SUBSTITUTE('Source Data'!AD41," ",CHAR(10))</f>
        <v>Qualifying</v>
      </c>
      <c r="AB16" s="1" t="n">
        <f aca="false">COUNTIFS(Pursuits[Stage],'Source Data'!AD41,Pursuits[Identity valid],1)</f>
        <v>0</v>
      </c>
      <c r="AC16" s="1"/>
      <c r="AD16" s="1"/>
      <c r="AE16" s="1"/>
      <c r="AF16" s="1"/>
      <c r="AG16" s="1"/>
      <c r="AH16" s="1"/>
      <c r="AI16" s="1"/>
      <c r="AJ16" s="1"/>
      <c r="AK16" s="1"/>
    </row>
    <row r="17" customFormat="false" ht="16.5" hidden="false" customHeight="tru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0"/>
      <c r="R17" s="20"/>
      <c r="S17" s="20"/>
      <c r="T17" s="20"/>
      <c r="U17" s="20"/>
      <c r="V17" s="21"/>
      <c r="W17" s="21"/>
      <c r="X17" s="21"/>
      <c r="Y17" s="1"/>
      <c r="Z17" s="1"/>
      <c r="AA17" s="1" t="str">
        <f aca="false">SUBSTITUTE('Source Data'!AD42," ",CHAR(10))</f>
        <v>Pursuing</v>
      </c>
      <c r="AB17" s="1" t="n">
        <f aca="false">COUNTIFS(Pursuits[Stage],'Source Data'!AD42,Pursuits[Identity valid],1)</f>
        <v>0</v>
      </c>
      <c r="AC17" s="1"/>
      <c r="AD17" s="1"/>
      <c r="AE17" s="1"/>
      <c r="AF17" s="1"/>
      <c r="AG17" s="1"/>
      <c r="AH17" s="1"/>
      <c r="AI17" s="1"/>
      <c r="AJ17" s="1"/>
      <c r="AK17" s="1"/>
    </row>
    <row r="18" customFormat="false" ht="21" hidden="false" customHeight="tru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2" t="str">
        <f aca="false">IF(AD2=0,"",INDEX(Pursuits[Response type],AD2)&amp;", "&amp;INDEX(Pursuits[Response clock],AD2))</f>
        <v/>
      </c>
      <c r="R18" s="22"/>
      <c r="S18" s="22"/>
      <c r="T18" s="22"/>
      <c r="U18" s="22"/>
      <c r="V18" s="22"/>
      <c r="W18" s="22"/>
      <c r="X18" s="22"/>
      <c r="Y18" s="1"/>
      <c r="Z18" s="1"/>
      <c r="AA18" s="23" t="str">
        <f aca="false">SUBSTITUTE('Source Data'!AD43," ",CHAR(10))</f>
        <v>Preparing
response</v>
      </c>
      <c r="AB18" s="1" t="n">
        <f aca="false">COUNTIFS(Pursuits[Stage],'Source Data'!AD43,Pursuits[Identity valid],1)</f>
        <v>0</v>
      </c>
      <c r="AC18" s="1"/>
      <c r="AD18" s="1"/>
      <c r="AE18" s="1"/>
      <c r="AF18" s="1"/>
      <c r="AG18" s="1"/>
      <c r="AH18" s="1"/>
      <c r="AI18" s="1"/>
      <c r="AJ18" s="1"/>
      <c r="AK18" s="1"/>
    </row>
    <row r="19" customFormat="false" ht="16.5" hidden="false" customHeight="true" outlineLevel="0" collapsed="false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0" t="str">
        <f aca="false">IF(AD3=0,"",HYPERLINK("#'Pipeline'!B"&amp;(AD3+7),IF(AD3=0,"",INDEX(Pursuits[Opportunity],AD3))))</f>
        <v/>
      </c>
      <c r="R19" s="20"/>
      <c r="S19" s="20"/>
      <c r="T19" s="20"/>
      <c r="U19" s="20"/>
      <c r="V19" s="21" t="str">
        <f aca="false">IF(AD3=0,"",INDEX(Pursuits[Response due],AD3))</f>
        <v/>
      </c>
      <c r="W19" s="21"/>
      <c r="X19" s="21"/>
      <c r="Y19" s="1"/>
      <c r="Z19" s="1"/>
      <c r="AA19" s="1" t="str">
        <f aca="false">SUBSTITUTE('Source Data'!AD44," ",CHAR(10))</f>
        <v>Submitted</v>
      </c>
      <c r="AB19" s="1" t="n">
        <f aca="false">COUNTIFS(Pursuits[Stage],'Source Data'!AD44,Pursuits[Identity valid],1)</f>
        <v>0</v>
      </c>
      <c r="AC19" s="1"/>
      <c r="AD19" s="1"/>
      <c r="AE19" s="1"/>
      <c r="AF19" s="1"/>
      <c r="AG19" s="1"/>
      <c r="AH19" s="1"/>
      <c r="AI19" s="1"/>
      <c r="AJ19" s="1"/>
      <c r="AK19" s="1"/>
    </row>
    <row r="20" customFormat="false" ht="16.5" hidden="false" customHeight="true" outlineLevel="0" collapsed="false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0"/>
      <c r="R20" s="20"/>
      <c r="S20" s="20"/>
      <c r="T20" s="20"/>
      <c r="U20" s="20"/>
      <c r="V20" s="21"/>
      <c r="W20" s="21"/>
      <c r="X20" s="21"/>
      <c r="Y20" s="1"/>
      <c r="Z20" s="1"/>
      <c r="AA20" s="1" t="str">
        <f aca="false">SUBSTITUTE('Source Data'!AD45," ",CHAR(10))</f>
        <v>Won</v>
      </c>
      <c r="AB20" s="1" t="n">
        <f aca="false">COUNTIFS(Pursuits[Stage],'Source Data'!AD45,Pursuits[Identity valid],1)</f>
        <v>0</v>
      </c>
      <c r="AC20" s="1"/>
      <c r="AD20" s="1"/>
      <c r="AE20" s="1"/>
      <c r="AF20" s="1"/>
      <c r="AG20" s="1"/>
      <c r="AH20" s="1"/>
      <c r="AI20" s="1"/>
      <c r="AJ20" s="1"/>
      <c r="AK20" s="1"/>
    </row>
    <row r="21" customFormat="false" ht="21" hidden="false" customHeight="true" outlineLevel="0" collapsed="false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2" t="str">
        <f aca="false">IF(AD3=0,"",INDEX(Pursuits[Response type],AD3)&amp;", "&amp;INDEX(Pursuits[Response clock],AD3))</f>
        <v/>
      </c>
      <c r="R21" s="22"/>
      <c r="S21" s="22"/>
      <c r="T21" s="22"/>
      <c r="U21" s="22"/>
      <c r="V21" s="22"/>
      <c r="W21" s="22"/>
      <c r="X21" s="22"/>
      <c r="Y21" s="1"/>
      <c r="Z21" s="1"/>
      <c r="AA21" s="1" t="str">
        <f aca="false">SUBSTITUTE('Source Data'!AD46," ",CHAR(10))</f>
        <v>Lost</v>
      </c>
      <c r="AB21" s="1" t="n">
        <f aca="false">COUNTIFS(Pursuits[Stage],'Source Data'!AD46,Pursuits[Identity valid],1)</f>
        <v>0</v>
      </c>
      <c r="AC21" s="1"/>
      <c r="AD21" s="1"/>
      <c r="AE21" s="1"/>
      <c r="AF21" s="1"/>
      <c r="AG21" s="1"/>
      <c r="AH21" s="1"/>
      <c r="AI21" s="1"/>
      <c r="AJ21" s="1"/>
      <c r="AK21" s="1"/>
    </row>
    <row r="22" customFormat="false" ht="16.5" hidden="false" customHeight="true" outlineLevel="0" collapsed="false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5" t="str">
        <f aca="false">IF(AA7=0,IF(AND(ISNUMBER(Dashboard!$V$3),Dashboard!$V$3&gt;=1,Dashboard!$V$3&lt;DATE(2099,1,1)),"No responses due in this window","Set the As of date"),IF(AA7&gt;3,"3 of "&amp;AA7&amp;" shown; see Pipeline",""))</f>
        <v>Set the As of date</v>
      </c>
      <c r="R22" s="5"/>
      <c r="S22" s="5"/>
      <c r="T22" s="5"/>
      <c r="U22" s="5"/>
      <c r="V22" s="5"/>
      <c r="W22" s="5"/>
      <c r="X22" s="5"/>
      <c r="Y22" s="1"/>
      <c r="Z22" s="1"/>
      <c r="AA22" s="1" t="str">
        <f aca="false">SUBSTITUTE('Source Data'!AD47," ",CHAR(10))</f>
        <v>Abandoned</v>
      </c>
      <c r="AB22" s="1" t="n">
        <f aca="false">COUNTIFS(Pursuits[Stage],'Source Data'!AD47,Pursuits[Identity valid],1)</f>
        <v>0</v>
      </c>
      <c r="AC22" s="1"/>
      <c r="AD22" s="1"/>
      <c r="AE22" s="1"/>
      <c r="AF22" s="1"/>
      <c r="AG22" s="1"/>
      <c r="AH22" s="1"/>
      <c r="AI22" s="1"/>
      <c r="AJ22" s="1"/>
      <c r="AK22" s="1"/>
    </row>
    <row r="23" customFormat="false" ht="19.5" hidden="false" customHeight="true" outlineLevel="0" collapsed="false">
      <c r="A23" s="1"/>
      <c r="B23" s="19" t="s">
        <v>20</v>
      </c>
      <c r="C23" s="19" t="s">
        <v>20</v>
      </c>
      <c r="D23" s="19" t="s">
        <v>20</v>
      </c>
      <c r="E23" s="19" t="s">
        <v>20</v>
      </c>
      <c r="F23" s="19" t="s">
        <v>20</v>
      </c>
      <c r="G23" s="19" t="s">
        <v>20</v>
      </c>
      <c r="H23" s="19" t="s">
        <v>20</v>
      </c>
      <c r="I23" s="19" t="s">
        <v>20</v>
      </c>
      <c r="J23" s="19" t="s">
        <v>20</v>
      </c>
      <c r="K23" s="19" t="s">
        <v>20</v>
      </c>
      <c r="L23" s="19" t="s">
        <v>20</v>
      </c>
      <c r="M23" s="19" t="s">
        <v>20</v>
      </c>
      <c r="N23" s="19" t="s">
        <v>20</v>
      </c>
      <c r="O23" s="19" t="s">
        <v>20</v>
      </c>
      <c r="P23" s="1"/>
      <c r="Q23" s="19" t="s">
        <v>21</v>
      </c>
      <c r="R23" s="19" t="s">
        <v>21</v>
      </c>
      <c r="S23" s="19" t="s">
        <v>21</v>
      </c>
      <c r="T23" s="19" t="s">
        <v>21</v>
      </c>
      <c r="U23" s="19" t="s">
        <v>21</v>
      </c>
      <c r="V23" s="19" t="s">
        <v>21</v>
      </c>
      <c r="W23" s="19" t="s">
        <v>21</v>
      </c>
      <c r="X23" s="19" t="s">
        <v>21</v>
      </c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</row>
    <row r="24" customFormat="false" ht="18" hidden="false" customHeight="true" outlineLevel="0" collapsed="false">
      <c r="A24" s="1"/>
      <c r="B24" s="24" t="s">
        <v>22</v>
      </c>
      <c r="C24" s="24" t="s">
        <v>22</v>
      </c>
      <c r="D24" s="24" t="s">
        <v>22</v>
      </c>
      <c r="E24" s="24" t="s">
        <v>23</v>
      </c>
      <c r="F24" s="24" t="s">
        <v>23</v>
      </c>
      <c r="G24" s="24" t="s">
        <v>23</v>
      </c>
      <c r="H24" s="24" t="s">
        <v>23</v>
      </c>
      <c r="I24" s="24" t="s">
        <v>23</v>
      </c>
      <c r="J24" s="24" t="s">
        <v>23</v>
      </c>
      <c r="K24" s="24" t="s">
        <v>24</v>
      </c>
      <c r="L24" s="24" t="s">
        <v>24</v>
      </c>
      <c r="M24" s="24" t="s">
        <v>25</v>
      </c>
      <c r="N24" s="24" t="s">
        <v>25</v>
      </c>
      <c r="O24" s="24" t="s">
        <v>25</v>
      </c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</row>
    <row r="25" customFormat="false" ht="16.5" hidden="false" customHeight="true" outlineLevel="0" collapsed="false">
      <c r="A25" s="1"/>
      <c r="B25" s="25" t="str">
        <f aca="false">IF(AE1=0,"",HYPERLINK("#'Actions'!D"&amp;(AE1+7),IF(AE1=0,"",IF(INDEX(Actions[Pursuit],AE1)="","",INDEX(Actions[Pursuit],AE1)))))</f>
        <v/>
      </c>
      <c r="C25" s="25"/>
      <c r="D25" s="25"/>
      <c r="E25" s="25" t="str">
        <f aca="false">IF(AE1=0,"",IF(INDEX(Actions[Action],AE1)="","",INDEX(Actions[Action],AE1)))</f>
        <v/>
      </c>
      <c r="F25" s="25"/>
      <c r="G25" s="25"/>
      <c r="H25" s="25"/>
      <c r="I25" s="25"/>
      <c r="J25" s="25"/>
      <c r="K25" s="26" t="str">
        <f aca="false">IF(AE1=0,"",IF(INDEX(Actions[Due date],AE1)="","",INDEX(Actions[Due date],AE1)))</f>
        <v/>
      </c>
      <c r="L25" s="26"/>
      <c r="M25" s="25" t="str">
        <f aca="false">IF(AE1=0,"",IF(INDEX(Actions[Status],AE1)="","",INDEX(Actions[Status],AE1)))</f>
        <v/>
      </c>
      <c r="N25" s="25"/>
      <c r="O25" s="25"/>
      <c r="P25" s="1"/>
      <c r="Q25" s="27" t="str">
        <f aca="false">IF(AF1=0,"",HYPERLINK("#'Pipeline'!I"&amp;(AF1+7),IF(AF1=0,"",IF(INDEX(Pursuits[Opportunity],AF1)="","Unnamed pursuit",INDEX(Pursuits[Opportunity],AF1))&amp;CHAR(10)&amp;INDEX(Pursuits[Needs attention],AF1))))</f>
        <v/>
      </c>
      <c r="R25" s="27"/>
      <c r="S25" s="27"/>
      <c r="T25" s="27"/>
      <c r="U25" s="27"/>
      <c r="V25" s="27"/>
      <c r="W25" s="27"/>
      <c r="X25" s="27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</row>
    <row r="26" customFormat="false" ht="16.5" hidden="false" customHeight="true" outlineLevel="0" collapsed="false">
      <c r="A26" s="1"/>
      <c r="B26" s="25"/>
      <c r="C26" s="25"/>
      <c r="D26" s="25"/>
      <c r="E26" s="25"/>
      <c r="F26" s="25"/>
      <c r="G26" s="25"/>
      <c r="H26" s="25"/>
      <c r="I26" s="25"/>
      <c r="J26" s="25"/>
      <c r="K26" s="26"/>
      <c r="L26" s="26"/>
      <c r="M26" s="25"/>
      <c r="N26" s="25"/>
      <c r="O26" s="25"/>
      <c r="P26" s="1"/>
      <c r="Q26" s="27"/>
      <c r="R26" s="27"/>
      <c r="S26" s="27"/>
      <c r="T26" s="27"/>
      <c r="U26" s="27"/>
      <c r="V26" s="27"/>
      <c r="W26" s="27"/>
      <c r="X26" s="27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</row>
    <row r="27" customFormat="false" ht="16.5" hidden="false" customHeight="true" outlineLevel="0" collapsed="false">
      <c r="A27" s="1"/>
      <c r="B27" s="28" t="str">
        <f aca="false">IF(AE2=0,"",HYPERLINK("#'Actions'!D"&amp;(AE2+7),IF(AE2=0,"",IF(INDEX(Actions[Pursuit],AE2)="","",INDEX(Actions[Pursuit],AE2)))))</f>
        <v/>
      </c>
      <c r="C27" s="28"/>
      <c r="D27" s="28"/>
      <c r="E27" s="28" t="str">
        <f aca="false">IF(AE2=0,"",IF(INDEX(Actions[Action],AE2)="","",INDEX(Actions[Action],AE2)))</f>
        <v/>
      </c>
      <c r="F27" s="28"/>
      <c r="G27" s="28"/>
      <c r="H27" s="28"/>
      <c r="I27" s="28"/>
      <c r="J27" s="28"/>
      <c r="K27" s="29" t="str">
        <f aca="false">IF(AE2=0,"",IF(INDEX(Actions[Due date],AE2)="","",INDEX(Actions[Due date],AE2)))</f>
        <v/>
      </c>
      <c r="L27" s="29"/>
      <c r="M27" s="28" t="str">
        <f aca="false">IF(AE2=0,"",IF(INDEX(Actions[Status],AE2)="","",INDEX(Actions[Status],AE2)))</f>
        <v/>
      </c>
      <c r="N27" s="28"/>
      <c r="O27" s="28"/>
      <c r="P27" s="1"/>
      <c r="Q27" s="27"/>
      <c r="R27" s="27"/>
      <c r="S27" s="27"/>
      <c r="T27" s="27"/>
      <c r="U27" s="27"/>
      <c r="V27" s="27"/>
      <c r="W27" s="27"/>
      <c r="X27" s="27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</row>
    <row r="28" customFormat="false" ht="16.5" hidden="false" customHeight="true" outlineLevel="0" collapsed="false">
      <c r="A28" s="1"/>
      <c r="B28" s="28"/>
      <c r="C28" s="28"/>
      <c r="D28" s="28"/>
      <c r="E28" s="28"/>
      <c r="F28" s="28"/>
      <c r="G28" s="28"/>
      <c r="H28" s="28"/>
      <c r="I28" s="28"/>
      <c r="J28" s="28"/>
      <c r="K28" s="29"/>
      <c r="L28" s="29"/>
      <c r="M28" s="28"/>
      <c r="N28" s="28"/>
      <c r="O28" s="28"/>
      <c r="P28" s="1"/>
      <c r="Q28" s="27" t="str">
        <f aca="false">IF(AF2=0,"",HYPERLINK("#'Pipeline'!I"&amp;(AF2+7),IF(AF2=0,"",IF(INDEX(Pursuits[Opportunity],AF2)="","Unnamed pursuit",INDEX(Pursuits[Opportunity],AF2))&amp;CHAR(10)&amp;INDEX(Pursuits[Needs attention],AF2))))</f>
        <v/>
      </c>
      <c r="R28" s="27"/>
      <c r="S28" s="27"/>
      <c r="T28" s="27"/>
      <c r="U28" s="27"/>
      <c r="V28" s="27"/>
      <c r="W28" s="27"/>
      <c r="X28" s="27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</row>
    <row r="29" customFormat="false" ht="16.5" hidden="false" customHeight="true" outlineLevel="0" collapsed="false">
      <c r="A29" s="1"/>
      <c r="B29" s="25" t="str">
        <f aca="false">IF(AE3=0,"",HYPERLINK("#'Actions'!D"&amp;(AE3+7),IF(AE3=0,"",IF(INDEX(Actions[Pursuit],AE3)="","",INDEX(Actions[Pursuit],AE3)))))</f>
        <v/>
      </c>
      <c r="C29" s="25"/>
      <c r="D29" s="25"/>
      <c r="E29" s="25" t="str">
        <f aca="false">IF(AE3=0,"",IF(INDEX(Actions[Action],AE3)="","",INDEX(Actions[Action],AE3)))</f>
        <v/>
      </c>
      <c r="F29" s="25"/>
      <c r="G29" s="25"/>
      <c r="H29" s="25"/>
      <c r="I29" s="25"/>
      <c r="J29" s="25"/>
      <c r="K29" s="26" t="str">
        <f aca="false">IF(AE3=0,"",IF(INDEX(Actions[Due date],AE3)="","",INDEX(Actions[Due date],AE3)))</f>
        <v/>
      </c>
      <c r="L29" s="26"/>
      <c r="M29" s="25" t="str">
        <f aca="false">IF(AE3=0,"",IF(INDEX(Actions[Status],AE3)="","",INDEX(Actions[Status],AE3)))</f>
        <v/>
      </c>
      <c r="N29" s="25"/>
      <c r="O29" s="25"/>
      <c r="P29" s="1"/>
      <c r="Q29" s="27"/>
      <c r="R29" s="27"/>
      <c r="S29" s="27"/>
      <c r="T29" s="27"/>
      <c r="U29" s="27"/>
      <c r="V29" s="27"/>
      <c r="W29" s="27"/>
      <c r="X29" s="27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</row>
    <row r="30" customFormat="false" ht="16.5" hidden="false" customHeight="true" outlineLevel="0" collapsed="false">
      <c r="A30" s="1"/>
      <c r="B30" s="25"/>
      <c r="C30" s="25"/>
      <c r="D30" s="25"/>
      <c r="E30" s="25"/>
      <c r="F30" s="25"/>
      <c r="G30" s="25"/>
      <c r="H30" s="25"/>
      <c r="I30" s="25"/>
      <c r="J30" s="25"/>
      <c r="K30" s="26"/>
      <c r="L30" s="26"/>
      <c r="M30" s="25"/>
      <c r="N30" s="25"/>
      <c r="O30" s="25"/>
      <c r="P30" s="1"/>
      <c r="Q30" s="27"/>
      <c r="R30" s="27"/>
      <c r="S30" s="27"/>
      <c r="T30" s="27"/>
      <c r="U30" s="27"/>
      <c r="V30" s="27"/>
      <c r="W30" s="27"/>
      <c r="X30" s="27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</row>
    <row r="31" customFormat="false" ht="16.5" hidden="false" customHeight="true" outlineLevel="0" collapsed="false">
      <c r="A31" s="1"/>
      <c r="B31" s="28" t="str">
        <f aca="false">IF(AE4=0,"",HYPERLINK("#'Actions'!D"&amp;(AE4+7),IF(AE4=0,"",IF(INDEX(Actions[Pursuit],AE4)="","",INDEX(Actions[Pursuit],AE4)))))</f>
        <v/>
      </c>
      <c r="C31" s="28"/>
      <c r="D31" s="28"/>
      <c r="E31" s="28" t="str">
        <f aca="false">IF(AE4=0,"",IF(INDEX(Actions[Action],AE4)="","",INDEX(Actions[Action],AE4)))</f>
        <v/>
      </c>
      <c r="F31" s="28"/>
      <c r="G31" s="28"/>
      <c r="H31" s="28"/>
      <c r="I31" s="28"/>
      <c r="J31" s="28"/>
      <c r="K31" s="29" t="str">
        <f aca="false">IF(AE4=0,"",IF(INDEX(Actions[Due date],AE4)="","",INDEX(Actions[Due date],AE4)))</f>
        <v/>
      </c>
      <c r="L31" s="29"/>
      <c r="M31" s="28" t="str">
        <f aca="false">IF(AE4=0,"",IF(INDEX(Actions[Status],AE4)="","",INDEX(Actions[Status],AE4)))</f>
        <v/>
      </c>
      <c r="N31" s="28"/>
      <c r="O31" s="28"/>
      <c r="P31" s="1"/>
      <c r="Q31" s="27" t="str">
        <f aca="false">IF(AF3=0,"",HYPERLINK("#'Pipeline'!I"&amp;(AF3+7),IF(AF3=0,"",IF(INDEX(Pursuits[Opportunity],AF3)="","Unnamed pursuit",INDEX(Pursuits[Opportunity],AF3))&amp;CHAR(10)&amp;INDEX(Pursuits[Needs attention],AF3))))</f>
        <v/>
      </c>
      <c r="R31" s="27"/>
      <c r="S31" s="27"/>
      <c r="T31" s="27"/>
      <c r="U31" s="27"/>
      <c r="V31" s="27"/>
      <c r="W31" s="27"/>
      <c r="X31" s="27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</row>
    <row r="32" customFormat="false" ht="16.5" hidden="false" customHeight="true" outlineLevel="0" collapsed="false">
      <c r="A32" s="1"/>
      <c r="B32" s="28"/>
      <c r="C32" s="28"/>
      <c r="D32" s="28"/>
      <c r="E32" s="28"/>
      <c r="F32" s="28"/>
      <c r="G32" s="28"/>
      <c r="H32" s="28"/>
      <c r="I32" s="28"/>
      <c r="J32" s="28"/>
      <c r="K32" s="29"/>
      <c r="L32" s="29"/>
      <c r="M32" s="28"/>
      <c r="N32" s="28"/>
      <c r="O32" s="28"/>
      <c r="P32" s="1"/>
      <c r="Q32" s="27"/>
      <c r="R32" s="27"/>
      <c r="S32" s="27"/>
      <c r="T32" s="27"/>
      <c r="U32" s="27"/>
      <c r="V32" s="27"/>
      <c r="W32" s="27"/>
      <c r="X32" s="27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</row>
    <row r="33" customFormat="false" ht="16.5" hidden="false" customHeight="true" outlineLevel="0" collapsed="false">
      <c r="A33" s="1"/>
      <c r="B33" s="25" t="str">
        <f aca="false">IF(AE5=0,"",HYPERLINK("#'Actions'!D"&amp;(AE5+7),IF(AE5=0,"",IF(INDEX(Actions[Pursuit],AE5)="","",INDEX(Actions[Pursuit],AE5)))))</f>
        <v/>
      </c>
      <c r="C33" s="25"/>
      <c r="D33" s="25"/>
      <c r="E33" s="25" t="str">
        <f aca="false">IF(AE5=0,"",IF(INDEX(Actions[Action],AE5)="","",INDEX(Actions[Action],AE5)))</f>
        <v/>
      </c>
      <c r="F33" s="25"/>
      <c r="G33" s="25"/>
      <c r="H33" s="25"/>
      <c r="I33" s="25"/>
      <c r="J33" s="25"/>
      <c r="K33" s="26" t="str">
        <f aca="false">IF(AE5=0,"",IF(INDEX(Actions[Due date],AE5)="","",INDEX(Actions[Due date],AE5)))</f>
        <v/>
      </c>
      <c r="L33" s="26"/>
      <c r="M33" s="25" t="str">
        <f aca="false">IF(AE5=0,"",IF(INDEX(Actions[Status],AE5)="","",INDEX(Actions[Status],AE5)))</f>
        <v/>
      </c>
      <c r="N33" s="25"/>
      <c r="O33" s="25"/>
      <c r="P33" s="1"/>
      <c r="Q33" s="27"/>
      <c r="R33" s="27"/>
      <c r="S33" s="27"/>
      <c r="T33" s="27"/>
      <c r="U33" s="27"/>
      <c r="V33" s="27"/>
      <c r="W33" s="27"/>
      <c r="X33" s="27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</row>
    <row r="34" customFormat="false" ht="16.5" hidden="false" customHeight="true" outlineLevel="0" collapsed="false">
      <c r="A34" s="1"/>
      <c r="B34" s="25"/>
      <c r="C34" s="25"/>
      <c r="D34" s="25"/>
      <c r="E34" s="25"/>
      <c r="F34" s="25"/>
      <c r="G34" s="25"/>
      <c r="H34" s="25"/>
      <c r="I34" s="25"/>
      <c r="J34" s="25"/>
      <c r="K34" s="26"/>
      <c r="L34" s="26"/>
      <c r="M34" s="25"/>
      <c r="N34" s="25"/>
      <c r="O34" s="25"/>
      <c r="P34" s="1"/>
      <c r="Q34" s="5" t="str">
        <f aca="false">IF(AA10=0,"No pursuits need review",IF(AA10&gt;3,"3 of "&amp;AA10&amp;" shown; see Pipeline",""))</f>
        <v>No pursuits need review</v>
      </c>
      <c r="R34" s="5"/>
      <c r="S34" s="5"/>
      <c r="T34" s="5"/>
      <c r="U34" s="5"/>
      <c r="V34" s="5"/>
      <c r="W34" s="5"/>
      <c r="X34" s="5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</row>
    <row r="35" customFormat="false" ht="18" hidden="false" customHeight="true" outlineLevel="0" collapsed="false">
      <c r="A35" s="1"/>
      <c r="B35" s="5" t="str">
        <f aca="false">IF(AA9=0,"No open actions",IF(AA9&gt;5,"5 of "&amp;AA9&amp;" shown; see Actions",""))</f>
        <v>No open actions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</row>
    <row r="36" customFormat="false" ht="18.75" hidden="false" customHeight="true" outlineLevel="0" collapsed="false">
      <c r="A36" s="1"/>
      <c r="B36" s="30" t="s">
        <v>26</v>
      </c>
      <c r="C36" s="30" t="s">
        <v>26</v>
      </c>
      <c r="D36" s="30" t="s">
        <v>26</v>
      </c>
      <c r="E36" s="30" t="s">
        <v>26</v>
      </c>
      <c r="F36" s="30" t="s">
        <v>26</v>
      </c>
      <c r="G36" s="30" t="s">
        <v>26</v>
      </c>
      <c r="H36" s="30" t="s">
        <v>26</v>
      </c>
      <c r="I36" s="30" t="s">
        <v>26</v>
      </c>
      <c r="J36" s="30" t="s">
        <v>26</v>
      </c>
      <c r="K36" s="30" t="s">
        <v>26</v>
      </c>
      <c r="L36" s="30" t="s">
        <v>26</v>
      </c>
      <c r="M36" s="30" t="s">
        <v>26</v>
      </c>
      <c r="N36" s="30" t="s">
        <v>26</v>
      </c>
      <c r="O36" s="30" t="s">
        <v>26</v>
      </c>
      <c r="P36" s="30" t="s">
        <v>26</v>
      </c>
      <c r="Q36" s="30" t="s">
        <v>26</v>
      </c>
      <c r="R36" s="30" t="s">
        <v>26</v>
      </c>
      <c r="S36" s="30" t="s">
        <v>26</v>
      </c>
      <c r="T36" s="30" t="s">
        <v>26</v>
      </c>
      <c r="U36" s="30" t="s">
        <v>26</v>
      </c>
      <c r="V36" s="30" t="s">
        <v>26</v>
      </c>
      <c r="W36" s="30" t="s">
        <v>26</v>
      </c>
      <c r="X36" s="30" t="s">
        <v>26</v>
      </c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</row>
    <row r="37" customFormat="false" ht="18" hidden="false" customHeight="true" outlineLevel="0" collapsed="false">
      <c r="A37" s="1"/>
      <c r="B37" s="31" t="s">
        <v>27</v>
      </c>
      <c r="C37" s="31" t="s">
        <v>27</v>
      </c>
      <c r="D37" s="31" t="s">
        <v>27</v>
      </c>
      <c r="E37" s="31" t="s">
        <v>27</v>
      </c>
      <c r="F37" s="31" t="s">
        <v>27</v>
      </c>
      <c r="G37" s="1"/>
      <c r="H37" s="31" t="s">
        <v>28</v>
      </c>
      <c r="I37" s="31" t="s">
        <v>28</v>
      </c>
      <c r="J37" s="31" t="s">
        <v>28</v>
      </c>
      <c r="K37" s="31" t="s">
        <v>28</v>
      </c>
      <c r="L37" s="31" t="s">
        <v>28</v>
      </c>
      <c r="M37" s="1"/>
      <c r="N37" s="31" t="s">
        <v>29</v>
      </c>
      <c r="O37" s="31" t="s">
        <v>29</v>
      </c>
      <c r="P37" s="31" t="s">
        <v>29</v>
      </c>
      <c r="Q37" s="31" t="s">
        <v>29</v>
      </c>
      <c r="R37" s="31" t="s">
        <v>29</v>
      </c>
      <c r="S37" s="1"/>
      <c r="T37" s="31" t="s">
        <v>30</v>
      </c>
      <c r="U37" s="31" t="s">
        <v>30</v>
      </c>
      <c r="V37" s="31" t="s">
        <v>30</v>
      </c>
      <c r="W37" s="31" t="s">
        <v>30</v>
      </c>
      <c r="X37" s="31" t="s">
        <v>30</v>
      </c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</row>
    <row r="38" customFormat="false" ht="16.5" hidden="false" customHeight="tru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</row>
    <row r="39" customFormat="false" ht="16.5" hidden="false" customHeight="tru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</row>
    <row r="40" customFormat="false" ht="16.5" hidden="false" customHeight="tru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</row>
  </sheetData>
  <mergeCells count="72">
    <mergeCell ref="B2:R2"/>
    <mergeCell ref="T2:X2"/>
    <mergeCell ref="B3:R3"/>
    <mergeCell ref="T3:U3"/>
    <mergeCell ref="V3:X3"/>
    <mergeCell ref="B4:L4"/>
    <mergeCell ref="N4:X4"/>
    <mergeCell ref="B6:F6"/>
    <mergeCell ref="H6:L6"/>
    <mergeCell ref="N6:R6"/>
    <mergeCell ref="T6:X6"/>
    <mergeCell ref="B7:F7"/>
    <mergeCell ref="H7:L7"/>
    <mergeCell ref="N7:R7"/>
    <mergeCell ref="T7:X7"/>
    <mergeCell ref="B8:F8"/>
    <mergeCell ref="H8:L8"/>
    <mergeCell ref="N8:R8"/>
    <mergeCell ref="T8:X8"/>
    <mergeCell ref="B9:F10"/>
    <mergeCell ref="H9:L9"/>
    <mergeCell ref="N9:R10"/>
    <mergeCell ref="T9:X10"/>
    <mergeCell ref="H10:L10"/>
    <mergeCell ref="B12:O12"/>
    <mergeCell ref="Q12:X12"/>
    <mergeCell ref="Q13:U14"/>
    <mergeCell ref="V13:X14"/>
    <mergeCell ref="Q15:X15"/>
    <mergeCell ref="Q16:U17"/>
    <mergeCell ref="V16:X17"/>
    <mergeCell ref="Q18:X18"/>
    <mergeCell ref="Q19:U20"/>
    <mergeCell ref="V19:X20"/>
    <mergeCell ref="Q21:X21"/>
    <mergeCell ref="Q22:X22"/>
    <mergeCell ref="B23:O23"/>
    <mergeCell ref="Q23:X23"/>
    <mergeCell ref="B24:D24"/>
    <mergeCell ref="E24:J24"/>
    <mergeCell ref="K24:L24"/>
    <mergeCell ref="M24:O24"/>
    <mergeCell ref="B25:D26"/>
    <mergeCell ref="E25:J26"/>
    <mergeCell ref="K25:L26"/>
    <mergeCell ref="M25:O26"/>
    <mergeCell ref="Q25:X27"/>
    <mergeCell ref="B27:D28"/>
    <mergeCell ref="E27:J28"/>
    <mergeCell ref="K27:L28"/>
    <mergeCell ref="M27:O28"/>
    <mergeCell ref="Q28:X30"/>
    <mergeCell ref="B29:D30"/>
    <mergeCell ref="E29:J30"/>
    <mergeCell ref="K29:L30"/>
    <mergeCell ref="M29:O30"/>
    <mergeCell ref="B31:D32"/>
    <mergeCell ref="E31:J32"/>
    <mergeCell ref="K31:L32"/>
    <mergeCell ref="M31:O32"/>
    <mergeCell ref="Q31:X33"/>
    <mergeCell ref="B33:D34"/>
    <mergeCell ref="E33:J34"/>
    <mergeCell ref="K33:L34"/>
    <mergeCell ref="M33:O34"/>
    <mergeCell ref="Q34:X34"/>
    <mergeCell ref="B35:O35"/>
    <mergeCell ref="B36:X36"/>
    <mergeCell ref="B37:F37"/>
    <mergeCell ref="H37:L37"/>
    <mergeCell ref="N37:R37"/>
    <mergeCell ref="T37:X37"/>
  </mergeCells>
  <conditionalFormatting sqref="B8:F8">
    <cfRule type="expression" priority="2" aboveAverage="0" equalAverage="0" bottom="0" percent="0" rank="0" text="" dxfId="0">
      <formula>NOT(ISNUMBER(B8))</formula>
    </cfRule>
  </conditionalFormatting>
  <conditionalFormatting sqref="H8:L8">
    <cfRule type="expression" priority="3" aboveAverage="0" equalAverage="0" bottom="0" percent="0" rank="0" text="" dxfId="1">
      <formula>NOT(ISNUMBER(H8))</formula>
    </cfRule>
  </conditionalFormatting>
  <conditionalFormatting sqref="N8:R8">
    <cfRule type="expression" priority="4" aboveAverage="0" equalAverage="0" bottom="0" percent="0" rank="0" text="" dxfId="2">
      <formula>NOT(ISNUMBER(N8))</formula>
    </cfRule>
  </conditionalFormatting>
  <conditionalFormatting sqref="T8:X8">
    <cfRule type="expression" priority="5" aboveAverage="0" equalAverage="0" bottom="0" percent="0" rank="0" text="" dxfId="3">
      <formula>NOT(ISNUMBER(T8))</formula>
    </cfRule>
    <cfRule type="expression" priority="6" aboveAverage="0" equalAverage="0" bottom="0" percent="0" rank="0" text="" dxfId="4">
      <formula>AND(ISNUMBER($T$8),$T$8&gt;0)</formula>
    </cfRule>
  </conditionalFormatting>
  <conditionalFormatting sqref="K25:L26">
    <cfRule type="expression" priority="7" aboveAverage="0" equalAverage="0" bottom="0" percent="0" rank="0" text="" dxfId="5">
      <formula>AND(ISNUMBER(K25),K25&lt;$V$3)</formula>
    </cfRule>
  </conditionalFormatting>
  <conditionalFormatting sqref="M25:O26">
    <cfRule type="expression" priority="8" aboveAverage="0" equalAverage="0" bottom="0" percent="0" rank="0" text="" dxfId="6">
      <formula>AND(M25='Source Data'!$AD$51,'Source Data'!$AE$51=0,'Source Data'!$AF$51="")</formula>
    </cfRule>
    <cfRule type="expression" priority="9" aboveAverage="0" equalAverage="0" bottom="0" percent="0" rank="0" text="" dxfId="7">
      <formula>AND(M25='Source Data'!$AD$52,'Source Data'!$AE$52=0,'Source Data'!$AF$52="")</formula>
    </cfRule>
    <cfRule type="expression" priority="10" aboveAverage="0" equalAverage="0" bottom="0" percent="0" rank="0" text="" dxfId="8">
      <formula>AND(M25='Source Data'!$AD$53,'Source Data'!$AE$53=0,'Source Data'!$AF$53="")</formula>
    </cfRule>
    <cfRule type="expression" priority="11" aboveAverage="0" equalAverage="0" bottom="0" percent="0" rank="0" text="" dxfId="9">
      <formula>AND(M25='Source Data'!$AD$51,'Source Data'!$AE$51=1,'Source Data'!$AF$51="")</formula>
    </cfRule>
    <cfRule type="expression" priority="12" aboveAverage="0" equalAverage="0" bottom="0" percent="0" rank="0" text="" dxfId="10">
      <formula>AND(M25='Source Data'!$AD$52,'Source Data'!$AE$52=1,'Source Data'!$AF$52="")</formula>
    </cfRule>
    <cfRule type="expression" priority="13" aboveAverage="0" equalAverage="0" bottom="0" percent="0" rank="0" text="" dxfId="11">
      <formula>AND(M25='Source Data'!$AD$53,'Source Data'!$AE$53=1,'Source Data'!$AF$53="")</formula>
    </cfRule>
    <cfRule type="expression" priority="14" aboveAverage="0" equalAverage="0" bottom="0" percent="0" rank="0" text="" dxfId="12">
      <formula>AND(M25='Source Data'!$AD$54,'Source Data'!$AE$54=1,'Source Data'!$AF$54="")</formula>
    </cfRule>
  </conditionalFormatting>
  <conditionalFormatting sqref="K27:L28">
    <cfRule type="expression" priority="15" aboveAverage="0" equalAverage="0" bottom="0" percent="0" rank="0" text="" dxfId="13">
      <formula>AND(ISNUMBER(K27),K27&lt;$V$3)</formula>
    </cfRule>
  </conditionalFormatting>
  <conditionalFormatting sqref="M27:O28">
    <cfRule type="expression" priority="16" aboveAverage="0" equalAverage="0" bottom="0" percent="0" rank="0" text="" dxfId="14">
      <formula>AND(M27='Source Data'!$AD$51,'Source Data'!$AE$51=0,'Source Data'!$AF$51="")</formula>
    </cfRule>
    <cfRule type="expression" priority="17" aboveAverage="0" equalAverage="0" bottom="0" percent="0" rank="0" text="" dxfId="15">
      <formula>AND(M27='Source Data'!$AD$52,'Source Data'!$AE$52=0,'Source Data'!$AF$52="")</formula>
    </cfRule>
    <cfRule type="expression" priority="18" aboveAverage="0" equalAverage="0" bottom="0" percent="0" rank="0" text="" dxfId="16">
      <formula>AND(M27='Source Data'!$AD$53,'Source Data'!$AE$53=0,'Source Data'!$AF$53="")</formula>
    </cfRule>
    <cfRule type="expression" priority="19" aboveAverage="0" equalAverage="0" bottom="0" percent="0" rank="0" text="" dxfId="17">
      <formula>AND(M27='Source Data'!$AD$51,'Source Data'!$AE$51=1,'Source Data'!$AF$51="")</formula>
    </cfRule>
    <cfRule type="expression" priority="20" aboveAverage="0" equalAverage="0" bottom="0" percent="0" rank="0" text="" dxfId="18">
      <formula>AND(M27='Source Data'!$AD$52,'Source Data'!$AE$52=1,'Source Data'!$AF$52="")</formula>
    </cfRule>
    <cfRule type="expression" priority="21" aboveAverage="0" equalAverage="0" bottom="0" percent="0" rank="0" text="" dxfId="19">
      <formula>AND(M27='Source Data'!$AD$53,'Source Data'!$AE$53=1,'Source Data'!$AF$53="")</formula>
    </cfRule>
    <cfRule type="expression" priority="22" aboveAverage="0" equalAverage="0" bottom="0" percent="0" rank="0" text="" dxfId="20">
      <formula>AND(M27='Source Data'!$AD$54,'Source Data'!$AE$54=1,'Source Data'!$AF$54="")</formula>
    </cfRule>
  </conditionalFormatting>
  <conditionalFormatting sqref="K29:L30">
    <cfRule type="expression" priority="23" aboveAverage="0" equalAverage="0" bottom="0" percent="0" rank="0" text="" dxfId="21">
      <formula>AND(ISNUMBER(K29),K29&lt;$V$3)</formula>
    </cfRule>
  </conditionalFormatting>
  <conditionalFormatting sqref="M29:O30">
    <cfRule type="expression" priority="24" aboveAverage="0" equalAverage="0" bottom="0" percent="0" rank="0" text="" dxfId="22">
      <formula>AND(M29='Source Data'!$AD$51,'Source Data'!$AE$51=0,'Source Data'!$AF$51="")</formula>
    </cfRule>
    <cfRule type="expression" priority="25" aboveAverage="0" equalAverage="0" bottom="0" percent="0" rank="0" text="" dxfId="23">
      <formula>AND(M29='Source Data'!$AD$52,'Source Data'!$AE$52=0,'Source Data'!$AF$52="")</formula>
    </cfRule>
    <cfRule type="expression" priority="26" aboveAverage="0" equalAverage="0" bottom="0" percent="0" rank="0" text="" dxfId="24">
      <formula>AND(M29='Source Data'!$AD$53,'Source Data'!$AE$53=0,'Source Data'!$AF$53="")</formula>
    </cfRule>
    <cfRule type="expression" priority="27" aboveAverage="0" equalAverage="0" bottom="0" percent="0" rank="0" text="" dxfId="25">
      <formula>AND(M29='Source Data'!$AD$51,'Source Data'!$AE$51=1,'Source Data'!$AF$51="")</formula>
    </cfRule>
    <cfRule type="expression" priority="28" aboveAverage="0" equalAverage="0" bottom="0" percent="0" rank="0" text="" dxfId="26">
      <formula>AND(M29='Source Data'!$AD$52,'Source Data'!$AE$52=1,'Source Data'!$AF$52="")</formula>
    </cfRule>
    <cfRule type="expression" priority="29" aboveAverage="0" equalAverage="0" bottom="0" percent="0" rank="0" text="" dxfId="27">
      <formula>AND(M29='Source Data'!$AD$53,'Source Data'!$AE$53=1,'Source Data'!$AF$53="")</formula>
    </cfRule>
    <cfRule type="expression" priority="30" aboveAverage="0" equalAverage="0" bottom="0" percent="0" rank="0" text="" dxfId="28">
      <formula>AND(M29='Source Data'!$AD$54,'Source Data'!$AE$54=1,'Source Data'!$AF$54="")</formula>
    </cfRule>
  </conditionalFormatting>
  <conditionalFormatting sqref="K31:L32">
    <cfRule type="expression" priority="31" aboveAverage="0" equalAverage="0" bottom="0" percent="0" rank="0" text="" dxfId="29">
      <formula>AND(ISNUMBER(K31),K31&lt;$V$3)</formula>
    </cfRule>
  </conditionalFormatting>
  <conditionalFormatting sqref="M31:O32">
    <cfRule type="expression" priority="32" aboveAverage="0" equalAverage="0" bottom="0" percent="0" rank="0" text="" dxfId="30">
      <formula>AND(M31='Source Data'!$AD$51,'Source Data'!$AE$51=0,'Source Data'!$AF$51="")</formula>
    </cfRule>
    <cfRule type="expression" priority="33" aboveAverage="0" equalAverage="0" bottom="0" percent="0" rank="0" text="" dxfId="31">
      <formula>AND(M31='Source Data'!$AD$52,'Source Data'!$AE$52=0,'Source Data'!$AF$52="")</formula>
    </cfRule>
    <cfRule type="expression" priority="34" aboveAverage="0" equalAverage="0" bottom="0" percent="0" rank="0" text="" dxfId="32">
      <formula>AND(M31='Source Data'!$AD$53,'Source Data'!$AE$53=0,'Source Data'!$AF$53="")</formula>
    </cfRule>
    <cfRule type="expression" priority="35" aboveAverage="0" equalAverage="0" bottom="0" percent="0" rank="0" text="" dxfId="33">
      <formula>AND(M31='Source Data'!$AD$51,'Source Data'!$AE$51=1,'Source Data'!$AF$51="")</formula>
    </cfRule>
    <cfRule type="expression" priority="36" aboveAverage="0" equalAverage="0" bottom="0" percent="0" rank="0" text="" dxfId="34">
      <formula>AND(M31='Source Data'!$AD$52,'Source Data'!$AE$52=1,'Source Data'!$AF$52="")</formula>
    </cfRule>
    <cfRule type="expression" priority="37" aboveAverage="0" equalAverage="0" bottom="0" percent="0" rank="0" text="" dxfId="35">
      <formula>AND(M31='Source Data'!$AD$53,'Source Data'!$AE$53=1,'Source Data'!$AF$53="")</formula>
    </cfRule>
    <cfRule type="expression" priority="38" aboveAverage="0" equalAverage="0" bottom="0" percent="0" rank="0" text="" dxfId="36">
      <formula>AND(M31='Source Data'!$AD$54,'Source Data'!$AE$54=1,'Source Data'!$AF$54="")</formula>
    </cfRule>
  </conditionalFormatting>
  <conditionalFormatting sqref="K33:L34">
    <cfRule type="expression" priority="39" aboveAverage="0" equalAverage="0" bottom="0" percent="0" rank="0" text="" dxfId="37">
      <formula>AND(ISNUMBER(K33),K33&lt;$V$3)</formula>
    </cfRule>
  </conditionalFormatting>
  <conditionalFormatting sqref="M33:O34">
    <cfRule type="expression" priority="40" aboveAverage="0" equalAverage="0" bottom="0" percent="0" rank="0" text="" dxfId="38">
      <formula>AND(M33='Source Data'!$AD$51,'Source Data'!$AE$51=0,'Source Data'!$AF$51="")</formula>
    </cfRule>
    <cfRule type="expression" priority="41" aboveAverage="0" equalAverage="0" bottom="0" percent="0" rank="0" text="" dxfId="39">
      <formula>AND(M33='Source Data'!$AD$52,'Source Data'!$AE$52=0,'Source Data'!$AF$52="")</formula>
    </cfRule>
    <cfRule type="expression" priority="42" aboveAverage="0" equalAverage="0" bottom="0" percent="0" rank="0" text="" dxfId="40">
      <formula>AND(M33='Source Data'!$AD$53,'Source Data'!$AE$53=0,'Source Data'!$AF$53="")</formula>
    </cfRule>
    <cfRule type="expression" priority="43" aboveAverage="0" equalAverage="0" bottom="0" percent="0" rank="0" text="" dxfId="41">
      <formula>AND(M33='Source Data'!$AD$51,'Source Data'!$AE$51=1,'Source Data'!$AF$51="")</formula>
    </cfRule>
    <cfRule type="expression" priority="44" aboveAverage="0" equalAverage="0" bottom="0" percent="0" rank="0" text="" dxfId="42">
      <formula>AND(M33='Source Data'!$AD$52,'Source Data'!$AE$52=1,'Source Data'!$AF$52="")</formula>
    </cfRule>
    <cfRule type="expression" priority="45" aboveAverage="0" equalAverage="0" bottom="0" percent="0" rank="0" text="" dxfId="43">
      <formula>AND(M33='Source Data'!$AD$53,'Source Data'!$AE$53=1,'Source Data'!$AF$53="")</formula>
    </cfRule>
    <cfRule type="expression" priority="46" aboveAverage="0" equalAverage="0" bottom="0" percent="0" rank="0" text="" dxfId="44">
      <formula>AND(M33='Source Data'!$AD$54,'Source Data'!$AE$54=1,'Source Data'!$AF$54="")</formula>
    </cfRule>
  </conditionalFormatting>
  <conditionalFormatting sqref="Q25:X27">
    <cfRule type="expression" priority="47" aboveAverage="0" equalAverage="0" bottom="0" percent="0" rank="0" text="" dxfId="45">
      <formula>$AF1=0</formula>
    </cfRule>
  </conditionalFormatting>
  <conditionalFormatting sqref="Q28:X30">
    <cfRule type="expression" priority="48" aboveAverage="0" equalAverage="0" bottom="0" percent="0" rank="0" text="" dxfId="46">
      <formula>$AF2=0</formula>
    </cfRule>
  </conditionalFormatting>
  <conditionalFormatting sqref="Q31:X33">
    <cfRule type="expression" priority="49" aboveAverage="0" equalAverage="0" bottom="0" percent="0" rank="0" text="" dxfId="47">
      <formula>$AF3=0</formula>
    </cfRule>
  </conditionalFormatting>
  <dataValidations count="1">
    <dataValidation type="date" allowBlank="1" showErrorMessage="1" errorStyle="stop" errorTitle="Check this input" error="Use a valid value for this field." sqref="V3" operator="between">
      <formula1>36526</formula1>
      <formula2>72685</formula2>
    </dataValidation>
  </dataValidations>
  <hyperlinks>
    <hyperlink ref="B37" location="'Pipeline'!A2" display="Pipeline"/>
    <hyperlink ref="H37" location="'Actions'!A2" display="Actions"/>
    <hyperlink ref="N37" location="'Source Data'!A2" display="Source Data"/>
    <hyperlink ref="T37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1" pageOrder="downThenOver"/>
  <headerFooter>
    <oddFooter>&amp;LDashboard&amp;RPage &amp;P of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S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56"/>
    <col customWidth="true" max="2" min="2" style="0" width="27.22"/>
    <col customWidth="true" max="3" min="3" style="0" width="10.56"/>
    <col customWidth="true" max="4" min="4" style="0" width="13.34"/>
    <col customWidth="true" max="5" min="5" style="0" width="12.22"/>
    <col customWidth="true" max="6" min="6" style="0" width="28.33"/>
    <col customWidth="true" max="7" min="7" style="0" width="12"/>
    <col customWidth="true" max="8" min="8" style="0" width="15"/>
    <col customWidth="true" max="9" min="9" style="0" width="27.22"/>
    <col customWidth="true" max="10" min="10" style="0" width="16.11" hidden="1" outlineLevel="1"/>
    <col customWidth="true" max="11" min="11" style="0" width="34.44" hidden="1" outlineLevel="1"/>
    <col customWidth="true" max="12" min="12" style="0" width="30" hidden="1" outlineLevel="1"/>
    <col customWidth="true" max="13" min="13" style="0" width="20" hidden="1" outlineLevel="1"/>
    <col customWidth="true" max="14" min="14" style="0" width="22.22" hidden="1" outlineLevel="1"/>
    <col customWidth="true" max="15" min="15" style="0" width="17.78" hidden="1" outlineLevel="1"/>
    <col customWidth="true" max="16" min="16" style="0" width="13.34" hidden="1" outlineLevel="1"/>
    <col customWidth="true" max="17" min="17" style="0" width="13.34" hidden="1" outlineLevel="1"/>
    <col customWidth="true" max="18" min="18" style="0" width="12.22" hidden="1" outlineLevel="1"/>
    <col customWidth="true" max="19" min="19" style="0" width="12.22" hidden="1" outlineLevel="1"/>
    <col customWidth="true" max="20" min="20" style="0" width="22.78" hidden="1" outlineLevel="1"/>
    <col customWidth="true" max="21" min="21" style="0" width="22.22" hidden="1" outlineLevel="1"/>
    <col customWidth="true" max="22" min="22" style="0" width="13.34" hidden="1" outlineLevel="1"/>
    <col customWidth="true" max="23" min="23" style="0" width="14.44" hidden="1" outlineLevel="1"/>
    <col customWidth="true" max="24" min="24" style="0" width="33.33" hidden="1" outlineLevel="1"/>
    <col customWidth="true" max="25" min="25" style="0" width="15.56" hidden="1" outlineLevel="1"/>
    <col customWidth="true" max="26" min="26" style="0" width="13.89"/>
    <col customWidth="true" max="27" min="27" style="0" width="30" hidden="1" outlineLevel="1"/>
    <col customWidth="true" max="28" min="28" style="0" width="10.56" hidden="1" outlineLevel="1"/>
    <col customWidth="true" max="29" min="29" style="0" width="23.33" hidden="1" outlineLevel="1"/>
    <col customWidth="true" max="30" min="30" style="0" width="10" hidden="1" outlineLevel="1"/>
    <col customWidth="true" max="31" min="31" style="0" width="8.89" hidden="1" outlineLevel="1"/>
    <col customWidth="true" max="32" min="32" style="0" width="20" hidden="1" outlineLevel="1"/>
    <col customWidth="true" max="33" min="33" style="0" width="22.22" hidden="1" outlineLevel="1"/>
    <col customWidth="true" max="34" min="34" style="0" width="14.44" hidden="1" outlineLevel="1"/>
    <col customWidth="true" max="35" min="35" style="0" width="11.11" hidden="1" outlineLevel="1"/>
    <col customWidth="true" max="36" min="36" style="0" width="12.22" hidden="1" outlineLevel="1"/>
    <col customWidth="true" max="37" min="37" style="0" width="11.11" hidden="1" outlineLevel="1"/>
    <col customWidth="true" max="38" min="38" style="0" width="11.11" hidden="1" outlineLevel="1"/>
    <col customWidth="true" max="39" min="39" style="0" width="12.22" hidden="1" outlineLevel="1"/>
    <col customWidth="true" max="40" min="40" style="0" width="17.78" hidden="1" outlineLevel="1"/>
    <col customWidth="true" max="41" min="41" style="0" width="15.56" hidden="1" outlineLevel="1"/>
    <col customWidth="true" max="42" min="42" style="0" width="21.11" hidden="1" outlineLevel="1"/>
    <col customWidth="true" max="43" min="43" style="0" width="17.78" hidden="1" outlineLevel="1"/>
    <col customWidth="true" max="44" min="44" style="0" width="13.34" hidden="1" outlineLevel="1"/>
    <col customWidth="true" max="45" min="45" style="0" width="12.22" hidden="1" outlineLevel="1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  <c r="AB1" s="32"/>
      <c r="AC1" s="32"/>
      <c r="AD1" s="32"/>
      <c r="AE1" s="32"/>
      <c r="AF1" s="32"/>
      <c r="AG1" s="32"/>
      <c r="AH1" s="32"/>
      <c r="AI1" s="32"/>
      <c r="AJ1" s="32"/>
      <c r="AK1" s="32"/>
      <c r="AL1" s="32"/>
      <c r="AM1" s="32"/>
      <c r="AN1" s="32"/>
      <c r="AO1" s="32"/>
      <c r="AP1" s="32"/>
      <c r="AQ1" s="32"/>
      <c r="AR1" s="32"/>
      <c r="AS1" s="32"/>
    </row>
    <row r="2" customFormat="false" ht="30" hidden="false" customHeight="true" outlineLevel="0" collapsed="false">
      <c r="A2" s="33" t="s">
        <v>27</v>
      </c>
      <c r="B2" s="33" t="s">
        <v>27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31</v>
      </c>
      <c r="D4" s="36" t="s">
        <v>31</v>
      </c>
      <c r="E4" s="36" t="s">
        <v>31</v>
      </c>
      <c r="F4" s="36" t="s">
        <v>31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</row>
    <row r="5" customFormat="false" ht="20" hidden="false" customHeight="true" outlineLevel="0" collapsed="false">
      <c r="A5" s="32"/>
      <c r="B5" s="32"/>
      <c r="C5" s="36" t="s">
        <v>32</v>
      </c>
      <c r="D5" s="36" t="s">
        <v>32</v>
      </c>
      <c r="E5" s="36" t="s">
        <v>32</v>
      </c>
      <c r="F5" s="36" t="s">
        <v>32</v>
      </c>
      <c r="G5" s="36" t="s">
        <v>32</v>
      </c>
      <c r="H5" s="36" t="s">
        <v>32</v>
      </c>
      <c r="I5" s="36" t="s">
        <v>32</v>
      </c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</row>
    <row r="7" customFormat="false" ht="34" hidden="false" customHeight="true" outlineLevel="0" collapsed="false">
      <c r="A7" s="38" t="s">
        <v>33</v>
      </c>
      <c r="B7" s="38" t="s">
        <v>34</v>
      </c>
      <c r="C7" s="38" t="s">
        <v>35</v>
      </c>
      <c r="D7" s="38" t="s">
        <v>18</v>
      </c>
      <c r="E7" s="38" t="s">
        <v>36</v>
      </c>
      <c r="F7" s="38" t="s">
        <v>37</v>
      </c>
      <c r="G7" s="38" t="s">
        <v>38</v>
      </c>
      <c r="H7" s="38" t="s">
        <v>6</v>
      </c>
      <c r="I7" s="38" t="s">
        <v>39</v>
      </c>
      <c r="J7" s="38" t="s">
        <v>40</v>
      </c>
      <c r="K7" s="38" t="s">
        <v>41</v>
      </c>
      <c r="L7" s="38" t="s">
        <v>42</v>
      </c>
      <c r="M7" s="38" t="s">
        <v>43</v>
      </c>
      <c r="N7" s="38" t="s">
        <v>44</v>
      </c>
      <c r="O7" s="38" t="s">
        <v>45</v>
      </c>
      <c r="P7" s="38" t="s">
        <v>46</v>
      </c>
      <c r="Q7" s="38" t="s">
        <v>47</v>
      </c>
      <c r="R7" s="38" t="s">
        <v>48</v>
      </c>
      <c r="S7" s="38" t="s">
        <v>49</v>
      </c>
      <c r="T7" s="38" t="s">
        <v>50</v>
      </c>
      <c r="U7" s="38" t="s">
        <v>51</v>
      </c>
      <c r="V7" s="38" t="s">
        <v>52</v>
      </c>
      <c r="W7" s="38" t="s">
        <v>8</v>
      </c>
      <c r="X7" s="38" t="s">
        <v>53</v>
      </c>
      <c r="Y7" s="38" t="s">
        <v>54</v>
      </c>
      <c r="Z7" s="38" t="s">
        <v>55</v>
      </c>
      <c r="AA7" s="38" t="s">
        <v>56</v>
      </c>
      <c r="AB7" s="38" t="s">
        <v>57</v>
      </c>
      <c r="AC7" s="38" t="s">
        <v>58</v>
      </c>
      <c r="AD7" s="38" t="s">
        <v>59</v>
      </c>
      <c r="AE7" s="38" t="s">
        <v>60</v>
      </c>
      <c r="AF7" s="38" t="s">
        <v>61</v>
      </c>
      <c r="AG7" s="38" t="s">
        <v>62</v>
      </c>
      <c r="AH7" s="38" t="s">
        <v>63</v>
      </c>
      <c r="AI7" s="38" t="s">
        <v>64</v>
      </c>
      <c r="AJ7" s="38" t="s">
        <v>65</v>
      </c>
      <c r="AK7" s="38" t="s">
        <v>66</v>
      </c>
      <c r="AL7" s="38" t="s">
        <v>12</v>
      </c>
      <c r="AM7" s="38" t="s">
        <v>67</v>
      </c>
      <c r="AN7" s="38" t="s">
        <v>68</v>
      </c>
      <c r="AO7" s="38" t="s">
        <v>69</v>
      </c>
      <c r="AP7" s="38" t="s">
        <v>70</v>
      </c>
      <c r="AQ7" s="38" t="s">
        <v>71</v>
      </c>
      <c r="AR7" s="38" t="s">
        <v>72</v>
      </c>
      <c r="AS7" s="38" t="s">
        <v>73</v>
      </c>
    </row>
    <row r="8" customFormat="false" ht="48" hidden="false" customHeight="true" outlineLevel="0" collapsed="false">
      <c r="A8" s="39"/>
      <c r="B8" s="39"/>
      <c r="C8" s="39"/>
      <c r="D8" s="39"/>
      <c r="E8" s="40" t="str">
        <f aca="false">IF($AD8=0,"",IF(INDEX(Sources[Response date],$AD8)="","",INDEX(Sources[Response date],$AD8)))</f>
        <v/>
      </c>
      <c r="F8" s="41" t="str">
        <f aca="false">IF($AJ8="","",INDEX(Actions[Action],MATCH($AJ8,Actions[Action ID],0)))</f>
        <v/>
      </c>
      <c r="G8" s="40" t="str">
        <f aca="false">IF($AJ8="","",IF(INDEX(Actions[Due date],MATCH($AJ8,Actions[Action ID],0))="","",INDEX(Actions[Due date],MATCH($AJ8,Actions[Action ID],0))))</f>
        <v/>
      </c>
      <c r="H8" s="42"/>
      <c r="I8" s="41" t="str">
        <f aca="false">IF($A8="",$AF8,_xlfn.TEXTJOIN(CHAR(10),TRUE(),$AP8,$AG8,IF(AND($AE8=1,AND(ISNUMBER(Dashboard!$V$3),Dashboard!$V$3&gt;=1,Dashboard!$V$3&lt;DATE(2099,1,1)),ISNUMBER($E8),$E8&lt;Dashboard!$V$3),"Response date passed",""),IF(AND($AE8=1,$AL8=0),"No next action",""),IF(AND($AE8=1,$AM8&gt;0),"Action needs a date",""),IF($AE8=1,$AN8,""),$AO8,IF($AD8=0,"",INDEX(Sources[Source issue],$AD8))))</f>
        <v/>
      </c>
      <c r="J8" s="39"/>
      <c r="K8" s="39"/>
      <c r="L8" s="41" t="str">
        <f aca="false">IF($AD8=0,"",IF(INDEX(Sources[Agency office],$AD8)="","",INDEX(Sources[Agency office],$AD8)))</f>
        <v/>
      </c>
      <c r="M8" s="41" t="str">
        <f aca="false">IF($AD8=0,"",IF(INDEX(Sources[Solicitation],$AD8)="","",INDEX(Sources[Solicitation],$AD8)))</f>
        <v/>
      </c>
      <c r="N8" s="41" t="str">
        <f aca="false">IF($AD8=0,"",IF(INDEX(Sources[Acquisition route],$AD8)="","",INDEX(Sources[Acquisition route],$AD8)))</f>
        <v/>
      </c>
      <c r="O8" s="41" t="str">
        <f aca="false">IF($AD8=0,"",IF(INDEX(Sources[Location],$AD8)="","",INDEX(Sources[Location],$AD8)))</f>
        <v/>
      </c>
      <c r="P8" s="40" t="str">
        <f aca="false">IF($AD8=0,"",IF(INDEX(Sources[Release period],$AD8)="","",INDEX(Sources[Release period],$AD8)))</f>
        <v/>
      </c>
      <c r="Q8" s="40" t="str">
        <f aca="false">IF($AD8=0,"",IF(INDEX(Sources[Award period],$AD8)="","",INDEX(Sources[Award period],$AD8)))</f>
        <v/>
      </c>
      <c r="R8" s="39"/>
      <c r="S8" s="43"/>
      <c r="T8" s="39"/>
      <c r="U8" s="39"/>
      <c r="V8" s="44"/>
      <c r="W8" s="45" t="str">
        <f aca="false">IF(AND(ISNUMBER($AH8),ISNUMBER($V8),$V8&gt;=0,$V8&lt;=1),ROUND($AH8*$V8,2),"")</f>
        <v/>
      </c>
      <c r="X8" s="39"/>
      <c r="Y8" s="39"/>
      <c r="Z8" s="46" t="str">
        <f aca="false">IF($AD8=0,"",IF(INDEX(Sources[GovTribe URL],$AD8)="","",HYPERLINK(INDEX(Sources[GovTribe URL],$AD8),"Open GovTribe")))</f>
        <v/>
      </c>
      <c r="AA8" s="39"/>
      <c r="AB8" s="39"/>
      <c r="AC8" s="39"/>
      <c r="AD8" s="41" t="n">
        <f aca="false">IF($A8="",0,IF(AND($AB8&lt;&gt;"",COUNTIFS(Sources[Source ID],$AB8,Sources[Pursuit ID],$A8)=1,COUNTIFS(Sources[Source ID],$AB8)=1),MATCH($AB8,Sources[Source ID],0),0))</f>
        <v>0</v>
      </c>
      <c r="AE8" s="41" t="str">
        <f aca="false">IF($AS8=0,"",IF(COUNTIFS(StageMap[Stage],$D8)&lt;&gt;1,"",IF(INDEX(StageMap[Input check],MATCH($D8,StageMap[Stage],0))="",INDEX(StageMap[Active],MATCH($D8,StageMap[Stage],0)),"")))</f>
        <v/>
      </c>
      <c r="AF8" s="41" t="str">
        <f aca="false">IF($A8="",IF(COUNTA(B8:D8,H8,J8:K8,R8:V8,X8:Y8,AA8:AC8)&gt;0,"Missing pursuit ID",""),IF(COUNTIFS(Pursuits[Pursuit ID],$A8)&gt;1,"Duplicate pursuit ID",IF($B8="","Add opportunity name","")))</f>
        <v/>
      </c>
      <c r="AG8" s="41" t="str">
        <f aca="false">IF($A8="","",IF($H8="","",IF(NOT(ISNUMBER($H8)),"Enter a numeric estimate",IF($H8&lt;0,"Estimate cannot be negative",IF($T8&lt;&gt;"Total company contract value","Non-total value excluded",IF($U8="","Add value period",""))))))</f>
        <v/>
      </c>
      <c r="AH8" s="45" t="str">
        <f aca="false">IF(AND($AE8=1,$AG8="",ISNUMBER($H8)),$H8,"")</f>
        <v/>
      </c>
      <c r="AI8" s="41" t="str">
        <f aca="false">IF(AND($AE8=1,AND(ISNUMBER(Dashboard!$V$3),Dashboard!$V$3&gt;=1,Dashboard!$V$3&lt;DATE(2099,1,1)),ISNUMBER($E8),$E8&gt;=1,$E8&lt;DATE(2099,1,1),$E8&gt;=Dashboard!$V$3,$E8&lt;Dashboard!$V$3+30),COUNTIFS(Pursuits[Active],1,Pursuits[Response due],"&gt;="&amp;Dashboard!$V$3,Pursuits[Response due],"&lt;"&amp;$E8)+COUNTIFS(Pursuits[Active],1,Pursuits[Response due],$E8,Pursuits[Pursuit ID],"&lt;"&amp;$A8)+1,"")</f>
        <v/>
      </c>
      <c r="AJ8" s="41" t="str">
        <f aca="false">IF(OR($A8="",$AL8=0),"",INDEX(Actions[Action ID],MATCH($A8&amp;"|1",Actions[Pursuit action key],0)))</f>
        <v/>
      </c>
      <c r="AK8" s="41" t="str">
        <f aca="false">IF($AR8&lt;&gt;1,"",COUNTIFS(Pursuits[Review candidate],1,Pursuits[Pursuit ID],"&lt;"&amp;$A8)+COUNTIFS($A$8:$A8,$A8,$AR$8:$AR8,1))</f>
        <v/>
      </c>
      <c r="AL8" s="41" t="str">
        <f aca="false">IF($A8="","",COUNTIFS(Actions[Pursuit ID],$A8,Actions[Open action],1))</f>
        <v/>
      </c>
      <c r="AM8" s="41" t="str">
        <f aca="false">IF($A8="","",COUNTIFS(Actions[Pursuit ID],$A8,Actions[Open action],1,Actions[Sort date],DATE(9999,12,31)))</f>
        <v/>
      </c>
      <c r="AN8" s="41" t="str">
        <f aca="false">IF($AD8=0,"",IF($AC8="","Source not reviewed",IF($AC8&lt;&gt;INDEX(Sources[Source updated],$AD8),"Source changed","")))</f>
        <v/>
      </c>
      <c r="AO8" s="41" t="str">
        <f aca="false">IF(OR($AE8&lt;&gt;1,NOT(AND(ISNUMBER(Dashboard!$V$3),Dashboard!$V$3&gt;=1,Dashboard!$V$3&lt;DATE(2099,1,1)))),"",IF($S8="","Not reviewed",IF(NOT(ISNUMBER($S8)),"Use a real review date",IF($S8&gt;Dashboard!$V$3,"Review date is in future",IF(AND(ISNUMBER('Source Data'!$AE$36),'Source Data'!$AE$36&gt;0),IF(Dashboard!$V$3-$S8&gt;'Source Data'!$AE$36,"Review is overdue",""),"Set review interval")))))</f>
        <v/>
      </c>
      <c r="AP8" s="41" t="str">
        <f aca="false">IF($AF8&lt;&gt;"",$AF8,IF($A8="","",IF(COUNTIFS(StageMap[Stage],$D8)&lt;&gt;1,"Choose a valid stage",IF(NOT(ISNUMBER($AE8)),"Check stage settings",IF($AB8="","Add source ID",IF($AD8=0,"Source link needs review",IF(INDEX(Sources[Input check],$AD8)&lt;&gt;"",INDEX(Sources[Input check],$AD8),IF(AND($V8&lt;&gt;"",OR(NOT(ISNUMBER($V8)),$V8&lt;0,$V8&gt;1)),"Probability must be 0 to 100%",IF(AND($R8&lt;&gt;"",OR(NOT(ISNUMBER($R8)),$R8&lt;0)),"Use valid duration months","")))))))))</f>
        <v/>
      </c>
      <c r="AQ8" s="41" t="str">
        <f aca="false">IF($AD8=0,"",IF(INDEX(Sources[Response time],$AD8)="","Time not confirmed",TEXT(INDEX(Sources[Response time],$AD8),"h:mm AM/PM")&amp;" "&amp;INDEX(Sources[Time zone],$AD8)))</f>
        <v/>
      </c>
      <c r="AR8" s="41" t="n">
        <f aca="false">IF(AND($I8&lt;&gt;"",OR($AE8=1,$AP8&lt;&gt;"")),1,0)</f>
        <v>0</v>
      </c>
      <c r="AS8" s="41" t="n">
        <f aca="false">IF(AND($A8&lt;&gt;"",$AF8=""),1,0)</f>
        <v>0</v>
      </c>
    </row>
    <row r="9" customFormat="false" ht="48" hidden="false" customHeight="true" outlineLevel="0" collapsed="false">
      <c r="A9" s="39"/>
      <c r="B9" s="39"/>
      <c r="C9" s="39"/>
      <c r="D9" s="39"/>
      <c r="E9" s="40" t="str">
        <f aca="false">IF($AD9=0,"",IF(INDEX(Sources[Response date],$AD9)="","",INDEX(Sources[Response date],$AD9)))</f>
        <v/>
      </c>
      <c r="F9" s="41" t="str">
        <f aca="false">IF($AJ9="","",INDEX(Actions[Action],MATCH($AJ9,Actions[Action ID],0)))</f>
        <v/>
      </c>
      <c r="G9" s="40" t="str">
        <f aca="false">IF($AJ9="","",IF(INDEX(Actions[Due date],MATCH($AJ9,Actions[Action ID],0))="","",INDEX(Actions[Due date],MATCH($AJ9,Actions[Action ID],0))))</f>
        <v/>
      </c>
      <c r="H9" s="42"/>
      <c r="I9" s="41" t="str">
        <f aca="false">IF($A9="",$AF9,_xlfn.TEXTJOIN(CHAR(10),TRUE(),$AP9,$AG9,IF(AND($AE9=1,AND(ISNUMBER(Dashboard!$V$3),Dashboard!$V$3&gt;=1,Dashboard!$V$3&lt;DATE(2099,1,1)),ISNUMBER($E9),$E9&lt;Dashboard!$V$3),"Response date passed",""),IF(AND($AE9=1,$AL9=0),"No next action",""),IF(AND($AE9=1,$AM9&gt;0),"Action needs a date",""),IF($AE9=1,$AN9,""),$AO9,IF($AD9=0,"",INDEX(Sources[Source issue],$AD9))))</f>
        <v/>
      </c>
      <c r="J9" s="39"/>
      <c r="K9" s="39"/>
      <c r="L9" s="41" t="str">
        <f aca="false">IF($AD9=0,"",IF(INDEX(Sources[Agency office],$AD9)="","",INDEX(Sources[Agency office],$AD9)))</f>
        <v/>
      </c>
      <c r="M9" s="41" t="str">
        <f aca="false">IF($AD9=0,"",IF(INDEX(Sources[Solicitation],$AD9)="","",INDEX(Sources[Solicitation],$AD9)))</f>
        <v/>
      </c>
      <c r="N9" s="41" t="str">
        <f aca="false">IF($AD9=0,"",IF(INDEX(Sources[Acquisition route],$AD9)="","",INDEX(Sources[Acquisition route],$AD9)))</f>
        <v/>
      </c>
      <c r="O9" s="41" t="str">
        <f aca="false">IF($AD9=0,"",IF(INDEX(Sources[Location],$AD9)="","",INDEX(Sources[Location],$AD9)))</f>
        <v/>
      </c>
      <c r="P9" s="40" t="str">
        <f aca="false">IF($AD9=0,"",IF(INDEX(Sources[Release period],$AD9)="","",INDEX(Sources[Release period],$AD9)))</f>
        <v/>
      </c>
      <c r="Q9" s="40" t="str">
        <f aca="false">IF($AD9=0,"",IF(INDEX(Sources[Award period],$AD9)="","",INDEX(Sources[Award period],$AD9)))</f>
        <v/>
      </c>
      <c r="R9" s="39"/>
      <c r="S9" s="43"/>
      <c r="T9" s="39"/>
      <c r="U9" s="39"/>
      <c r="V9" s="44"/>
      <c r="W9" s="45" t="str">
        <f aca="false">IF(AND(ISNUMBER($AH9),ISNUMBER($V9),$V9&gt;=0,$V9&lt;=1),ROUND($AH9*$V9,2),"")</f>
        <v/>
      </c>
      <c r="X9" s="39"/>
      <c r="Y9" s="39"/>
      <c r="Z9" s="46" t="str">
        <f aca="false">IF($AD9=0,"",IF(INDEX(Sources[GovTribe URL],$AD9)="","",HYPERLINK(INDEX(Sources[GovTribe URL],$AD9),"Open GovTribe")))</f>
        <v/>
      </c>
      <c r="AA9" s="39"/>
      <c r="AB9" s="39"/>
      <c r="AC9" s="39"/>
      <c r="AD9" s="41" t="n">
        <f aca="false">IF($A9="",0,IF(AND($AB9&lt;&gt;"",COUNTIFS(Sources[Source ID],$AB9,Sources[Pursuit ID],$A9)=1,COUNTIFS(Sources[Source ID],$AB9)=1),MATCH($AB9,Sources[Source ID],0),0))</f>
        <v>0</v>
      </c>
      <c r="AE9" s="41" t="str">
        <f aca="false">IF($AS9=0,"",IF(COUNTIFS(StageMap[Stage],$D9)&lt;&gt;1,"",IF(INDEX(StageMap[Input check],MATCH($D9,StageMap[Stage],0))="",INDEX(StageMap[Active],MATCH($D9,StageMap[Stage],0)),"")))</f>
        <v/>
      </c>
      <c r="AF9" s="41" t="str">
        <f aca="false">IF($A9="",IF(COUNTA(B9:D9,H9,J9:K9,R9:V9,X9:Y9,AA9:AC9)&gt;0,"Missing pursuit ID",""),IF(COUNTIFS(Pursuits[Pursuit ID],$A9)&gt;1,"Duplicate pursuit ID",IF($B9="","Add opportunity name","")))</f>
        <v/>
      </c>
      <c r="AG9" s="41" t="str">
        <f aca="false">IF($A9="","",IF($H9="","",IF(NOT(ISNUMBER($H9)),"Enter a numeric estimate",IF($H9&lt;0,"Estimate cannot be negative",IF($T9&lt;&gt;"Total company contract value","Non-total value excluded",IF($U9="","Add value period",""))))))</f>
        <v/>
      </c>
      <c r="AH9" s="45" t="str">
        <f aca="false">IF(AND($AE9=1,$AG9="",ISNUMBER($H9)),$H9,"")</f>
        <v/>
      </c>
      <c r="AI9" s="41" t="str">
        <f aca="false">IF(AND($AE9=1,AND(ISNUMBER(Dashboard!$V$3),Dashboard!$V$3&gt;=1,Dashboard!$V$3&lt;DATE(2099,1,1)),ISNUMBER($E9),$E9&gt;=1,$E9&lt;DATE(2099,1,1),$E9&gt;=Dashboard!$V$3,$E9&lt;Dashboard!$V$3+30),COUNTIFS(Pursuits[Active],1,Pursuits[Response due],"&gt;="&amp;Dashboard!$V$3,Pursuits[Response due],"&lt;"&amp;$E9)+COUNTIFS(Pursuits[Active],1,Pursuits[Response due],$E9,Pursuits[Pursuit ID],"&lt;"&amp;$A9)+1,"")</f>
        <v/>
      </c>
      <c r="AJ9" s="41" t="str">
        <f aca="false">IF(OR($A9="",$AL9=0),"",INDEX(Actions[Action ID],MATCH($A9&amp;"|1",Actions[Pursuit action key],0)))</f>
        <v/>
      </c>
      <c r="AK9" s="41" t="str">
        <f aca="false">IF($AR9&lt;&gt;1,"",COUNTIFS(Pursuits[Review candidate],1,Pursuits[Pursuit ID],"&lt;"&amp;$A9)+COUNTIFS($A$8:$A9,$A9,$AR$8:$AR9,1))</f>
        <v/>
      </c>
      <c r="AL9" s="41" t="str">
        <f aca="false">IF($A9="","",COUNTIFS(Actions[Pursuit ID],$A9,Actions[Open action],1))</f>
        <v/>
      </c>
      <c r="AM9" s="41" t="str">
        <f aca="false">IF($A9="","",COUNTIFS(Actions[Pursuit ID],$A9,Actions[Open action],1,Actions[Sort date],DATE(9999,12,31)))</f>
        <v/>
      </c>
      <c r="AN9" s="41" t="str">
        <f aca="false">IF($AD9=0,"",IF($AC9="","Source not reviewed",IF($AC9&lt;&gt;INDEX(Sources[Source updated],$AD9),"Source changed","")))</f>
        <v/>
      </c>
      <c r="AO9" s="41" t="str">
        <f aca="false">IF(OR($AE9&lt;&gt;1,NOT(AND(ISNUMBER(Dashboard!$V$3),Dashboard!$V$3&gt;=1,Dashboard!$V$3&lt;DATE(2099,1,1)))),"",IF($S9="","Not reviewed",IF(NOT(ISNUMBER($S9)),"Use a real review date",IF($S9&gt;Dashboard!$V$3,"Review date is in future",IF(AND(ISNUMBER('Source Data'!$AE$36),'Source Data'!$AE$36&gt;0),IF(Dashboard!$V$3-$S9&gt;'Source Data'!$AE$36,"Review is overdue",""),"Set review interval")))))</f>
        <v/>
      </c>
      <c r="AP9" s="41" t="str">
        <f aca="false">IF($AF9&lt;&gt;"",$AF9,IF($A9="","",IF(COUNTIFS(StageMap[Stage],$D9)&lt;&gt;1,"Choose a valid stage",IF(NOT(ISNUMBER($AE9)),"Check stage settings",IF($AB9="","Add source ID",IF($AD9=0,"Source link needs review",IF(INDEX(Sources[Input check],$AD9)&lt;&gt;"",INDEX(Sources[Input check],$AD9),IF(AND($V9&lt;&gt;"",OR(NOT(ISNUMBER($V9)),$V9&lt;0,$V9&gt;1)),"Probability must be 0 to 100%",IF(AND($R9&lt;&gt;"",OR(NOT(ISNUMBER($R9)),$R9&lt;0)),"Use valid duration months","")))))))))</f>
        <v/>
      </c>
      <c r="AQ9" s="41" t="str">
        <f aca="false">IF($AD9=0,"",IF(INDEX(Sources[Response time],$AD9)="","Time not confirmed",TEXT(INDEX(Sources[Response time],$AD9),"h:mm AM/PM")&amp;" "&amp;INDEX(Sources[Time zone],$AD9)))</f>
        <v/>
      </c>
      <c r="AR9" s="41" t="n">
        <f aca="false">IF(AND($I9&lt;&gt;"",OR($AE9=1,$AP9&lt;&gt;"")),1,0)</f>
        <v>0</v>
      </c>
      <c r="AS9" s="41" t="n">
        <f aca="false">IF(AND($A9&lt;&gt;"",$AF9=""),1,0)</f>
        <v>0</v>
      </c>
    </row>
    <row r="10" customFormat="false" ht="48" hidden="false" customHeight="true" outlineLevel="0" collapsed="false">
      <c r="A10" s="39"/>
      <c r="B10" s="39"/>
      <c r="C10" s="39"/>
      <c r="D10" s="39"/>
      <c r="E10" s="40" t="str">
        <f aca="false">IF($AD10=0,"",IF(INDEX(Sources[Response date],$AD10)="","",INDEX(Sources[Response date],$AD10)))</f>
        <v/>
      </c>
      <c r="F10" s="41" t="str">
        <f aca="false">IF($AJ10="","",INDEX(Actions[Action],MATCH($AJ10,Actions[Action ID],0)))</f>
        <v/>
      </c>
      <c r="G10" s="40" t="str">
        <f aca="false">IF($AJ10="","",IF(INDEX(Actions[Due date],MATCH($AJ10,Actions[Action ID],0))="","",INDEX(Actions[Due date],MATCH($AJ10,Actions[Action ID],0))))</f>
        <v/>
      </c>
      <c r="H10" s="42"/>
      <c r="I10" s="41" t="str">
        <f aca="false">IF($A10="",$AF10,_xlfn.TEXTJOIN(CHAR(10),TRUE(),$AP10,$AG10,IF(AND($AE10=1,AND(ISNUMBER(Dashboard!$V$3),Dashboard!$V$3&gt;=1,Dashboard!$V$3&lt;DATE(2099,1,1)),ISNUMBER($E10),$E10&lt;Dashboard!$V$3),"Response date passed",""),IF(AND($AE10=1,$AL10=0),"No next action",""),IF(AND($AE10=1,$AM10&gt;0),"Action needs a date",""),IF($AE10=1,$AN10,""),$AO10,IF($AD10=0,"",INDEX(Sources[Source issue],$AD10))))</f>
        <v/>
      </c>
      <c r="J10" s="39"/>
      <c r="K10" s="39"/>
      <c r="L10" s="41" t="str">
        <f aca="false">IF($AD10=0,"",IF(INDEX(Sources[Agency office],$AD10)="","",INDEX(Sources[Agency office],$AD10)))</f>
        <v/>
      </c>
      <c r="M10" s="41" t="str">
        <f aca="false">IF($AD10=0,"",IF(INDEX(Sources[Solicitation],$AD10)="","",INDEX(Sources[Solicitation],$AD10)))</f>
        <v/>
      </c>
      <c r="N10" s="41" t="str">
        <f aca="false">IF($AD10=0,"",IF(INDEX(Sources[Acquisition route],$AD10)="","",INDEX(Sources[Acquisition route],$AD10)))</f>
        <v/>
      </c>
      <c r="O10" s="41" t="str">
        <f aca="false">IF($AD10=0,"",IF(INDEX(Sources[Location],$AD10)="","",INDEX(Sources[Location],$AD10)))</f>
        <v/>
      </c>
      <c r="P10" s="40" t="str">
        <f aca="false">IF($AD10=0,"",IF(INDEX(Sources[Release period],$AD10)="","",INDEX(Sources[Release period],$AD10)))</f>
        <v/>
      </c>
      <c r="Q10" s="40" t="str">
        <f aca="false">IF($AD10=0,"",IF(INDEX(Sources[Award period],$AD10)="","",INDEX(Sources[Award period],$AD10)))</f>
        <v/>
      </c>
      <c r="R10" s="39"/>
      <c r="S10" s="43"/>
      <c r="T10" s="39"/>
      <c r="U10" s="39"/>
      <c r="V10" s="44"/>
      <c r="W10" s="45" t="str">
        <f aca="false">IF(AND(ISNUMBER($AH10),ISNUMBER($V10),$V10&gt;=0,$V10&lt;=1),ROUND($AH10*$V10,2),"")</f>
        <v/>
      </c>
      <c r="X10" s="39"/>
      <c r="Y10" s="39"/>
      <c r="Z10" s="46" t="str">
        <f aca="false">IF($AD10=0,"",IF(INDEX(Sources[GovTribe URL],$AD10)="","",HYPERLINK(INDEX(Sources[GovTribe URL],$AD10),"Open GovTribe")))</f>
        <v/>
      </c>
      <c r="AA10" s="39"/>
      <c r="AB10" s="39"/>
      <c r="AC10" s="39"/>
      <c r="AD10" s="41" t="n">
        <f aca="false">IF($A10="",0,IF(AND($AB10&lt;&gt;"",COUNTIFS(Sources[Source ID],$AB10,Sources[Pursuit ID],$A10)=1,COUNTIFS(Sources[Source ID],$AB10)=1),MATCH($AB10,Sources[Source ID],0),0))</f>
        <v>0</v>
      </c>
      <c r="AE10" s="41" t="str">
        <f aca="false">IF($AS10=0,"",IF(COUNTIFS(StageMap[Stage],$D10)&lt;&gt;1,"",IF(INDEX(StageMap[Input check],MATCH($D10,StageMap[Stage],0))="",INDEX(StageMap[Active],MATCH($D10,StageMap[Stage],0)),"")))</f>
        <v/>
      </c>
      <c r="AF10" s="41" t="str">
        <f aca="false">IF($A10="",IF(COUNTA(B10:D10,H10,J10:K10,R10:V10,X10:Y10,AA10:AC10)&gt;0,"Missing pursuit ID",""),IF(COUNTIFS(Pursuits[Pursuit ID],$A10)&gt;1,"Duplicate pursuit ID",IF($B10="","Add opportunity name","")))</f>
        <v/>
      </c>
      <c r="AG10" s="41" t="str">
        <f aca="false">IF($A10="","",IF($H10="","",IF(NOT(ISNUMBER($H10)),"Enter a numeric estimate",IF($H10&lt;0,"Estimate cannot be negative",IF($T10&lt;&gt;"Total company contract value","Non-total value excluded",IF($U10="","Add value period",""))))))</f>
        <v/>
      </c>
      <c r="AH10" s="45" t="str">
        <f aca="false">IF(AND($AE10=1,$AG10="",ISNUMBER($H10)),$H10,"")</f>
        <v/>
      </c>
      <c r="AI10" s="41" t="str">
        <f aca="false">IF(AND($AE10=1,AND(ISNUMBER(Dashboard!$V$3),Dashboard!$V$3&gt;=1,Dashboard!$V$3&lt;DATE(2099,1,1)),ISNUMBER($E10),$E10&gt;=1,$E10&lt;DATE(2099,1,1),$E10&gt;=Dashboard!$V$3,$E10&lt;Dashboard!$V$3+30),COUNTIFS(Pursuits[Active],1,Pursuits[Response due],"&gt;="&amp;Dashboard!$V$3,Pursuits[Response due],"&lt;"&amp;$E10)+COUNTIFS(Pursuits[Active],1,Pursuits[Response due],$E10,Pursuits[Pursuit ID],"&lt;"&amp;$A10)+1,"")</f>
        <v/>
      </c>
      <c r="AJ10" s="41" t="str">
        <f aca="false">IF(OR($A10="",$AL10=0),"",INDEX(Actions[Action ID],MATCH($A10&amp;"|1",Actions[Pursuit action key],0)))</f>
        <v/>
      </c>
      <c r="AK10" s="41" t="str">
        <f aca="false">IF($AR10&lt;&gt;1,"",COUNTIFS(Pursuits[Review candidate],1,Pursuits[Pursuit ID],"&lt;"&amp;$A10)+COUNTIFS($A$8:$A10,$A10,$AR$8:$AR10,1))</f>
        <v/>
      </c>
      <c r="AL10" s="41" t="str">
        <f aca="false">IF($A10="","",COUNTIFS(Actions[Pursuit ID],$A10,Actions[Open action],1))</f>
        <v/>
      </c>
      <c r="AM10" s="41" t="str">
        <f aca="false">IF($A10="","",COUNTIFS(Actions[Pursuit ID],$A10,Actions[Open action],1,Actions[Sort date],DATE(9999,12,31)))</f>
        <v/>
      </c>
      <c r="AN10" s="41" t="str">
        <f aca="false">IF($AD10=0,"",IF($AC10="","Source not reviewed",IF($AC10&lt;&gt;INDEX(Sources[Source updated],$AD10),"Source changed","")))</f>
        <v/>
      </c>
      <c r="AO10" s="41" t="str">
        <f aca="false">IF(OR($AE10&lt;&gt;1,NOT(AND(ISNUMBER(Dashboard!$V$3),Dashboard!$V$3&gt;=1,Dashboard!$V$3&lt;DATE(2099,1,1)))),"",IF($S10="","Not reviewed",IF(NOT(ISNUMBER($S10)),"Use a real review date",IF($S10&gt;Dashboard!$V$3,"Review date is in future",IF(AND(ISNUMBER('Source Data'!$AE$36),'Source Data'!$AE$36&gt;0),IF(Dashboard!$V$3-$S10&gt;'Source Data'!$AE$36,"Review is overdue",""),"Set review interval")))))</f>
        <v/>
      </c>
      <c r="AP10" s="41" t="str">
        <f aca="false">IF($AF10&lt;&gt;"",$AF10,IF($A10="","",IF(COUNTIFS(StageMap[Stage],$D10)&lt;&gt;1,"Choose a valid stage",IF(NOT(ISNUMBER($AE10)),"Check stage settings",IF($AB10="","Add source ID",IF($AD10=0,"Source link needs review",IF(INDEX(Sources[Input check],$AD10)&lt;&gt;"",INDEX(Sources[Input check],$AD10),IF(AND($V10&lt;&gt;"",OR(NOT(ISNUMBER($V10)),$V10&lt;0,$V10&gt;1)),"Probability must be 0 to 100%",IF(AND($R10&lt;&gt;"",OR(NOT(ISNUMBER($R10)),$R10&lt;0)),"Use valid duration months","")))))))))</f>
        <v/>
      </c>
      <c r="AQ10" s="41" t="str">
        <f aca="false">IF($AD10=0,"",IF(INDEX(Sources[Response time],$AD10)="","Time not confirmed",TEXT(INDEX(Sources[Response time],$AD10),"h:mm AM/PM")&amp;" "&amp;INDEX(Sources[Time zone],$AD10)))</f>
        <v/>
      </c>
      <c r="AR10" s="41" t="n">
        <f aca="false">IF(AND($I10&lt;&gt;"",OR($AE10=1,$AP10&lt;&gt;"")),1,0)</f>
        <v>0</v>
      </c>
      <c r="AS10" s="41" t="n">
        <f aca="false">IF(AND($A10&lt;&gt;"",$AF10=""),1,0)</f>
        <v>0</v>
      </c>
    </row>
    <row r="11" customFormat="false" ht="48" hidden="false" customHeight="true" outlineLevel="0" collapsed="false">
      <c r="A11" s="39"/>
      <c r="B11" s="39"/>
      <c r="C11" s="39"/>
      <c r="D11" s="39"/>
      <c r="E11" s="40" t="str">
        <f aca="false">IF($AD11=0,"",IF(INDEX(Sources[Response date],$AD11)="","",INDEX(Sources[Response date],$AD11)))</f>
        <v/>
      </c>
      <c r="F11" s="41" t="str">
        <f aca="false">IF($AJ11="","",INDEX(Actions[Action],MATCH($AJ11,Actions[Action ID],0)))</f>
        <v/>
      </c>
      <c r="G11" s="40" t="str">
        <f aca="false">IF($AJ11="","",IF(INDEX(Actions[Due date],MATCH($AJ11,Actions[Action ID],0))="","",INDEX(Actions[Due date],MATCH($AJ11,Actions[Action ID],0))))</f>
        <v/>
      </c>
      <c r="H11" s="42"/>
      <c r="I11" s="41" t="str">
        <f aca="false">IF($A11="",$AF11,_xlfn.TEXTJOIN(CHAR(10),TRUE(),$AP11,$AG11,IF(AND($AE11=1,AND(ISNUMBER(Dashboard!$V$3),Dashboard!$V$3&gt;=1,Dashboard!$V$3&lt;DATE(2099,1,1)),ISNUMBER($E11),$E11&lt;Dashboard!$V$3),"Response date passed",""),IF(AND($AE11=1,$AL11=0),"No next action",""),IF(AND($AE11=1,$AM11&gt;0),"Action needs a date",""),IF($AE11=1,$AN11,""),$AO11,IF($AD11=0,"",INDEX(Sources[Source issue],$AD11))))</f>
        <v/>
      </c>
      <c r="J11" s="39"/>
      <c r="K11" s="39"/>
      <c r="L11" s="41" t="str">
        <f aca="false">IF($AD11=0,"",IF(INDEX(Sources[Agency office],$AD11)="","",INDEX(Sources[Agency office],$AD11)))</f>
        <v/>
      </c>
      <c r="M11" s="41" t="str">
        <f aca="false">IF($AD11=0,"",IF(INDEX(Sources[Solicitation],$AD11)="","",INDEX(Sources[Solicitation],$AD11)))</f>
        <v/>
      </c>
      <c r="N11" s="41" t="str">
        <f aca="false">IF($AD11=0,"",IF(INDEX(Sources[Acquisition route],$AD11)="","",INDEX(Sources[Acquisition route],$AD11)))</f>
        <v/>
      </c>
      <c r="O11" s="41" t="str">
        <f aca="false">IF($AD11=0,"",IF(INDEX(Sources[Location],$AD11)="","",INDEX(Sources[Location],$AD11)))</f>
        <v/>
      </c>
      <c r="P11" s="40" t="str">
        <f aca="false">IF($AD11=0,"",IF(INDEX(Sources[Release period],$AD11)="","",INDEX(Sources[Release period],$AD11)))</f>
        <v/>
      </c>
      <c r="Q11" s="40" t="str">
        <f aca="false">IF($AD11=0,"",IF(INDEX(Sources[Award period],$AD11)="","",INDEX(Sources[Award period],$AD11)))</f>
        <v/>
      </c>
      <c r="R11" s="39"/>
      <c r="S11" s="43"/>
      <c r="T11" s="39"/>
      <c r="U11" s="39"/>
      <c r="V11" s="44"/>
      <c r="W11" s="45" t="str">
        <f aca="false">IF(AND(ISNUMBER($AH11),ISNUMBER($V11),$V11&gt;=0,$V11&lt;=1),ROUND($AH11*$V11,2),"")</f>
        <v/>
      </c>
      <c r="X11" s="39"/>
      <c r="Y11" s="39"/>
      <c r="Z11" s="46" t="str">
        <f aca="false">IF($AD11=0,"",IF(INDEX(Sources[GovTribe URL],$AD11)="","",HYPERLINK(INDEX(Sources[GovTribe URL],$AD11),"Open GovTribe")))</f>
        <v/>
      </c>
      <c r="AA11" s="39"/>
      <c r="AB11" s="39"/>
      <c r="AC11" s="39"/>
      <c r="AD11" s="41" t="n">
        <f aca="false">IF($A11="",0,IF(AND($AB11&lt;&gt;"",COUNTIFS(Sources[Source ID],$AB11,Sources[Pursuit ID],$A11)=1,COUNTIFS(Sources[Source ID],$AB11)=1),MATCH($AB11,Sources[Source ID],0),0))</f>
        <v>0</v>
      </c>
      <c r="AE11" s="41" t="str">
        <f aca="false">IF($AS11=0,"",IF(COUNTIFS(StageMap[Stage],$D11)&lt;&gt;1,"",IF(INDEX(StageMap[Input check],MATCH($D11,StageMap[Stage],0))="",INDEX(StageMap[Active],MATCH($D11,StageMap[Stage],0)),"")))</f>
        <v/>
      </c>
      <c r="AF11" s="41" t="str">
        <f aca="false">IF($A11="",IF(COUNTA(B11:D11,H11,J11:K11,R11:V11,X11:Y11,AA11:AC11)&gt;0,"Missing pursuit ID",""),IF(COUNTIFS(Pursuits[Pursuit ID],$A11)&gt;1,"Duplicate pursuit ID",IF($B11="","Add opportunity name","")))</f>
        <v/>
      </c>
      <c r="AG11" s="41" t="str">
        <f aca="false">IF($A11="","",IF($H11="","",IF(NOT(ISNUMBER($H11)),"Enter a numeric estimate",IF($H11&lt;0,"Estimate cannot be negative",IF($T11&lt;&gt;"Total company contract value","Non-total value excluded",IF($U11="","Add value period",""))))))</f>
        <v/>
      </c>
      <c r="AH11" s="45" t="str">
        <f aca="false">IF(AND($AE11=1,$AG11="",ISNUMBER($H11)),$H11,"")</f>
        <v/>
      </c>
      <c r="AI11" s="41" t="str">
        <f aca="false">IF(AND($AE11=1,AND(ISNUMBER(Dashboard!$V$3),Dashboard!$V$3&gt;=1,Dashboard!$V$3&lt;DATE(2099,1,1)),ISNUMBER($E11),$E11&gt;=1,$E11&lt;DATE(2099,1,1),$E11&gt;=Dashboard!$V$3,$E11&lt;Dashboard!$V$3+30),COUNTIFS(Pursuits[Active],1,Pursuits[Response due],"&gt;="&amp;Dashboard!$V$3,Pursuits[Response due],"&lt;"&amp;$E11)+COUNTIFS(Pursuits[Active],1,Pursuits[Response due],$E11,Pursuits[Pursuit ID],"&lt;"&amp;$A11)+1,"")</f>
        <v/>
      </c>
      <c r="AJ11" s="41" t="str">
        <f aca="false">IF(OR($A11="",$AL11=0),"",INDEX(Actions[Action ID],MATCH($A11&amp;"|1",Actions[Pursuit action key],0)))</f>
        <v/>
      </c>
      <c r="AK11" s="41" t="str">
        <f aca="false">IF($AR11&lt;&gt;1,"",COUNTIFS(Pursuits[Review candidate],1,Pursuits[Pursuit ID],"&lt;"&amp;$A11)+COUNTIFS($A$8:$A11,$A11,$AR$8:$AR11,1))</f>
        <v/>
      </c>
      <c r="AL11" s="41" t="str">
        <f aca="false">IF($A11="","",COUNTIFS(Actions[Pursuit ID],$A11,Actions[Open action],1))</f>
        <v/>
      </c>
      <c r="AM11" s="41" t="str">
        <f aca="false">IF($A11="","",COUNTIFS(Actions[Pursuit ID],$A11,Actions[Open action],1,Actions[Sort date],DATE(9999,12,31)))</f>
        <v/>
      </c>
      <c r="AN11" s="41" t="str">
        <f aca="false">IF($AD11=0,"",IF($AC11="","Source not reviewed",IF($AC11&lt;&gt;INDEX(Sources[Source updated],$AD11),"Source changed","")))</f>
        <v/>
      </c>
      <c r="AO11" s="41" t="str">
        <f aca="false">IF(OR($AE11&lt;&gt;1,NOT(AND(ISNUMBER(Dashboard!$V$3),Dashboard!$V$3&gt;=1,Dashboard!$V$3&lt;DATE(2099,1,1)))),"",IF($S11="","Not reviewed",IF(NOT(ISNUMBER($S11)),"Use a real review date",IF($S11&gt;Dashboard!$V$3,"Review date is in future",IF(AND(ISNUMBER('Source Data'!$AE$36),'Source Data'!$AE$36&gt;0),IF(Dashboard!$V$3-$S11&gt;'Source Data'!$AE$36,"Review is overdue",""),"Set review interval")))))</f>
        <v/>
      </c>
      <c r="AP11" s="41" t="str">
        <f aca="false">IF($AF11&lt;&gt;"",$AF11,IF($A11="","",IF(COUNTIFS(StageMap[Stage],$D11)&lt;&gt;1,"Choose a valid stage",IF(NOT(ISNUMBER($AE11)),"Check stage settings",IF($AB11="","Add source ID",IF($AD11=0,"Source link needs review",IF(INDEX(Sources[Input check],$AD11)&lt;&gt;"",INDEX(Sources[Input check],$AD11),IF(AND($V11&lt;&gt;"",OR(NOT(ISNUMBER($V11)),$V11&lt;0,$V11&gt;1)),"Probability must be 0 to 100%",IF(AND($R11&lt;&gt;"",OR(NOT(ISNUMBER($R11)),$R11&lt;0)),"Use valid duration months","")))))))))</f>
        <v/>
      </c>
      <c r="AQ11" s="41" t="str">
        <f aca="false">IF($AD11=0,"",IF(INDEX(Sources[Response time],$AD11)="","Time not confirmed",TEXT(INDEX(Sources[Response time],$AD11),"h:mm AM/PM")&amp;" "&amp;INDEX(Sources[Time zone],$AD11)))</f>
        <v/>
      </c>
      <c r="AR11" s="41" t="n">
        <f aca="false">IF(AND($I11&lt;&gt;"",OR($AE11=1,$AP11&lt;&gt;"")),1,0)</f>
        <v>0</v>
      </c>
      <c r="AS11" s="41" t="n">
        <f aca="false">IF(AND($A11&lt;&gt;"",$AF11=""),1,0)</f>
        <v>0</v>
      </c>
    </row>
    <row r="12" customFormat="false" ht="48" hidden="false" customHeight="true" outlineLevel="0" collapsed="false">
      <c r="A12" s="39"/>
      <c r="B12" s="39"/>
      <c r="C12" s="39"/>
      <c r="D12" s="39"/>
      <c r="E12" s="40" t="str">
        <f aca="false">IF($AD12=0,"",IF(INDEX(Sources[Response date],$AD12)="","",INDEX(Sources[Response date],$AD12)))</f>
        <v/>
      </c>
      <c r="F12" s="41" t="str">
        <f aca="false">IF($AJ12="","",INDEX(Actions[Action],MATCH($AJ12,Actions[Action ID],0)))</f>
        <v/>
      </c>
      <c r="G12" s="40" t="str">
        <f aca="false">IF($AJ12="","",IF(INDEX(Actions[Due date],MATCH($AJ12,Actions[Action ID],0))="","",INDEX(Actions[Due date],MATCH($AJ12,Actions[Action ID],0))))</f>
        <v/>
      </c>
      <c r="H12" s="42"/>
      <c r="I12" s="41" t="str">
        <f aca="false">IF($A12="",$AF12,_xlfn.TEXTJOIN(CHAR(10),TRUE(),$AP12,$AG12,IF(AND($AE12=1,AND(ISNUMBER(Dashboard!$V$3),Dashboard!$V$3&gt;=1,Dashboard!$V$3&lt;DATE(2099,1,1)),ISNUMBER($E12),$E12&lt;Dashboard!$V$3),"Response date passed",""),IF(AND($AE12=1,$AL12=0),"No next action",""),IF(AND($AE12=1,$AM12&gt;0),"Action needs a date",""),IF($AE12=1,$AN12,""),$AO12,IF($AD12=0,"",INDEX(Sources[Source issue],$AD12))))</f>
        <v/>
      </c>
      <c r="J12" s="39"/>
      <c r="K12" s="39"/>
      <c r="L12" s="41" t="str">
        <f aca="false">IF($AD12=0,"",IF(INDEX(Sources[Agency office],$AD12)="","",INDEX(Sources[Agency office],$AD12)))</f>
        <v/>
      </c>
      <c r="M12" s="41" t="str">
        <f aca="false">IF($AD12=0,"",IF(INDEX(Sources[Solicitation],$AD12)="","",INDEX(Sources[Solicitation],$AD12)))</f>
        <v/>
      </c>
      <c r="N12" s="41" t="str">
        <f aca="false">IF($AD12=0,"",IF(INDEX(Sources[Acquisition route],$AD12)="","",INDEX(Sources[Acquisition route],$AD12)))</f>
        <v/>
      </c>
      <c r="O12" s="41" t="str">
        <f aca="false">IF($AD12=0,"",IF(INDEX(Sources[Location],$AD12)="","",INDEX(Sources[Location],$AD12)))</f>
        <v/>
      </c>
      <c r="P12" s="40" t="str">
        <f aca="false">IF($AD12=0,"",IF(INDEX(Sources[Release period],$AD12)="","",INDEX(Sources[Release period],$AD12)))</f>
        <v/>
      </c>
      <c r="Q12" s="40" t="str">
        <f aca="false">IF($AD12=0,"",IF(INDEX(Sources[Award period],$AD12)="","",INDEX(Sources[Award period],$AD12)))</f>
        <v/>
      </c>
      <c r="R12" s="39"/>
      <c r="S12" s="43"/>
      <c r="T12" s="39"/>
      <c r="U12" s="39"/>
      <c r="V12" s="44"/>
      <c r="W12" s="45" t="str">
        <f aca="false">IF(AND(ISNUMBER($AH12),ISNUMBER($V12),$V12&gt;=0,$V12&lt;=1),ROUND($AH12*$V12,2),"")</f>
        <v/>
      </c>
      <c r="X12" s="39"/>
      <c r="Y12" s="39"/>
      <c r="Z12" s="46" t="str">
        <f aca="false">IF($AD12=0,"",IF(INDEX(Sources[GovTribe URL],$AD12)="","",HYPERLINK(INDEX(Sources[GovTribe URL],$AD12),"Open GovTribe")))</f>
        <v/>
      </c>
      <c r="AA12" s="39"/>
      <c r="AB12" s="39"/>
      <c r="AC12" s="39"/>
      <c r="AD12" s="41" t="n">
        <f aca="false">IF($A12="",0,IF(AND($AB12&lt;&gt;"",COUNTIFS(Sources[Source ID],$AB12,Sources[Pursuit ID],$A12)=1,COUNTIFS(Sources[Source ID],$AB12)=1),MATCH($AB12,Sources[Source ID],0),0))</f>
        <v>0</v>
      </c>
      <c r="AE12" s="41" t="str">
        <f aca="false">IF($AS12=0,"",IF(COUNTIFS(StageMap[Stage],$D12)&lt;&gt;1,"",IF(INDEX(StageMap[Input check],MATCH($D12,StageMap[Stage],0))="",INDEX(StageMap[Active],MATCH($D12,StageMap[Stage],0)),"")))</f>
        <v/>
      </c>
      <c r="AF12" s="41" t="str">
        <f aca="false">IF($A12="",IF(COUNTA(B12:D12,H12,J12:K12,R12:V12,X12:Y12,AA12:AC12)&gt;0,"Missing pursuit ID",""),IF(COUNTIFS(Pursuits[Pursuit ID],$A12)&gt;1,"Duplicate pursuit ID",IF($B12="","Add opportunity name","")))</f>
        <v/>
      </c>
      <c r="AG12" s="41" t="str">
        <f aca="false">IF($A12="","",IF($H12="","",IF(NOT(ISNUMBER($H12)),"Enter a numeric estimate",IF($H12&lt;0,"Estimate cannot be negative",IF($T12&lt;&gt;"Total company contract value","Non-total value excluded",IF($U12="","Add value period",""))))))</f>
        <v/>
      </c>
      <c r="AH12" s="45" t="str">
        <f aca="false">IF(AND($AE12=1,$AG12="",ISNUMBER($H12)),$H12,"")</f>
        <v/>
      </c>
      <c r="AI12" s="41" t="str">
        <f aca="false">IF(AND($AE12=1,AND(ISNUMBER(Dashboard!$V$3),Dashboard!$V$3&gt;=1,Dashboard!$V$3&lt;DATE(2099,1,1)),ISNUMBER($E12),$E12&gt;=1,$E12&lt;DATE(2099,1,1),$E12&gt;=Dashboard!$V$3,$E12&lt;Dashboard!$V$3+30),COUNTIFS(Pursuits[Active],1,Pursuits[Response due],"&gt;="&amp;Dashboard!$V$3,Pursuits[Response due],"&lt;"&amp;$E12)+COUNTIFS(Pursuits[Active],1,Pursuits[Response due],$E12,Pursuits[Pursuit ID],"&lt;"&amp;$A12)+1,"")</f>
        <v/>
      </c>
      <c r="AJ12" s="41" t="str">
        <f aca="false">IF(OR($A12="",$AL12=0),"",INDEX(Actions[Action ID],MATCH($A12&amp;"|1",Actions[Pursuit action key],0)))</f>
        <v/>
      </c>
      <c r="AK12" s="41" t="str">
        <f aca="false">IF($AR12&lt;&gt;1,"",COUNTIFS(Pursuits[Review candidate],1,Pursuits[Pursuit ID],"&lt;"&amp;$A12)+COUNTIFS($A$8:$A12,$A12,$AR$8:$AR12,1))</f>
        <v/>
      </c>
      <c r="AL12" s="41" t="str">
        <f aca="false">IF($A12="","",COUNTIFS(Actions[Pursuit ID],$A12,Actions[Open action],1))</f>
        <v/>
      </c>
      <c r="AM12" s="41" t="str">
        <f aca="false">IF($A12="","",COUNTIFS(Actions[Pursuit ID],$A12,Actions[Open action],1,Actions[Sort date],DATE(9999,12,31)))</f>
        <v/>
      </c>
      <c r="AN12" s="41" t="str">
        <f aca="false">IF($AD12=0,"",IF($AC12="","Source not reviewed",IF($AC12&lt;&gt;INDEX(Sources[Source updated],$AD12),"Source changed","")))</f>
        <v/>
      </c>
      <c r="AO12" s="41" t="str">
        <f aca="false">IF(OR($AE12&lt;&gt;1,NOT(AND(ISNUMBER(Dashboard!$V$3),Dashboard!$V$3&gt;=1,Dashboard!$V$3&lt;DATE(2099,1,1)))),"",IF($S12="","Not reviewed",IF(NOT(ISNUMBER($S12)),"Use a real review date",IF($S12&gt;Dashboard!$V$3,"Review date is in future",IF(AND(ISNUMBER('Source Data'!$AE$36),'Source Data'!$AE$36&gt;0),IF(Dashboard!$V$3-$S12&gt;'Source Data'!$AE$36,"Review is overdue",""),"Set review interval")))))</f>
        <v/>
      </c>
      <c r="AP12" s="41" t="str">
        <f aca="false">IF($AF12&lt;&gt;"",$AF12,IF($A12="","",IF(COUNTIFS(StageMap[Stage],$D12)&lt;&gt;1,"Choose a valid stage",IF(NOT(ISNUMBER($AE12)),"Check stage settings",IF($AB12="","Add source ID",IF($AD12=0,"Source link needs review",IF(INDEX(Sources[Input check],$AD12)&lt;&gt;"",INDEX(Sources[Input check],$AD12),IF(AND($V12&lt;&gt;"",OR(NOT(ISNUMBER($V12)),$V12&lt;0,$V12&gt;1)),"Probability must be 0 to 100%",IF(AND($R12&lt;&gt;"",OR(NOT(ISNUMBER($R12)),$R12&lt;0)),"Use valid duration months","")))))))))</f>
        <v/>
      </c>
      <c r="AQ12" s="41" t="str">
        <f aca="false">IF($AD12=0,"",IF(INDEX(Sources[Response time],$AD12)="","Time not confirmed",TEXT(INDEX(Sources[Response time],$AD12),"h:mm AM/PM")&amp;" "&amp;INDEX(Sources[Time zone],$AD12)))</f>
        <v/>
      </c>
      <c r="AR12" s="41" t="n">
        <f aca="false">IF(AND($I12&lt;&gt;"",OR($AE12=1,$AP12&lt;&gt;"")),1,0)</f>
        <v>0</v>
      </c>
      <c r="AS12" s="41" t="n">
        <f aca="false">IF(AND($A12&lt;&gt;"",$AF12=""),1,0)</f>
        <v>0</v>
      </c>
    </row>
    <row r="13" customFormat="false" ht="48" hidden="false" customHeight="true" outlineLevel="0" collapsed="false">
      <c r="A13" s="39"/>
      <c r="B13" s="39"/>
      <c r="C13" s="39"/>
      <c r="D13" s="39"/>
      <c r="E13" s="40" t="str">
        <f aca="false">IF($AD13=0,"",IF(INDEX(Sources[Response date],$AD13)="","",INDEX(Sources[Response date],$AD13)))</f>
        <v/>
      </c>
      <c r="F13" s="41" t="str">
        <f aca="false">IF($AJ13="","",INDEX(Actions[Action],MATCH($AJ13,Actions[Action ID],0)))</f>
        <v/>
      </c>
      <c r="G13" s="40" t="str">
        <f aca="false">IF($AJ13="","",IF(INDEX(Actions[Due date],MATCH($AJ13,Actions[Action ID],0))="","",INDEX(Actions[Due date],MATCH($AJ13,Actions[Action ID],0))))</f>
        <v/>
      </c>
      <c r="H13" s="42"/>
      <c r="I13" s="41" t="str">
        <f aca="false">IF($A13="",$AF13,_xlfn.TEXTJOIN(CHAR(10),TRUE(),$AP13,$AG13,IF(AND($AE13=1,AND(ISNUMBER(Dashboard!$V$3),Dashboard!$V$3&gt;=1,Dashboard!$V$3&lt;DATE(2099,1,1)),ISNUMBER($E13),$E13&lt;Dashboard!$V$3),"Response date passed",""),IF(AND($AE13=1,$AL13=0),"No next action",""),IF(AND($AE13=1,$AM13&gt;0),"Action needs a date",""),IF($AE13=1,$AN13,""),$AO13,IF($AD13=0,"",INDEX(Sources[Source issue],$AD13))))</f>
        <v/>
      </c>
      <c r="J13" s="39"/>
      <c r="K13" s="39"/>
      <c r="L13" s="41" t="str">
        <f aca="false">IF($AD13=0,"",IF(INDEX(Sources[Agency office],$AD13)="","",INDEX(Sources[Agency office],$AD13)))</f>
        <v/>
      </c>
      <c r="M13" s="41" t="str">
        <f aca="false">IF($AD13=0,"",IF(INDEX(Sources[Solicitation],$AD13)="","",INDEX(Sources[Solicitation],$AD13)))</f>
        <v/>
      </c>
      <c r="N13" s="41" t="str">
        <f aca="false">IF($AD13=0,"",IF(INDEX(Sources[Acquisition route],$AD13)="","",INDEX(Sources[Acquisition route],$AD13)))</f>
        <v/>
      </c>
      <c r="O13" s="41" t="str">
        <f aca="false">IF($AD13=0,"",IF(INDEX(Sources[Location],$AD13)="","",INDEX(Sources[Location],$AD13)))</f>
        <v/>
      </c>
      <c r="P13" s="40" t="str">
        <f aca="false">IF($AD13=0,"",IF(INDEX(Sources[Release period],$AD13)="","",INDEX(Sources[Release period],$AD13)))</f>
        <v/>
      </c>
      <c r="Q13" s="40" t="str">
        <f aca="false">IF($AD13=0,"",IF(INDEX(Sources[Award period],$AD13)="","",INDEX(Sources[Award period],$AD13)))</f>
        <v/>
      </c>
      <c r="R13" s="39"/>
      <c r="S13" s="43"/>
      <c r="T13" s="39"/>
      <c r="U13" s="39"/>
      <c r="V13" s="44"/>
      <c r="W13" s="45" t="str">
        <f aca="false">IF(AND(ISNUMBER($AH13),ISNUMBER($V13),$V13&gt;=0,$V13&lt;=1),ROUND($AH13*$V13,2),"")</f>
        <v/>
      </c>
      <c r="X13" s="39"/>
      <c r="Y13" s="39"/>
      <c r="Z13" s="46" t="str">
        <f aca="false">IF($AD13=0,"",IF(INDEX(Sources[GovTribe URL],$AD13)="","",HYPERLINK(INDEX(Sources[GovTribe URL],$AD13),"Open GovTribe")))</f>
        <v/>
      </c>
      <c r="AA13" s="39"/>
      <c r="AB13" s="39"/>
      <c r="AC13" s="39"/>
      <c r="AD13" s="41" t="n">
        <f aca="false">IF($A13="",0,IF(AND($AB13&lt;&gt;"",COUNTIFS(Sources[Source ID],$AB13,Sources[Pursuit ID],$A13)=1,COUNTIFS(Sources[Source ID],$AB13)=1),MATCH($AB13,Sources[Source ID],0),0))</f>
        <v>0</v>
      </c>
      <c r="AE13" s="41" t="str">
        <f aca="false">IF($AS13=0,"",IF(COUNTIFS(StageMap[Stage],$D13)&lt;&gt;1,"",IF(INDEX(StageMap[Input check],MATCH($D13,StageMap[Stage],0))="",INDEX(StageMap[Active],MATCH($D13,StageMap[Stage],0)),"")))</f>
        <v/>
      </c>
      <c r="AF13" s="41" t="str">
        <f aca="false">IF($A13="",IF(COUNTA(B13:D13,H13,J13:K13,R13:V13,X13:Y13,AA13:AC13)&gt;0,"Missing pursuit ID",""),IF(COUNTIFS(Pursuits[Pursuit ID],$A13)&gt;1,"Duplicate pursuit ID",IF($B13="","Add opportunity name","")))</f>
        <v/>
      </c>
      <c r="AG13" s="41" t="str">
        <f aca="false">IF($A13="","",IF($H13="","",IF(NOT(ISNUMBER($H13)),"Enter a numeric estimate",IF($H13&lt;0,"Estimate cannot be negative",IF($T13&lt;&gt;"Total company contract value","Non-total value excluded",IF($U13="","Add value period",""))))))</f>
        <v/>
      </c>
      <c r="AH13" s="45" t="str">
        <f aca="false">IF(AND($AE13=1,$AG13="",ISNUMBER($H13)),$H13,"")</f>
        <v/>
      </c>
      <c r="AI13" s="41" t="str">
        <f aca="false">IF(AND($AE13=1,AND(ISNUMBER(Dashboard!$V$3),Dashboard!$V$3&gt;=1,Dashboard!$V$3&lt;DATE(2099,1,1)),ISNUMBER($E13),$E13&gt;=1,$E13&lt;DATE(2099,1,1),$E13&gt;=Dashboard!$V$3,$E13&lt;Dashboard!$V$3+30),COUNTIFS(Pursuits[Active],1,Pursuits[Response due],"&gt;="&amp;Dashboard!$V$3,Pursuits[Response due],"&lt;"&amp;$E13)+COUNTIFS(Pursuits[Active],1,Pursuits[Response due],$E13,Pursuits[Pursuit ID],"&lt;"&amp;$A13)+1,"")</f>
        <v/>
      </c>
      <c r="AJ13" s="41" t="str">
        <f aca="false">IF(OR($A13="",$AL13=0),"",INDEX(Actions[Action ID],MATCH($A13&amp;"|1",Actions[Pursuit action key],0)))</f>
        <v/>
      </c>
      <c r="AK13" s="41" t="str">
        <f aca="false">IF($AR13&lt;&gt;1,"",COUNTIFS(Pursuits[Review candidate],1,Pursuits[Pursuit ID],"&lt;"&amp;$A13)+COUNTIFS($A$8:$A13,$A13,$AR$8:$AR13,1))</f>
        <v/>
      </c>
      <c r="AL13" s="41" t="str">
        <f aca="false">IF($A13="","",COUNTIFS(Actions[Pursuit ID],$A13,Actions[Open action],1))</f>
        <v/>
      </c>
      <c r="AM13" s="41" t="str">
        <f aca="false">IF($A13="","",COUNTIFS(Actions[Pursuit ID],$A13,Actions[Open action],1,Actions[Sort date],DATE(9999,12,31)))</f>
        <v/>
      </c>
      <c r="AN13" s="41" t="str">
        <f aca="false">IF($AD13=0,"",IF($AC13="","Source not reviewed",IF($AC13&lt;&gt;INDEX(Sources[Source updated],$AD13),"Source changed","")))</f>
        <v/>
      </c>
      <c r="AO13" s="41" t="str">
        <f aca="false">IF(OR($AE13&lt;&gt;1,NOT(AND(ISNUMBER(Dashboard!$V$3),Dashboard!$V$3&gt;=1,Dashboard!$V$3&lt;DATE(2099,1,1)))),"",IF($S13="","Not reviewed",IF(NOT(ISNUMBER($S13)),"Use a real review date",IF($S13&gt;Dashboard!$V$3,"Review date is in future",IF(AND(ISNUMBER('Source Data'!$AE$36),'Source Data'!$AE$36&gt;0),IF(Dashboard!$V$3-$S13&gt;'Source Data'!$AE$36,"Review is overdue",""),"Set review interval")))))</f>
        <v/>
      </c>
      <c r="AP13" s="41" t="str">
        <f aca="false">IF($AF13&lt;&gt;"",$AF13,IF($A13="","",IF(COUNTIFS(StageMap[Stage],$D13)&lt;&gt;1,"Choose a valid stage",IF(NOT(ISNUMBER($AE13)),"Check stage settings",IF($AB13="","Add source ID",IF($AD13=0,"Source link needs review",IF(INDEX(Sources[Input check],$AD13)&lt;&gt;"",INDEX(Sources[Input check],$AD13),IF(AND($V13&lt;&gt;"",OR(NOT(ISNUMBER($V13)),$V13&lt;0,$V13&gt;1)),"Probability must be 0 to 100%",IF(AND($R13&lt;&gt;"",OR(NOT(ISNUMBER($R13)),$R13&lt;0)),"Use valid duration months","")))))))))</f>
        <v/>
      </c>
      <c r="AQ13" s="41" t="str">
        <f aca="false">IF($AD13=0,"",IF(INDEX(Sources[Response time],$AD13)="","Time not confirmed",TEXT(INDEX(Sources[Response time],$AD13),"h:mm AM/PM")&amp;" "&amp;INDEX(Sources[Time zone],$AD13)))</f>
        <v/>
      </c>
      <c r="AR13" s="41" t="n">
        <f aca="false">IF(AND($I13&lt;&gt;"",OR($AE13=1,$AP13&lt;&gt;"")),1,0)</f>
        <v>0</v>
      </c>
      <c r="AS13" s="41" t="n">
        <f aca="false">IF(AND($A13&lt;&gt;"",$AF13=""),1,0)</f>
        <v>0</v>
      </c>
    </row>
    <row r="14" customFormat="false" ht="48" hidden="false" customHeight="true" outlineLevel="0" collapsed="false">
      <c r="A14" s="39"/>
      <c r="B14" s="39"/>
      <c r="C14" s="39"/>
      <c r="D14" s="39"/>
      <c r="E14" s="40" t="str">
        <f aca="false">IF($AD14=0,"",IF(INDEX(Sources[Response date],$AD14)="","",INDEX(Sources[Response date],$AD14)))</f>
        <v/>
      </c>
      <c r="F14" s="41" t="str">
        <f aca="false">IF($AJ14="","",INDEX(Actions[Action],MATCH($AJ14,Actions[Action ID],0)))</f>
        <v/>
      </c>
      <c r="G14" s="40" t="str">
        <f aca="false">IF($AJ14="","",IF(INDEX(Actions[Due date],MATCH($AJ14,Actions[Action ID],0))="","",INDEX(Actions[Due date],MATCH($AJ14,Actions[Action ID],0))))</f>
        <v/>
      </c>
      <c r="H14" s="42"/>
      <c r="I14" s="41" t="str">
        <f aca="false">IF($A14="",$AF14,_xlfn.TEXTJOIN(CHAR(10),TRUE(),$AP14,$AG14,IF(AND($AE14=1,AND(ISNUMBER(Dashboard!$V$3),Dashboard!$V$3&gt;=1,Dashboard!$V$3&lt;DATE(2099,1,1)),ISNUMBER($E14),$E14&lt;Dashboard!$V$3),"Response date passed",""),IF(AND($AE14=1,$AL14=0),"No next action",""),IF(AND($AE14=1,$AM14&gt;0),"Action needs a date",""),IF($AE14=1,$AN14,""),$AO14,IF($AD14=0,"",INDEX(Sources[Source issue],$AD14))))</f>
        <v/>
      </c>
      <c r="J14" s="39"/>
      <c r="K14" s="39"/>
      <c r="L14" s="41" t="str">
        <f aca="false">IF($AD14=0,"",IF(INDEX(Sources[Agency office],$AD14)="","",INDEX(Sources[Agency office],$AD14)))</f>
        <v/>
      </c>
      <c r="M14" s="41" t="str">
        <f aca="false">IF($AD14=0,"",IF(INDEX(Sources[Solicitation],$AD14)="","",INDEX(Sources[Solicitation],$AD14)))</f>
        <v/>
      </c>
      <c r="N14" s="41" t="str">
        <f aca="false">IF($AD14=0,"",IF(INDEX(Sources[Acquisition route],$AD14)="","",INDEX(Sources[Acquisition route],$AD14)))</f>
        <v/>
      </c>
      <c r="O14" s="41" t="str">
        <f aca="false">IF($AD14=0,"",IF(INDEX(Sources[Location],$AD14)="","",INDEX(Sources[Location],$AD14)))</f>
        <v/>
      </c>
      <c r="P14" s="40" t="str">
        <f aca="false">IF($AD14=0,"",IF(INDEX(Sources[Release period],$AD14)="","",INDEX(Sources[Release period],$AD14)))</f>
        <v/>
      </c>
      <c r="Q14" s="40" t="str">
        <f aca="false">IF($AD14=0,"",IF(INDEX(Sources[Award period],$AD14)="","",INDEX(Sources[Award period],$AD14)))</f>
        <v/>
      </c>
      <c r="R14" s="39"/>
      <c r="S14" s="43"/>
      <c r="T14" s="39"/>
      <c r="U14" s="39"/>
      <c r="V14" s="44"/>
      <c r="W14" s="45" t="str">
        <f aca="false">IF(AND(ISNUMBER($AH14),ISNUMBER($V14),$V14&gt;=0,$V14&lt;=1),ROUND($AH14*$V14,2),"")</f>
        <v/>
      </c>
      <c r="X14" s="39"/>
      <c r="Y14" s="39"/>
      <c r="Z14" s="46" t="str">
        <f aca="false">IF($AD14=0,"",IF(INDEX(Sources[GovTribe URL],$AD14)="","",HYPERLINK(INDEX(Sources[GovTribe URL],$AD14),"Open GovTribe")))</f>
        <v/>
      </c>
      <c r="AA14" s="39"/>
      <c r="AB14" s="39"/>
      <c r="AC14" s="39"/>
      <c r="AD14" s="41" t="n">
        <f aca="false">IF($A14="",0,IF(AND($AB14&lt;&gt;"",COUNTIFS(Sources[Source ID],$AB14,Sources[Pursuit ID],$A14)=1,COUNTIFS(Sources[Source ID],$AB14)=1),MATCH($AB14,Sources[Source ID],0),0))</f>
        <v>0</v>
      </c>
      <c r="AE14" s="41" t="str">
        <f aca="false">IF($AS14=0,"",IF(COUNTIFS(StageMap[Stage],$D14)&lt;&gt;1,"",IF(INDEX(StageMap[Input check],MATCH($D14,StageMap[Stage],0))="",INDEX(StageMap[Active],MATCH($D14,StageMap[Stage],0)),"")))</f>
        <v/>
      </c>
      <c r="AF14" s="41" t="str">
        <f aca="false">IF($A14="",IF(COUNTA(B14:D14,H14,J14:K14,R14:V14,X14:Y14,AA14:AC14)&gt;0,"Missing pursuit ID",""),IF(COUNTIFS(Pursuits[Pursuit ID],$A14)&gt;1,"Duplicate pursuit ID",IF($B14="","Add opportunity name","")))</f>
        <v/>
      </c>
      <c r="AG14" s="41" t="str">
        <f aca="false">IF($A14="","",IF($H14="","",IF(NOT(ISNUMBER($H14)),"Enter a numeric estimate",IF($H14&lt;0,"Estimate cannot be negative",IF($T14&lt;&gt;"Total company contract value","Non-total value excluded",IF($U14="","Add value period",""))))))</f>
        <v/>
      </c>
      <c r="AH14" s="45" t="str">
        <f aca="false">IF(AND($AE14=1,$AG14="",ISNUMBER($H14)),$H14,"")</f>
        <v/>
      </c>
      <c r="AI14" s="41" t="str">
        <f aca="false">IF(AND($AE14=1,AND(ISNUMBER(Dashboard!$V$3),Dashboard!$V$3&gt;=1,Dashboard!$V$3&lt;DATE(2099,1,1)),ISNUMBER($E14),$E14&gt;=1,$E14&lt;DATE(2099,1,1),$E14&gt;=Dashboard!$V$3,$E14&lt;Dashboard!$V$3+30),COUNTIFS(Pursuits[Active],1,Pursuits[Response due],"&gt;="&amp;Dashboard!$V$3,Pursuits[Response due],"&lt;"&amp;$E14)+COUNTIFS(Pursuits[Active],1,Pursuits[Response due],$E14,Pursuits[Pursuit ID],"&lt;"&amp;$A14)+1,"")</f>
        <v/>
      </c>
      <c r="AJ14" s="41" t="str">
        <f aca="false">IF(OR($A14="",$AL14=0),"",INDEX(Actions[Action ID],MATCH($A14&amp;"|1",Actions[Pursuit action key],0)))</f>
        <v/>
      </c>
      <c r="AK14" s="41" t="str">
        <f aca="false">IF($AR14&lt;&gt;1,"",COUNTIFS(Pursuits[Review candidate],1,Pursuits[Pursuit ID],"&lt;"&amp;$A14)+COUNTIFS($A$8:$A14,$A14,$AR$8:$AR14,1))</f>
        <v/>
      </c>
      <c r="AL14" s="41" t="str">
        <f aca="false">IF($A14="","",COUNTIFS(Actions[Pursuit ID],$A14,Actions[Open action],1))</f>
        <v/>
      </c>
      <c r="AM14" s="41" t="str">
        <f aca="false">IF($A14="","",COUNTIFS(Actions[Pursuit ID],$A14,Actions[Open action],1,Actions[Sort date],DATE(9999,12,31)))</f>
        <v/>
      </c>
      <c r="AN14" s="41" t="str">
        <f aca="false">IF($AD14=0,"",IF($AC14="","Source not reviewed",IF($AC14&lt;&gt;INDEX(Sources[Source updated],$AD14),"Source changed","")))</f>
        <v/>
      </c>
      <c r="AO14" s="41" t="str">
        <f aca="false">IF(OR($AE14&lt;&gt;1,NOT(AND(ISNUMBER(Dashboard!$V$3),Dashboard!$V$3&gt;=1,Dashboard!$V$3&lt;DATE(2099,1,1)))),"",IF($S14="","Not reviewed",IF(NOT(ISNUMBER($S14)),"Use a real review date",IF($S14&gt;Dashboard!$V$3,"Review date is in future",IF(AND(ISNUMBER('Source Data'!$AE$36),'Source Data'!$AE$36&gt;0),IF(Dashboard!$V$3-$S14&gt;'Source Data'!$AE$36,"Review is overdue",""),"Set review interval")))))</f>
        <v/>
      </c>
      <c r="AP14" s="41" t="str">
        <f aca="false">IF($AF14&lt;&gt;"",$AF14,IF($A14="","",IF(COUNTIFS(StageMap[Stage],$D14)&lt;&gt;1,"Choose a valid stage",IF(NOT(ISNUMBER($AE14)),"Check stage settings",IF($AB14="","Add source ID",IF($AD14=0,"Source link needs review",IF(INDEX(Sources[Input check],$AD14)&lt;&gt;"",INDEX(Sources[Input check],$AD14),IF(AND($V14&lt;&gt;"",OR(NOT(ISNUMBER($V14)),$V14&lt;0,$V14&gt;1)),"Probability must be 0 to 100%",IF(AND($R14&lt;&gt;"",OR(NOT(ISNUMBER($R14)),$R14&lt;0)),"Use valid duration months","")))))))))</f>
        <v/>
      </c>
      <c r="AQ14" s="41" t="str">
        <f aca="false">IF($AD14=0,"",IF(INDEX(Sources[Response time],$AD14)="","Time not confirmed",TEXT(INDEX(Sources[Response time],$AD14),"h:mm AM/PM")&amp;" "&amp;INDEX(Sources[Time zone],$AD14)))</f>
        <v/>
      </c>
      <c r="AR14" s="41" t="n">
        <f aca="false">IF(AND($I14&lt;&gt;"",OR($AE14=1,$AP14&lt;&gt;"")),1,0)</f>
        <v>0</v>
      </c>
      <c r="AS14" s="41" t="n">
        <f aca="false">IF(AND($A14&lt;&gt;"",$AF14=""),1,0)</f>
        <v>0</v>
      </c>
    </row>
    <row r="15" customFormat="false" ht="48" hidden="false" customHeight="true" outlineLevel="0" collapsed="false">
      <c r="A15" s="39"/>
      <c r="B15" s="39"/>
      <c r="C15" s="39"/>
      <c r="D15" s="39"/>
      <c r="E15" s="40" t="str">
        <f aca="false">IF($AD15=0,"",IF(INDEX(Sources[Response date],$AD15)="","",INDEX(Sources[Response date],$AD15)))</f>
        <v/>
      </c>
      <c r="F15" s="41" t="str">
        <f aca="false">IF($AJ15="","",INDEX(Actions[Action],MATCH($AJ15,Actions[Action ID],0)))</f>
        <v/>
      </c>
      <c r="G15" s="40" t="str">
        <f aca="false">IF($AJ15="","",IF(INDEX(Actions[Due date],MATCH($AJ15,Actions[Action ID],0))="","",INDEX(Actions[Due date],MATCH($AJ15,Actions[Action ID],0))))</f>
        <v/>
      </c>
      <c r="H15" s="42"/>
      <c r="I15" s="41" t="str">
        <f aca="false">IF($A15="",$AF15,_xlfn.TEXTJOIN(CHAR(10),TRUE(),$AP15,$AG15,IF(AND($AE15=1,AND(ISNUMBER(Dashboard!$V$3),Dashboard!$V$3&gt;=1,Dashboard!$V$3&lt;DATE(2099,1,1)),ISNUMBER($E15),$E15&lt;Dashboard!$V$3),"Response date passed",""),IF(AND($AE15=1,$AL15=0),"No next action",""),IF(AND($AE15=1,$AM15&gt;0),"Action needs a date",""),IF($AE15=1,$AN15,""),$AO15,IF($AD15=0,"",INDEX(Sources[Source issue],$AD15))))</f>
        <v/>
      </c>
      <c r="J15" s="39"/>
      <c r="K15" s="39"/>
      <c r="L15" s="41" t="str">
        <f aca="false">IF($AD15=0,"",IF(INDEX(Sources[Agency office],$AD15)="","",INDEX(Sources[Agency office],$AD15)))</f>
        <v/>
      </c>
      <c r="M15" s="41" t="str">
        <f aca="false">IF($AD15=0,"",IF(INDEX(Sources[Solicitation],$AD15)="","",INDEX(Sources[Solicitation],$AD15)))</f>
        <v/>
      </c>
      <c r="N15" s="41" t="str">
        <f aca="false">IF($AD15=0,"",IF(INDEX(Sources[Acquisition route],$AD15)="","",INDEX(Sources[Acquisition route],$AD15)))</f>
        <v/>
      </c>
      <c r="O15" s="41" t="str">
        <f aca="false">IF($AD15=0,"",IF(INDEX(Sources[Location],$AD15)="","",INDEX(Sources[Location],$AD15)))</f>
        <v/>
      </c>
      <c r="P15" s="40" t="str">
        <f aca="false">IF($AD15=0,"",IF(INDEX(Sources[Release period],$AD15)="","",INDEX(Sources[Release period],$AD15)))</f>
        <v/>
      </c>
      <c r="Q15" s="40" t="str">
        <f aca="false">IF($AD15=0,"",IF(INDEX(Sources[Award period],$AD15)="","",INDEX(Sources[Award period],$AD15)))</f>
        <v/>
      </c>
      <c r="R15" s="39"/>
      <c r="S15" s="43"/>
      <c r="T15" s="39"/>
      <c r="U15" s="39"/>
      <c r="V15" s="44"/>
      <c r="W15" s="45" t="str">
        <f aca="false">IF(AND(ISNUMBER($AH15),ISNUMBER($V15),$V15&gt;=0,$V15&lt;=1),ROUND($AH15*$V15,2),"")</f>
        <v/>
      </c>
      <c r="X15" s="39"/>
      <c r="Y15" s="39"/>
      <c r="Z15" s="46" t="str">
        <f aca="false">IF($AD15=0,"",IF(INDEX(Sources[GovTribe URL],$AD15)="","",HYPERLINK(INDEX(Sources[GovTribe URL],$AD15),"Open GovTribe")))</f>
        <v/>
      </c>
      <c r="AA15" s="39"/>
      <c r="AB15" s="39"/>
      <c r="AC15" s="39"/>
      <c r="AD15" s="41" t="n">
        <f aca="false">IF($A15="",0,IF(AND($AB15&lt;&gt;"",COUNTIFS(Sources[Source ID],$AB15,Sources[Pursuit ID],$A15)=1,COUNTIFS(Sources[Source ID],$AB15)=1),MATCH($AB15,Sources[Source ID],0),0))</f>
        <v>0</v>
      </c>
      <c r="AE15" s="41" t="str">
        <f aca="false">IF($AS15=0,"",IF(COUNTIFS(StageMap[Stage],$D15)&lt;&gt;1,"",IF(INDEX(StageMap[Input check],MATCH($D15,StageMap[Stage],0))="",INDEX(StageMap[Active],MATCH($D15,StageMap[Stage],0)),"")))</f>
        <v/>
      </c>
      <c r="AF15" s="41" t="str">
        <f aca="false">IF($A15="",IF(COUNTA(B15:D15,H15,J15:K15,R15:V15,X15:Y15,AA15:AC15)&gt;0,"Missing pursuit ID",""),IF(COUNTIFS(Pursuits[Pursuit ID],$A15)&gt;1,"Duplicate pursuit ID",IF($B15="","Add opportunity name","")))</f>
        <v/>
      </c>
      <c r="AG15" s="41" t="str">
        <f aca="false">IF($A15="","",IF($H15="","",IF(NOT(ISNUMBER($H15)),"Enter a numeric estimate",IF($H15&lt;0,"Estimate cannot be negative",IF($T15&lt;&gt;"Total company contract value","Non-total value excluded",IF($U15="","Add value period",""))))))</f>
        <v/>
      </c>
      <c r="AH15" s="45" t="str">
        <f aca="false">IF(AND($AE15=1,$AG15="",ISNUMBER($H15)),$H15,"")</f>
        <v/>
      </c>
      <c r="AI15" s="41" t="str">
        <f aca="false">IF(AND($AE15=1,AND(ISNUMBER(Dashboard!$V$3),Dashboard!$V$3&gt;=1,Dashboard!$V$3&lt;DATE(2099,1,1)),ISNUMBER($E15),$E15&gt;=1,$E15&lt;DATE(2099,1,1),$E15&gt;=Dashboard!$V$3,$E15&lt;Dashboard!$V$3+30),COUNTIFS(Pursuits[Active],1,Pursuits[Response due],"&gt;="&amp;Dashboard!$V$3,Pursuits[Response due],"&lt;"&amp;$E15)+COUNTIFS(Pursuits[Active],1,Pursuits[Response due],$E15,Pursuits[Pursuit ID],"&lt;"&amp;$A15)+1,"")</f>
        <v/>
      </c>
      <c r="AJ15" s="41" t="str">
        <f aca="false">IF(OR($A15="",$AL15=0),"",INDEX(Actions[Action ID],MATCH($A15&amp;"|1",Actions[Pursuit action key],0)))</f>
        <v/>
      </c>
      <c r="AK15" s="41" t="str">
        <f aca="false">IF($AR15&lt;&gt;1,"",COUNTIFS(Pursuits[Review candidate],1,Pursuits[Pursuit ID],"&lt;"&amp;$A15)+COUNTIFS($A$8:$A15,$A15,$AR$8:$AR15,1))</f>
        <v/>
      </c>
      <c r="AL15" s="41" t="str">
        <f aca="false">IF($A15="","",COUNTIFS(Actions[Pursuit ID],$A15,Actions[Open action],1))</f>
        <v/>
      </c>
      <c r="AM15" s="41" t="str">
        <f aca="false">IF($A15="","",COUNTIFS(Actions[Pursuit ID],$A15,Actions[Open action],1,Actions[Sort date],DATE(9999,12,31)))</f>
        <v/>
      </c>
      <c r="AN15" s="41" t="str">
        <f aca="false">IF($AD15=0,"",IF($AC15="","Source not reviewed",IF($AC15&lt;&gt;INDEX(Sources[Source updated],$AD15),"Source changed","")))</f>
        <v/>
      </c>
      <c r="AO15" s="41" t="str">
        <f aca="false">IF(OR($AE15&lt;&gt;1,NOT(AND(ISNUMBER(Dashboard!$V$3),Dashboard!$V$3&gt;=1,Dashboard!$V$3&lt;DATE(2099,1,1)))),"",IF($S15="","Not reviewed",IF(NOT(ISNUMBER($S15)),"Use a real review date",IF($S15&gt;Dashboard!$V$3,"Review date is in future",IF(AND(ISNUMBER('Source Data'!$AE$36),'Source Data'!$AE$36&gt;0),IF(Dashboard!$V$3-$S15&gt;'Source Data'!$AE$36,"Review is overdue",""),"Set review interval")))))</f>
        <v/>
      </c>
      <c r="AP15" s="41" t="str">
        <f aca="false">IF($AF15&lt;&gt;"",$AF15,IF($A15="","",IF(COUNTIFS(StageMap[Stage],$D15)&lt;&gt;1,"Choose a valid stage",IF(NOT(ISNUMBER($AE15)),"Check stage settings",IF($AB15="","Add source ID",IF($AD15=0,"Source link needs review",IF(INDEX(Sources[Input check],$AD15)&lt;&gt;"",INDEX(Sources[Input check],$AD15),IF(AND($V15&lt;&gt;"",OR(NOT(ISNUMBER($V15)),$V15&lt;0,$V15&gt;1)),"Probability must be 0 to 100%",IF(AND($R15&lt;&gt;"",OR(NOT(ISNUMBER($R15)),$R15&lt;0)),"Use valid duration months","")))))))))</f>
        <v/>
      </c>
      <c r="AQ15" s="41" t="str">
        <f aca="false">IF($AD15=0,"",IF(INDEX(Sources[Response time],$AD15)="","Time not confirmed",TEXT(INDEX(Sources[Response time],$AD15),"h:mm AM/PM")&amp;" "&amp;INDEX(Sources[Time zone],$AD15)))</f>
        <v/>
      </c>
      <c r="AR15" s="41" t="n">
        <f aca="false">IF(AND($I15&lt;&gt;"",OR($AE15=1,$AP15&lt;&gt;"")),1,0)</f>
        <v>0</v>
      </c>
      <c r="AS15" s="41" t="n">
        <f aca="false">IF(AND($A15&lt;&gt;"",$AF15=""),1,0)</f>
        <v>0</v>
      </c>
    </row>
    <row r="16" customFormat="false" ht="48" hidden="false" customHeight="true" outlineLevel="0" collapsed="false">
      <c r="A16" s="39"/>
      <c r="B16" s="39"/>
      <c r="C16" s="39"/>
      <c r="D16" s="39"/>
      <c r="E16" s="40" t="str">
        <f aca="false">IF($AD16=0,"",IF(INDEX(Sources[Response date],$AD16)="","",INDEX(Sources[Response date],$AD16)))</f>
        <v/>
      </c>
      <c r="F16" s="41" t="str">
        <f aca="false">IF($AJ16="","",INDEX(Actions[Action],MATCH($AJ16,Actions[Action ID],0)))</f>
        <v/>
      </c>
      <c r="G16" s="40" t="str">
        <f aca="false">IF($AJ16="","",IF(INDEX(Actions[Due date],MATCH($AJ16,Actions[Action ID],0))="","",INDEX(Actions[Due date],MATCH($AJ16,Actions[Action ID],0))))</f>
        <v/>
      </c>
      <c r="H16" s="42"/>
      <c r="I16" s="41" t="str">
        <f aca="false">IF($A16="",$AF16,_xlfn.TEXTJOIN(CHAR(10),TRUE(),$AP16,$AG16,IF(AND($AE16=1,AND(ISNUMBER(Dashboard!$V$3),Dashboard!$V$3&gt;=1,Dashboard!$V$3&lt;DATE(2099,1,1)),ISNUMBER($E16),$E16&lt;Dashboard!$V$3),"Response date passed",""),IF(AND($AE16=1,$AL16=0),"No next action",""),IF(AND($AE16=1,$AM16&gt;0),"Action needs a date",""),IF($AE16=1,$AN16,""),$AO16,IF($AD16=0,"",INDEX(Sources[Source issue],$AD16))))</f>
        <v/>
      </c>
      <c r="J16" s="39"/>
      <c r="K16" s="39"/>
      <c r="L16" s="41" t="str">
        <f aca="false">IF($AD16=0,"",IF(INDEX(Sources[Agency office],$AD16)="","",INDEX(Sources[Agency office],$AD16)))</f>
        <v/>
      </c>
      <c r="M16" s="41" t="str">
        <f aca="false">IF($AD16=0,"",IF(INDEX(Sources[Solicitation],$AD16)="","",INDEX(Sources[Solicitation],$AD16)))</f>
        <v/>
      </c>
      <c r="N16" s="41" t="str">
        <f aca="false">IF($AD16=0,"",IF(INDEX(Sources[Acquisition route],$AD16)="","",INDEX(Sources[Acquisition route],$AD16)))</f>
        <v/>
      </c>
      <c r="O16" s="41" t="str">
        <f aca="false">IF($AD16=0,"",IF(INDEX(Sources[Location],$AD16)="","",INDEX(Sources[Location],$AD16)))</f>
        <v/>
      </c>
      <c r="P16" s="40" t="str">
        <f aca="false">IF($AD16=0,"",IF(INDEX(Sources[Release period],$AD16)="","",INDEX(Sources[Release period],$AD16)))</f>
        <v/>
      </c>
      <c r="Q16" s="40" t="str">
        <f aca="false">IF($AD16=0,"",IF(INDEX(Sources[Award period],$AD16)="","",INDEX(Sources[Award period],$AD16)))</f>
        <v/>
      </c>
      <c r="R16" s="39"/>
      <c r="S16" s="43"/>
      <c r="T16" s="39"/>
      <c r="U16" s="39"/>
      <c r="V16" s="44"/>
      <c r="W16" s="45" t="str">
        <f aca="false">IF(AND(ISNUMBER($AH16),ISNUMBER($V16),$V16&gt;=0,$V16&lt;=1),ROUND($AH16*$V16,2),"")</f>
        <v/>
      </c>
      <c r="X16" s="39"/>
      <c r="Y16" s="39"/>
      <c r="Z16" s="46" t="str">
        <f aca="false">IF($AD16=0,"",IF(INDEX(Sources[GovTribe URL],$AD16)="","",HYPERLINK(INDEX(Sources[GovTribe URL],$AD16),"Open GovTribe")))</f>
        <v/>
      </c>
      <c r="AA16" s="39"/>
      <c r="AB16" s="39"/>
      <c r="AC16" s="39"/>
      <c r="AD16" s="41" t="n">
        <f aca="false">IF($A16="",0,IF(AND($AB16&lt;&gt;"",COUNTIFS(Sources[Source ID],$AB16,Sources[Pursuit ID],$A16)=1,COUNTIFS(Sources[Source ID],$AB16)=1),MATCH($AB16,Sources[Source ID],0),0))</f>
        <v>0</v>
      </c>
      <c r="AE16" s="41" t="str">
        <f aca="false">IF($AS16=0,"",IF(COUNTIFS(StageMap[Stage],$D16)&lt;&gt;1,"",IF(INDEX(StageMap[Input check],MATCH($D16,StageMap[Stage],0))="",INDEX(StageMap[Active],MATCH($D16,StageMap[Stage],0)),"")))</f>
        <v/>
      </c>
      <c r="AF16" s="41" t="str">
        <f aca="false">IF($A16="",IF(COUNTA(B16:D16,H16,J16:K16,R16:V16,X16:Y16,AA16:AC16)&gt;0,"Missing pursuit ID",""),IF(COUNTIFS(Pursuits[Pursuit ID],$A16)&gt;1,"Duplicate pursuit ID",IF($B16="","Add opportunity name","")))</f>
        <v/>
      </c>
      <c r="AG16" s="41" t="str">
        <f aca="false">IF($A16="","",IF($H16="","",IF(NOT(ISNUMBER($H16)),"Enter a numeric estimate",IF($H16&lt;0,"Estimate cannot be negative",IF($T16&lt;&gt;"Total company contract value","Non-total value excluded",IF($U16="","Add value period",""))))))</f>
        <v/>
      </c>
      <c r="AH16" s="45" t="str">
        <f aca="false">IF(AND($AE16=1,$AG16="",ISNUMBER($H16)),$H16,"")</f>
        <v/>
      </c>
      <c r="AI16" s="41" t="str">
        <f aca="false">IF(AND($AE16=1,AND(ISNUMBER(Dashboard!$V$3),Dashboard!$V$3&gt;=1,Dashboard!$V$3&lt;DATE(2099,1,1)),ISNUMBER($E16),$E16&gt;=1,$E16&lt;DATE(2099,1,1),$E16&gt;=Dashboard!$V$3,$E16&lt;Dashboard!$V$3+30),COUNTIFS(Pursuits[Active],1,Pursuits[Response due],"&gt;="&amp;Dashboard!$V$3,Pursuits[Response due],"&lt;"&amp;$E16)+COUNTIFS(Pursuits[Active],1,Pursuits[Response due],$E16,Pursuits[Pursuit ID],"&lt;"&amp;$A16)+1,"")</f>
        <v/>
      </c>
      <c r="AJ16" s="41" t="str">
        <f aca="false">IF(OR($A16="",$AL16=0),"",INDEX(Actions[Action ID],MATCH($A16&amp;"|1",Actions[Pursuit action key],0)))</f>
        <v/>
      </c>
      <c r="AK16" s="41" t="str">
        <f aca="false">IF($AR16&lt;&gt;1,"",COUNTIFS(Pursuits[Review candidate],1,Pursuits[Pursuit ID],"&lt;"&amp;$A16)+COUNTIFS($A$8:$A16,$A16,$AR$8:$AR16,1))</f>
        <v/>
      </c>
      <c r="AL16" s="41" t="str">
        <f aca="false">IF($A16="","",COUNTIFS(Actions[Pursuit ID],$A16,Actions[Open action],1))</f>
        <v/>
      </c>
      <c r="AM16" s="41" t="str">
        <f aca="false">IF($A16="","",COUNTIFS(Actions[Pursuit ID],$A16,Actions[Open action],1,Actions[Sort date],DATE(9999,12,31)))</f>
        <v/>
      </c>
      <c r="AN16" s="41" t="str">
        <f aca="false">IF($AD16=0,"",IF($AC16="","Source not reviewed",IF($AC16&lt;&gt;INDEX(Sources[Source updated],$AD16),"Source changed","")))</f>
        <v/>
      </c>
      <c r="AO16" s="41" t="str">
        <f aca="false">IF(OR($AE16&lt;&gt;1,NOT(AND(ISNUMBER(Dashboard!$V$3),Dashboard!$V$3&gt;=1,Dashboard!$V$3&lt;DATE(2099,1,1)))),"",IF($S16="","Not reviewed",IF(NOT(ISNUMBER($S16)),"Use a real review date",IF($S16&gt;Dashboard!$V$3,"Review date is in future",IF(AND(ISNUMBER('Source Data'!$AE$36),'Source Data'!$AE$36&gt;0),IF(Dashboard!$V$3-$S16&gt;'Source Data'!$AE$36,"Review is overdue",""),"Set review interval")))))</f>
        <v/>
      </c>
      <c r="AP16" s="41" t="str">
        <f aca="false">IF($AF16&lt;&gt;"",$AF16,IF($A16="","",IF(COUNTIFS(StageMap[Stage],$D16)&lt;&gt;1,"Choose a valid stage",IF(NOT(ISNUMBER($AE16)),"Check stage settings",IF($AB16="","Add source ID",IF($AD16=0,"Source link needs review",IF(INDEX(Sources[Input check],$AD16)&lt;&gt;"",INDEX(Sources[Input check],$AD16),IF(AND($V16&lt;&gt;"",OR(NOT(ISNUMBER($V16)),$V16&lt;0,$V16&gt;1)),"Probability must be 0 to 100%",IF(AND($R16&lt;&gt;"",OR(NOT(ISNUMBER($R16)),$R16&lt;0)),"Use valid duration months","")))))))))</f>
        <v/>
      </c>
      <c r="AQ16" s="41" t="str">
        <f aca="false">IF($AD16=0,"",IF(INDEX(Sources[Response time],$AD16)="","Time not confirmed",TEXT(INDEX(Sources[Response time],$AD16),"h:mm AM/PM")&amp;" "&amp;INDEX(Sources[Time zone],$AD16)))</f>
        <v/>
      </c>
      <c r="AR16" s="41" t="n">
        <f aca="false">IF(AND($I16&lt;&gt;"",OR($AE16=1,$AP16&lt;&gt;"")),1,0)</f>
        <v>0</v>
      </c>
      <c r="AS16" s="41" t="n">
        <f aca="false">IF(AND($A16&lt;&gt;"",$AF16=""),1,0)</f>
        <v>0</v>
      </c>
    </row>
    <row r="17" customFormat="false" ht="48" hidden="false" customHeight="true" outlineLevel="0" collapsed="false">
      <c r="A17" s="39"/>
      <c r="B17" s="39"/>
      <c r="C17" s="39"/>
      <c r="D17" s="39"/>
      <c r="E17" s="40" t="str">
        <f aca="false">IF($AD17=0,"",IF(INDEX(Sources[Response date],$AD17)="","",INDEX(Sources[Response date],$AD17)))</f>
        <v/>
      </c>
      <c r="F17" s="41" t="str">
        <f aca="false">IF($AJ17="","",INDEX(Actions[Action],MATCH($AJ17,Actions[Action ID],0)))</f>
        <v/>
      </c>
      <c r="G17" s="40" t="str">
        <f aca="false">IF($AJ17="","",IF(INDEX(Actions[Due date],MATCH($AJ17,Actions[Action ID],0))="","",INDEX(Actions[Due date],MATCH($AJ17,Actions[Action ID],0))))</f>
        <v/>
      </c>
      <c r="H17" s="42"/>
      <c r="I17" s="41" t="str">
        <f aca="false">IF($A17="",$AF17,_xlfn.TEXTJOIN(CHAR(10),TRUE(),$AP17,$AG17,IF(AND($AE17=1,AND(ISNUMBER(Dashboard!$V$3),Dashboard!$V$3&gt;=1,Dashboard!$V$3&lt;DATE(2099,1,1)),ISNUMBER($E17),$E17&lt;Dashboard!$V$3),"Response date passed",""),IF(AND($AE17=1,$AL17=0),"No next action",""),IF(AND($AE17=1,$AM17&gt;0),"Action needs a date",""),IF($AE17=1,$AN17,""),$AO17,IF($AD17=0,"",INDEX(Sources[Source issue],$AD17))))</f>
        <v/>
      </c>
      <c r="J17" s="39"/>
      <c r="K17" s="39"/>
      <c r="L17" s="41" t="str">
        <f aca="false">IF($AD17=0,"",IF(INDEX(Sources[Agency office],$AD17)="","",INDEX(Sources[Agency office],$AD17)))</f>
        <v/>
      </c>
      <c r="M17" s="41" t="str">
        <f aca="false">IF($AD17=0,"",IF(INDEX(Sources[Solicitation],$AD17)="","",INDEX(Sources[Solicitation],$AD17)))</f>
        <v/>
      </c>
      <c r="N17" s="41" t="str">
        <f aca="false">IF($AD17=0,"",IF(INDEX(Sources[Acquisition route],$AD17)="","",INDEX(Sources[Acquisition route],$AD17)))</f>
        <v/>
      </c>
      <c r="O17" s="41" t="str">
        <f aca="false">IF($AD17=0,"",IF(INDEX(Sources[Location],$AD17)="","",INDEX(Sources[Location],$AD17)))</f>
        <v/>
      </c>
      <c r="P17" s="40" t="str">
        <f aca="false">IF($AD17=0,"",IF(INDEX(Sources[Release period],$AD17)="","",INDEX(Sources[Release period],$AD17)))</f>
        <v/>
      </c>
      <c r="Q17" s="40" t="str">
        <f aca="false">IF($AD17=0,"",IF(INDEX(Sources[Award period],$AD17)="","",INDEX(Sources[Award period],$AD17)))</f>
        <v/>
      </c>
      <c r="R17" s="39"/>
      <c r="S17" s="43"/>
      <c r="T17" s="39"/>
      <c r="U17" s="39"/>
      <c r="V17" s="44"/>
      <c r="W17" s="45" t="str">
        <f aca="false">IF(AND(ISNUMBER($AH17),ISNUMBER($V17),$V17&gt;=0,$V17&lt;=1),ROUND($AH17*$V17,2),"")</f>
        <v/>
      </c>
      <c r="X17" s="39"/>
      <c r="Y17" s="39"/>
      <c r="Z17" s="46" t="str">
        <f aca="false">IF($AD17=0,"",IF(INDEX(Sources[GovTribe URL],$AD17)="","",HYPERLINK(INDEX(Sources[GovTribe URL],$AD17),"Open GovTribe")))</f>
        <v/>
      </c>
      <c r="AA17" s="39"/>
      <c r="AB17" s="39"/>
      <c r="AC17" s="39"/>
      <c r="AD17" s="41" t="n">
        <f aca="false">IF($A17="",0,IF(AND($AB17&lt;&gt;"",COUNTIFS(Sources[Source ID],$AB17,Sources[Pursuit ID],$A17)=1,COUNTIFS(Sources[Source ID],$AB17)=1),MATCH($AB17,Sources[Source ID],0),0))</f>
        <v>0</v>
      </c>
      <c r="AE17" s="41" t="str">
        <f aca="false">IF($AS17=0,"",IF(COUNTIFS(StageMap[Stage],$D17)&lt;&gt;1,"",IF(INDEX(StageMap[Input check],MATCH($D17,StageMap[Stage],0))="",INDEX(StageMap[Active],MATCH($D17,StageMap[Stage],0)),"")))</f>
        <v/>
      </c>
      <c r="AF17" s="41" t="str">
        <f aca="false">IF($A17="",IF(COUNTA(B17:D17,H17,J17:K17,R17:V17,X17:Y17,AA17:AC17)&gt;0,"Missing pursuit ID",""),IF(COUNTIFS(Pursuits[Pursuit ID],$A17)&gt;1,"Duplicate pursuit ID",IF($B17="","Add opportunity name","")))</f>
        <v/>
      </c>
      <c r="AG17" s="41" t="str">
        <f aca="false">IF($A17="","",IF($H17="","",IF(NOT(ISNUMBER($H17)),"Enter a numeric estimate",IF($H17&lt;0,"Estimate cannot be negative",IF($T17&lt;&gt;"Total company contract value","Non-total value excluded",IF($U17="","Add value period",""))))))</f>
        <v/>
      </c>
      <c r="AH17" s="45" t="str">
        <f aca="false">IF(AND($AE17=1,$AG17="",ISNUMBER($H17)),$H17,"")</f>
        <v/>
      </c>
      <c r="AI17" s="41" t="str">
        <f aca="false">IF(AND($AE17=1,AND(ISNUMBER(Dashboard!$V$3),Dashboard!$V$3&gt;=1,Dashboard!$V$3&lt;DATE(2099,1,1)),ISNUMBER($E17),$E17&gt;=1,$E17&lt;DATE(2099,1,1),$E17&gt;=Dashboard!$V$3,$E17&lt;Dashboard!$V$3+30),COUNTIFS(Pursuits[Active],1,Pursuits[Response due],"&gt;="&amp;Dashboard!$V$3,Pursuits[Response due],"&lt;"&amp;$E17)+COUNTIFS(Pursuits[Active],1,Pursuits[Response due],$E17,Pursuits[Pursuit ID],"&lt;"&amp;$A17)+1,"")</f>
        <v/>
      </c>
      <c r="AJ17" s="41" t="str">
        <f aca="false">IF(OR($A17="",$AL17=0),"",INDEX(Actions[Action ID],MATCH($A17&amp;"|1",Actions[Pursuit action key],0)))</f>
        <v/>
      </c>
      <c r="AK17" s="41" t="str">
        <f aca="false">IF($AR17&lt;&gt;1,"",COUNTIFS(Pursuits[Review candidate],1,Pursuits[Pursuit ID],"&lt;"&amp;$A17)+COUNTIFS($A$8:$A17,$A17,$AR$8:$AR17,1))</f>
        <v/>
      </c>
      <c r="AL17" s="41" t="str">
        <f aca="false">IF($A17="","",COUNTIFS(Actions[Pursuit ID],$A17,Actions[Open action],1))</f>
        <v/>
      </c>
      <c r="AM17" s="41" t="str">
        <f aca="false">IF($A17="","",COUNTIFS(Actions[Pursuit ID],$A17,Actions[Open action],1,Actions[Sort date],DATE(9999,12,31)))</f>
        <v/>
      </c>
      <c r="AN17" s="41" t="str">
        <f aca="false">IF($AD17=0,"",IF($AC17="","Source not reviewed",IF($AC17&lt;&gt;INDEX(Sources[Source updated],$AD17),"Source changed","")))</f>
        <v/>
      </c>
      <c r="AO17" s="41" t="str">
        <f aca="false">IF(OR($AE17&lt;&gt;1,NOT(AND(ISNUMBER(Dashboard!$V$3),Dashboard!$V$3&gt;=1,Dashboard!$V$3&lt;DATE(2099,1,1)))),"",IF($S17="","Not reviewed",IF(NOT(ISNUMBER($S17)),"Use a real review date",IF($S17&gt;Dashboard!$V$3,"Review date is in future",IF(AND(ISNUMBER('Source Data'!$AE$36),'Source Data'!$AE$36&gt;0),IF(Dashboard!$V$3-$S17&gt;'Source Data'!$AE$36,"Review is overdue",""),"Set review interval")))))</f>
        <v/>
      </c>
      <c r="AP17" s="41" t="str">
        <f aca="false">IF($AF17&lt;&gt;"",$AF17,IF($A17="","",IF(COUNTIFS(StageMap[Stage],$D17)&lt;&gt;1,"Choose a valid stage",IF(NOT(ISNUMBER($AE17)),"Check stage settings",IF($AB17="","Add source ID",IF($AD17=0,"Source link needs review",IF(INDEX(Sources[Input check],$AD17)&lt;&gt;"",INDEX(Sources[Input check],$AD17),IF(AND($V17&lt;&gt;"",OR(NOT(ISNUMBER($V17)),$V17&lt;0,$V17&gt;1)),"Probability must be 0 to 100%",IF(AND($R17&lt;&gt;"",OR(NOT(ISNUMBER($R17)),$R17&lt;0)),"Use valid duration months","")))))))))</f>
        <v/>
      </c>
      <c r="AQ17" s="41" t="str">
        <f aca="false">IF($AD17=0,"",IF(INDEX(Sources[Response time],$AD17)="","Time not confirmed",TEXT(INDEX(Sources[Response time],$AD17),"h:mm AM/PM")&amp;" "&amp;INDEX(Sources[Time zone],$AD17)))</f>
        <v/>
      </c>
      <c r="AR17" s="41" t="n">
        <f aca="false">IF(AND($I17&lt;&gt;"",OR($AE17=1,$AP17&lt;&gt;"")),1,0)</f>
        <v>0</v>
      </c>
      <c r="AS17" s="41" t="n">
        <f aca="false">IF(AND($A17&lt;&gt;"",$AF17=""),1,0)</f>
        <v>0</v>
      </c>
    </row>
    <row r="18" customFormat="false" ht="48" hidden="false" customHeight="true" outlineLevel="0" collapsed="false">
      <c r="A18" s="39"/>
      <c r="B18" s="39"/>
      <c r="C18" s="39"/>
      <c r="D18" s="39"/>
      <c r="E18" s="40" t="str">
        <f aca="false">IF($AD18=0,"",IF(INDEX(Sources[Response date],$AD18)="","",INDEX(Sources[Response date],$AD18)))</f>
        <v/>
      </c>
      <c r="F18" s="41" t="str">
        <f aca="false">IF($AJ18="","",INDEX(Actions[Action],MATCH($AJ18,Actions[Action ID],0)))</f>
        <v/>
      </c>
      <c r="G18" s="40" t="str">
        <f aca="false">IF($AJ18="","",IF(INDEX(Actions[Due date],MATCH($AJ18,Actions[Action ID],0))="","",INDEX(Actions[Due date],MATCH($AJ18,Actions[Action ID],0))))</f>
        <v/>
      </c>
      <c r="H18" s="42"/>
      <c r="I18" s="41" t="str">
        <f aca="false">IF($A18="",$AF18,_xlfn.TEXTJOIN(CHAR(10),TRUE(),$AP18,$AG18,IF(AND($AE18=1,AND(ISNUMBER(Dashboard!$V$3),Dashboard!$V$3&gt;=1,Dashboard!$V$3&lt;DATE(2099,1,1)),ISNUMBER($E18),$E18&lt;Dashboard!$V$3),"Response date passed",""),IF(AND($AE18=1,$AL18=0),"No next action",""),IF(AND($AE18=1,$AM18&gt;0),"Action needs a date",""),IF($AE18=1,$AN18,""),$AO18,IF($AD18=0,"",INDEX(Sources[Source issue],$AD18))))</f>
        <v/>
      </c>
      <c r="J18" s="39"/>
      <c r="K18" s="39"/>
      <c r="L18" s="41" t="str">
        <f aca="false">IF($AD18=0,"",IF(INDEX(Sources[Agency office],$AD18)="","",INDEX(Sources[Agency office],$AD18)))</f>
        <v/>
      </c>
      <c r="M18" s="41" t="str">
        <f aca="false">IF($AD18=0,"",IF(INDEX(Sources[Solicitation],$AD18)="","",INDEX(Sources[Solicitation],$AD18)))</f>
        <v/>
      </c>
      <c r="N18" s="41" t="str">
        <f aca="false">IF($AD18=0,"",IF(INDEX(Sources[Acquisition route],$AD18)="","",INDEX(Sources[Acquisition route],$AD18)))</f>
        <v/>
      </c>
      <c r="O18" s="41" t="str">
        <f aca="false">IF($AD18=0,"",IF(INDEX(Sources[Location],$AD18)="","",INDEX(Sources[Location],$AD18)))</f>
        <v/>
      </c>
      <c r="P18" s="40" t="str">
        <f aca="false">IF($AD18=0,"",IF(INDEX(Sources[Release period],$AD18)="","",INDEX(Sources[Release period],$AD18)))</f>
        <v/>
      </c>
      <c r="Q18" s="40" t="str">
        <f aca="false">IF($AD18=0,"",IF(INDEX(Sources[Award period],$AD18)="","",INDEX(Sources[Award period],$AD18)))</f>
        <v/>
      </c>
      <c r="R18" s="39"/>
      <c r="S18" s="43"/>
      <c r="T18" s="39"/>
      <c r="U18" s="39"/>
      <c r="V18" s="44"/>
      <c r="W18" s="45" t="str">
        <f aca="false">IF(AND(ISNUMBER($AH18),ISNUMBER($V18),$V18&gt;=0,$V18&lt;=1),ROUND($AH18*$V18,2),"")</f>
        <v/>
      </c>
      <c r="X18" s="39"/>
      <c r="Y18" s="39"/>
      <c r="Z18" s="46" t="str">
        <f aca="false">IF($AD18=0,"",IF(INDEX(Sources[GovTribe URL],$AD18)="","",HYPERLINK(INDEX(Sources[GovTribe URL],$AD18),"Open GovTribe")))</f>
        <v/>
      </c>
      <c r="AA18" s="39"/>
      <c r="AB18" s="39"/>
      <c r="AC18" s="39"/>
      <c r="AD18" s="41" t="n">
        <f aca="false">IF($A18="",0,IF(AND($AB18&lt;&gt;"",COUNTIFS(Sources[Source ID],$AB18,Sources[Pursuit ID],$A18)=1,COUNTIFS(Sources[Source ID],$AB18)=1),MATCH($AB18,Sources[Source ID],0),0))</f>
        <v>0</v>
      </c>
      <c r="AE18" s="41" t="str">
        <f aca="false">IF($AS18=0,"",IF(COUNTIFS(StageMap[Stage],$D18)&lt;&gt;1,"",IF(INDEX(StageMap[Input check],MATCH($D18,StageMap[Stage],0))="",INDEX(StageMap[Active],MATCH($D18,StageMap[Stage],0)),"")))</f>
        <v/>
      </c>
      <c r="AF18" s="41" t="str">
        <f aca="false">IF($A18="",IF(COUNTA(B18:D18,H18,J18:K18,R18:V18,X18:Y18,AA18:AC18)&gt;0,"Missing pursuit ID",""),IF(COUNTIFS(Pursuits[Pursuit ID],$A18)&gt;1,"Duplicate pursuit ID",IF($B18="","Add opportunity name","")))</f>
        <v/>
      </c>
      <c r="AG18" s="41" t="str">
        <f aca="false">IF($A18="","",IF($H18="","",IF(NOT(ISNUMBER($H18)),"Enter a numeric estimate",IF($H18&lt;0,"Estimate cannot be negative",IF($T18&lt;&gt;"Total company contract value","Non-total value excluded",IF($U18="","Add value period",""))))))</f>
        <v/>
      </c>
      <c r="AH18" s="45" t="str">
        <f aca="false">IF(AND($AE18=1,$AG18="",ISNUMBER($H18)),$H18,"")</f>
        <v/>
      </c>
      <c r="AI18" s="41" t="str">
        <f aca="false">IF(AND($AE18=1,AND(ISNUMBER(Dashboard!$V$3),Dashboard!$V$3&gt;=1,Dashboard!$V$3&lt;DATE(2099,1,1)),ISNUMBER($E18),$E18&gt;=1,$E18&lt;DATE(2099,1,1),$E18&gt;=Dashboard!$V$3,$E18&lt;Dashboard!$V$3+30),COUNTIFS(Pursuits[Active],1,Pursuits[Response due],"&gt;="&amp;Dashboard!$V$3,Pursuits[Response due],"&lt;"&amp;$E18)+COUNTIFS(Pursuits[Active],1,Pursuits[Response due],$E18,Pursuits[Pursuit ID],"&lt;"&amp;$A18)+1,"")</f>
        <v/>
      </c>
      <c r="AJ18" s="41" t="str">
        <f aca="false">IF(OR($A18="",$AL18=0),"",INDEX(Actions[Action ID],MATCH($A18&amp;"|1",Actions[Pursuit action key],0)))</f>
        <v/>
      </c>
      <c r="AK18" s="41" t="str">
        <f aca="false">IF($AR18&lt;&gt;1,"",COUNTIFS(Pursuits[Review candidate],1,Pursuits[Pursuit ID],"&lt;"&amp;$A18)+COUNTIFS($A$8:$A18,$A18,$AR$8:$AR18,1))</f>
        <v/>
      </c>
      <c r="AL18" s="41" t="str">
        <f aca="false">IF($A18="","",COUNTIFS(Actions[Pursuit ID],$A18,Actions[Open action],1))</f>
        <v/>
      </c>
      <c r="AM18" s="41" t="str">
        <f aca="false">IF($A18="","",COUNTIFS(Actions[Pursuit ID],$A18,Actions[Open action],1,Actions[Sort date],DATE(9999,12,31)))</f>
        <v/>
      </c>
      <c r="AN18" s="41" t="str">
        <f aca="false">IF($AD18=0,"",IF($AC18="","Source not reviewed",IF($AC18&lt;&gt;INDEX(Sources[Source updated],$AD18),"Source changed","")))</f>
        <v/>
      </c>
      <c r="AO18" s="41" t="str">
        <f aca="false">IF(OR($AE18&lt;&gt;1,NOT(AND(ISNUMBER(Dashboard!$V$3),Dashboard!$V$3&gt;=1,Dashboard!$V$3&lt;DATE(2099,1,1)))),"",IF($S18="","Not reviewed",IF(NOT(ISNUMBER($S18)),"Use a real review date",IF($S18&gt;Dashboard!$V$3,"Review date is in future",IF(AND(ISNUMBER('Source Data'!$AE$36),'Source Data'!$AE$36&gt;0),IF(Dashboard!$V$3-$S18&gt;'Source Data'!$AE$36,"Review is overdue",""),"Set review interval")))))</f>
        <v/>
      </c>
      <c r="AP18" s="41" t="str">
        <f aca="false">IF($AF18&lt;&gt;"",$AF18,IF($A18="","",IF(COUNTIFS(StageMap[Stage],$D18)&lt;&gt;1,"Choose a valid stage",IF(NOT(ISNUMBER($AE18)),"Check stage settings",IF($AB18="","Add source ID",IF($AD18=0,"Source link needs review",IF(INDEX(Sources[Input check],$AD18)&lt;&gt;"",INDEX(Sources[Input check],$AD18),IF(AND($V18&lt;&gt;"",OR(NOT(ISNUMBER($V18)),$V18&lt;0,$V18&gt;1)),"Probability must be 0 to 100%",IF(AND($R18&lt;&gt;"",OR(NOT(ISNUMBER($R18)),$R18&lt;0)),"Use valid duration months","")))))))))</f>
        <v/>
      </c>
      <c r="AQ18" s="41" t="str">
        <f aca="false">IF($AD18=0,"",IF(INDEX(Sources[Response time],$AD18)="","Time not confirmed",TEXT(INDEX(Sources[Response time],$AD18),"h:mm AM/PM")&amp;" "&amp;INDEX(Sources[Time zone],$AD18)))</f>
        <v/>
      </c>
      <c r="AR18" s="41" t="n">
        <f aca="false">IF(AND($I18&lt;&gt;"",OR($AE18=1,$AP18&lt;&gt;"")),1,0)</f>
        <v>0</v>
      </c>
      <c r="AS18" s="41" t="n">
        <f aca="false">IF(AND($A18&lt;&gt;"",$AF18=""),1,0)</f>
        <v>0</v>
      </c>
    </row>
    <row r="19" customFormat="false" ht="48" hidden="false" customHeight="true" outlineLevel="0" collapsed="false">
      <c r="A19" s="39"/>
      <c r="B19" s="39"/>
      <c r="C19" s="39"/>
      <c r="D19" s="39"/>
      <c r="E19" s="40" t="str">
        <f aca="false">IF($AD19=0,"",IF(INDEX(Sources[Response date],$AD19)="","",INDEX(Sources[Response date],$AD19)))</f>
        <v/>
      </c>
      <c r="F19" s="41" t="str">
        <f aca="false">IF($AJ19="","",INDEX(Actions[Action],MATCH($AJ19,Actions[Action ID],0)))</f>
        <v/>
      </c>
      <c r="G19" s="40" t="str">
        <f aca="false">IF($AJ19="","",IF(INDEX(Actions[Due date],MATCH($AJ19,Actions[Action ID],0))="","",INDEX(Actions[Due date],MATCH($AJ19,Actions[Action ID],0))))</f>
        <v/>
      </c>
      <c r="H19" s="42"/>
      <c r="I19" s="41" t="str">
        <f aca="false">IF($A19="",$AF19,_xlfn.TEXTJOIN(CHAR(10),TRUE(),$AP19,$AG19,IF(AND($AE19=1,AND(ISNUMBER(Dashboard!$V$3),Dashboard!$V$3&gt;=1,Dashboard!$V$3&lt;DATE(2099,1,1)),ISNUMBER($E19),$E19&lt;Dashboard!$V$3),"Response date passed",""),IF(AND($AE19=1,$AL19=0),"No next action",""),IF(AND($AE19=1,$AM19&gt;0),"Action needs a date",""),IF($AE19=1,$AN19,""),$AO19,IF($AD19=0,"",INDEX(Sources[Source issue],$AD19))))</f>
        <v/>
      </c>
      <c r="J19" s="39"/>
      <c r="K19" s="39"/>
      <c r="L19" s="41" t="str">
        <f aca="false">IF($AD19=0,"",IF(INDEX(Sources[Agency office],$AD19)="","",INDEX(Sources[Agency office],$AD19)))</f>
        <v/>
      </c>
      <c r="M19" s="41" t="str">
        <f aca="false">IF($AD19=0,"",IF(INDEX(Sources[Solicitation],$AD19)="","",INDEX(Sources[Solicitation],$AD19)))</f>
        <v/>
      </c>
      <c r="N19" s="41" t="str">
        <f aca="false">IF($AD19=0,"",IF(INDEX(Sources[Acquisition route],$AD19)="","",INDEX(Sources[Acquisition route],$AD19)))</f>
        <v/>
      </c>
      <c r="O19" s="41" t="str">
        <f aca="false">IF($AD19=0,"",IF(INDEX(Sources[Location],$AD19)="","",INDEX(Sources[Location],$AD19)))</f>
        <v/>
      </c>
      <c r="P19" s="40" t="str">
        <f aca="false">IF($AD19=0,"",IF(INDEX(Sources[Release period],$AD19)="","",INDEX(Sources[Release period],$AD19)))</f>
        <v/>
      </c>
      <c r="Q19" s="40" t="str">
        <f aca="false">IF($AD19=0,"",IF(INDEX(Sources[Award period],$AD19)="","",INDEX(Sources[Award period],$AD19)))</f>
        <v/>
      </c>
      <c r="R19" s="39"/>
      <c r="S19" s="43"/>
      <c r="T19" s="39"/>
      <c r="U19" s="39"/>
      <c r="V19" s="44"/>
      <c r="W19" s="45" t="str">
        <f aca="false">IF(AND(ISNUMBER($AH19),ISNUMBER($V19),$V19&gt;=0,$V19&lt;=1),ROUND($AH19*$V19,2),"")</f>
        <v/>
      </c>
      <c r="X19" s="39"/>
      <c r="Y19" s="39"/>
      <c r="Z19" s="46" t="str">
        <f aca="false">IF($AD19=0,"",IF(INDEX(Sources[GovTribe URL],$AD19)="","",HYPERLINK(INDEX(Sources[GovTribe URL],$AD19),"Open GovTribe")))</f>
        <v/>
      </c>
      <c r="AA19" s="39"/>
      <c r="AB19" s="39"/>
      <c r="AC19" s="39"/>
      <c r="AD19" s="41" t="n">
        <f aca="false">IF($A19="",0,IF(AND($AB19&lt;&gt;"",COUNTIFS(Sources[Source ID],$AB19,Sources[Pursuit ID],$A19)=1,COUNTIFS(Sources[Source ID],$AB19)=1),MATCH($AB19,Sources[Source ID],0),0))</f>
        <v>0</v>
      </c>
      <c r="AE19" s="41" t="str">
        <f aca="false">IF($AS19=0,"",IF(COUNTIFS(StageMap[Stage],$D19)&lt;&gt;1,"",IF(INDEX(StageMap[Input check],MATCH($D19,StageMap[Stage],0))="",INDEX(StageMap[Active],MATCH($D19,StageMap[Stage],0)),"")))</f>
        <v/>
      </c>
      <c r="AF19" s="41" t="str">
        <f aca="false">IF($A19="",IF(COUNTA(B19:D19,H19,J19:K19,R19:V19,X19:Y19,AA19:AC19)&gt;0,"Missing pursuit ID",""),IF(COUNTIFS(Pursuits[Pursuit ID],$A19)&gt;1,"Duplicate pursuit ID",IF($B19="","Add opportunity name","")))</f>
        <v/>
      </c>
      <c r="AG19" s="41" t="str">
        <f aca="false">IF($A19="","",IF($H19="","",IF(NOT(ISNUMBER($H19)),"Enter a numeric estimate",IF($H19&lt;0,"Estimate cannot be negative",IF($T19&lt;&gt;"Total company contract value","Non-total value excluded",IF($U19="","Add value period",""))))))</f>
        <v/>
      </c>
      <c r="AH19" s="45" t="str">
        <f aca="false">IF(AND($AE19=1,$AG19="",ISNUMBER($H19)),$H19,"")</f>
        <v/>
      </c>
      <c r="AI19" s="41" t="str">
        <f aca="false">IF(AND($AE19=1,AND(ISNUMBER(Dashboard!$V$3),Dashboard!$V$3&gt;=1,Dashboard!$V$3&lt;DATE(2099,1,1)),ISNUMBER($E19),$E19&gt;=1,$E19&lt;DATE(2099,1,1),$E19&gt;=Dashboard!$V$3,$E19&lt;Dashboard!$V$3+30),COUNTIFS(Pursuits[Active],1,Pursuits[Response due],"&gt;="&amp;Dashboard!$V$3,Pursuits[Response due],"&lt;"&amp;$E19)+COUNTIFS(Pursuits[Active],1,Pursuits[Response due],$E19,Pursuits[Pursuit ID],"&lt;"&amp;$A19)+1,"")</f>
        <v/>
      </c>
      <c r="AJ19" s="41" t="str">
        <f aca="false">IF(OR($A19="",$AL19=0),"",INDEX(Actions[Action ID],MATCH($A19&amp;"|1",Actions[Pursuit action key],0)))</f>
        <v/>
      </c>
      <c r="AK19" s="41" t="str">
        <f aca="false">IF($AR19&lt;&gt;1,"",COUNTIFS(Pursuits[Review candidate],1,Pursuits[Pursuit ID],"&lt;"&amp;$A19)+COUNTIFS($A$8:$A19,$A19,$AR$8:$AR19,1))</f>
        <v/>
      </c>
      <c r="AL19" s="41" t="str">
        <f aca="false">IF($A19="","",COUNTIFS(Actions[Pursuit ID],$A19,Actions[Open action],1))</f>
        <v/>
      </c>
      <c r="AM19" s="41" t="str">
        <f aca="false">IF($A19="","",COUNTIFS(Actions[Pursuit ID],$A19,Actions[Open action],1,Actions[Sort date],DATE(9999,12,31)))</f>
        <v/>
      </c>
      <c r="AN19" s="41" t="str">
        <f aca="false">IF($AD19=0,"",IF($AC19="","Source not reviewed",IF($AC19&lt;&gt;INDEX(Sources[Source updated],$AD19),"Source changed","")))</f>
        <v/>
      </c>
      <c r="AO19" s="41" t="str">
        <f aca="false">IF(OR($AE19&lt;&gt;1,NOT(AND(ISNUMBER(Dashboard!$V$3),Dashboard!$V$3&gt;=1,Dashboard!$V$3&lt;DATE(2099,1,1)))),"",IF($S19="","Not reviewed",IF(NOT(ISNUMBER($S19)),"Use a real review date",IF($S19&gt;Dashboard!$V$3,"Review date is in future",IF(AND(ISNUMBER('Source Data'!$AE$36),'Source Data'!$AE$36&gt;0),IF(Dashboard!$V$3-$S19&gt;'Source Data'!$AE$36,"Review is overdue",""),"Set review interval")))))</f>
        <v/>
      </c>
      <c r="AP19" s="41" t="str">
        <f aca="false">IF($AF19&lt;&gt;"",$AF19,IF($A19="","",IF(COUNTIFS(StageMap[Stage],$D19)&lt;&gt;1,"Choose a valid stage",IF(NOT(ISNUMBER($AE19)),"Check stage settings",IF($AB19="","Add source ID",IF($AD19=0,"Source link needs review",IF(INDEX(Sources[Input check],$AD19)&lt;&gt;"",INDEX(Sources[Input check],$AD19),IF(AND($V19&lt;&gt;"",OR(NOT(ISNUMBER($V19)),$V19&lt;0,$V19&gt;1)),"Probability must be 0 to 100%",IF(AND($R19&lt;&gt;"",OR(NOT(ISNUMBER($R19)),$R19&lt;0)),"Use valid duration months","")))))))))</f>
        <v/>
      </c>
      <c r="AQ19" s="41" t="str">
        <f aca="false">IF($AD19=0,"",IF(INDEX(Sources[Response time],$AD19)="","Time not confirmed",TEXT(INDEX(Sources[Response time],$AD19),"h:mm AM/PM")&amp;" "&amp;INDEX(Sources[Time zone],$AD19)))</f>
        <v/>
      </c>
      <c r="AR19" s="41" t="n">
        <f aca="false">IF(AND($I19&lt;&gt;"",OR($AE19=1,$AP19&lt;&gt;"")),1,0)</f>
        <v>0</v>
      </c>
      <c r="AS19" s="41" t="n">
        <f aca="false">IF(AND($A19&lt;&gt;"",$AF19=""),1,0)</f>
        <v>0</v>
      </c>
    </row>
    <row r="20" customFormat="false" ht="48" hidden="false" customHeight="true" outlineLevel="0" collapsed="false">
      <c r="A20" s="39"/>
      <c r="B20" s="39"/>
      <c r="C20" s="39"/>
      <c r="D20" s="39"/>
      <c r="E20" s="40" t="str">
        <f aca="false">IF($AD20=0,"",IF(INDEX(Sources[Response date],$AD20)="","",INDEX(Sources[Response date],$AD20)))</f>
        <v/>
      </c>
      <c r="F20" s="41" t="str">
        <f aca="false">IF($AJ20="","",INDEX(Actions[Action],MATCH($AJ20,Actions[Action ID],0)))</f>
        <v/>
      </c>
      <c r="G20" s="40" t="str">
        <f aca="false">IF($AJ20="","",IF(INDEX(Actions[Due date],MATCH($AJ20,Actions[Action ID],0))="","",INDEX(Actions[Due date],MATCH($AJ20,Actions[Action ID],0))))</f>
        <v/>
      </c>
      <c r="H20" s="42"/>
      <c r="I20" s="41" t="str">
        <f aca="false">IF($A20="",$AF20,_xlfn.TEXTJOIN(CHAR(10),TRUE(),$AP20,$AG20,IF(AND($AE20=1,AND(ISNUMBER(Dashboard!$V$3),Dashboard!$V$3&gt;=1,Dashboard!$V$3&lt;DATE(2099,1,1)),ISNUMBER($E20),$E20&lt;Dashboard!$V$3),"Response date passed",""),IF(AND($AE20=1,$AL20=0),"No next action",""),IF(AND($AE20=1,$AM20&gt;0),"Action needs a date",""),IF($AE20=1,$AN20,""),$AO20,IF($AD20=0,"",INDEX(Sources[Source issue],$AD20))))</f>
        <v/>
      </c>
      <c r="J20" s="39"/>
      <c r="K20" s="39"/>
      <c r="L20" s="41" t="str">
        <f aca="false">IF($AD20=0,"",IF(INDEX(Sources[Agency office],$AD20)="","",INDEX(Sources[Agency office],$AD20)))</f>
        <v/>
      </c>
      <c r="M20" s="41" t="str">
        <f aca="false">IF($AD20=0,"",IF(INDEX(Sources[Solicitation],$AD20)="","",INDEX(Sources[Solicitation],$AD20)))</f>
        <v/>
      </c>
      <c r="N20" s="41" t="str">
        <f aca="false">IF($AD20=0,"",IF(INDEX(Sources[Acquisition route],$AD20)="","",INDEX(Sources[Acquisition route],$AD20)))</f>
        <v/>
      </c>
      <c r="O20" s="41" t="str">
        <f aca="false">IF($AD20=0,"",IF(INDEX(Sources[Location],$AD20)="","",INDEX(Sources[Location],$AD20)))</f>
        <v/>
      </c>
      <c r="P20" s="40" t="str">
        <f aca="false">IF($AD20=0,"",IF(INDEX(Sources[Release period],$AD20)="","",INDEX(Sources[Release period],$AD20)))</f>
        <v/>
      </c>
      <c r="Q20" s="40" t="str">
        <f aca="false">IF($AD20=0,"",IF(INDEX(Sources[Award period],$AD20)="","",INDEX(Sources[Award period],$AD20)))</f>
        <v/>
      </c>
      <c r="R20" s="39"/>
      <c r="S20" s="43"/>
      <c r="T20" s="39"/>
      <c r="U20" s="39"/>
      <c r="V20" s="44"/>
      <c r="W20" s="45" t="str">
        <f aca="false">IF(AND(ISNUMBER($AH20),ISNUMBER($V20),$V20&gt;=0,$V20&lt;=1),ROUND($AH20*$V20,2),"")</f>
        <v/>
      </c>
      <c r="X20" s="39"/>
      <c r="Y20" s="39"/>
      <c r="Z20" s="46" t="str">
        <f aca="false">IF($AD20=0,"",IF(INDEX(Sources[GovTribe URL],$AD20)="","",HYPERLINK(INDEX(Sources[GovTribe URL],$AD20),"Open GovTribe")))</f>
        <v/>
      </c>
      <c r="AA20" s="39"/>
      <c r="AB20" s="39"/>
      <c r="AC20" s="39"/>
      <c r="AD20" s="41" t="n">
        <f aca="false">IF($A20="",0,IF(AND($AB20&lt;&gt;"",COUNTIFS(Sources[Source ID],$AB20,Sources[Pursuit ID],$A20)=1,COUNTIFS(Sources[Source ID],$AB20)=1),MATCH($AB20,Sources[Source ID],0),0))</f>
        <v>0</v>
      </c>
      <c r="AE20" s="41" t="str">
        <f aca="false">IF($AS20=0,"",IF(COUNTIFS(StageMap[Stage],$D20)&lt;&gt;1,"",IF(INDEX(StageMap[Input check],MATCH($D20,StageMap[Stage],0))="",INDEX(StageMap[Active],MATCH($D20,StageMap[Stage],0)),"")))</f>
        <v/>
      </c>
      <c r="AF20" s="41" t="str">
        <f aca="false">IF($A20="",IF(COUNTA(B20:D20,H20,J20:K20,R20:V20,X20:Y20,AA20:AC20)&gt;0,"Missing pursuit ID",""),IF(COUNTIFS(Pursuits[Pursuit ID],$A20)&gt;1,"Duplicate pursuit ID",IF($B20="","Add opportunity name","")))</f>
        <v/>
      </c>
      <c r="AG20" s="41" t="str">
        <f aca="false">IF($A20="","",IF($H20="","",IF(NOT(ISNUMBER($H20)),"Enter a numeric estimate",IF($H20&lt;0,"Estimate cannot be negative",IF($T20&lt;&gt;"Total company contract value","Non-total value excluded",IF($U20="","Add value period",""))))))</f>
        <v/>
      </c>
      <c r="AH20" s="45" t="str">
        <f aca="false">IF(AND($AE20=1,$AG20="",ISNUMBER($H20)),$H20,"")</f>
        <v/>
      </c>
      <c r="AI20" s="41" t="str">
        <f aca="false">IF(AND($AE20=1,AND(ISNUMBER(Dashboard!$V$3),Dashboard!$V$3&gt;=1,Dashboard!$V$3&lt;DATE(2099,1,1)),ISNUMBER($E20),$E20&gt;=1,$E20&lt;DATE(2099,1,1),$E20&gt;=Dashboard!$V$3,$E20&lt;Dashboard!$V$3+30),COUNTIFS(Pursuits[Active],1,Pursuits[Response due],"&gt;="&amp;Dashboard!$V$3,Pursuits[Response due],"&lt;"&amp;$E20)+COUNTIFS(Pursuits[Active],1,Pursuits[Response due],$E20,Pursuits[Pursuit ID],"&lt;"&amp;$A20)+1,"")</f>
        <v/>
      </c>
      <c r="AJ20" s="41" t="str">
        <f aca="false">IF(OR($A20="",$AL20=0),"",INDEX(Actions[Action ID],MATCH($A20&amp;"|1",Actions[Pursuit action key],0)))</f>
        <v/>
      </c>
      <c r="AK20" s="41" t="str">
        <f aca="false">IF($AR20&lt;&gt;1,"",COUNTIFS(Pursuits[Review candidate],1,Pursuits[Pursuit ID],"&lt;"&amp;$A20)+COUNTIFS($A$8:$A20,$A20,$AR$8:$AR20,1))</f>
        <v/>
      </c>
      <c r="AL20" s="41" t="str">
        <f aca="false">IF($A20="","",COUNTIFS(Actions[Pursuit ID],$A20,Actions[Open action],1))</f>
        <v/>
      </c>
      <c r="AM20" s="41" t="str">
        <f aca="false">IF($A20="","",COUNTIFS(Actions[Pursuit ID],$A20,Actions[Open action],1,Actions[Sort date],DATE(9999,12,31)))</f>
        <v/>
      </c>
      <c r="AN20" s="41" t="str">
        <f aca="false">IF($AD20=0,"",IF($AC20="","Source not reviewed",IF($AC20&lt;&gt;INDEX(Sources[Source updated],$AD20),"Source changed","")))</f>
        <v/>
      </c>
      <c r="AO20" s="41" t="str">
        <f aca="false">IF(OR($AE20&lt;&gt;1,NOT(AND(ISNUMBER(Dashboard!$V$3),Dashboard!$V$3&gt;=1,Dashboard!$V$3&lt;DATE(2099,1,1)))),"",IF($S20="","Not reviewed",IF(NOT(ISNUMBER($S20)),"Use a real review date",IF($S20&gt;Dashboard!$V$3,"Review date is in future",IF(AND(ISNUMBER('Source Data'!$AE$36),'Source Data'!$AE$36&gt;0),IF(Dashboard!$V$3-$S20&gt;'Source Data'!$AE$36,"Review is overdue",""),"Set review interval")))))</f>
        <v/>
      </c>
      <c r="AP20" s="41" t="str">
        <f aca="false">IF($AF20&lt;&gt;"",$AF20,IF($A20="","",IF(COUNTIFS(StageMap[Stage],$D20)&lt;&gt;1,"Choose a valid stage",IF(NOT(ISNUMBER($AE20)),"Check stage settings",IF($AB20="","Add source ID",IF($AD20=0,"Source link needs review",IF(INDEX(Sources[Input check],$AD20)&lt;&gt;"",INDEX(Sources[Input check],$AD20),IF(AND($V20&lt;&gt;"",OR(NOT(ISNUMBER($V20)),$V20&lt;0,$V20&gt;1)),"Probability must be 0 to 100%",IF(AND($R20&lt;&gt;"",OR(NOT(ISNUMBER($R20)),$R20&lt;0)),"Use valid duration months","")))))))))</f>
        <v/>
      </c>
      <c r="AQ20" s="41" t="str">
        <f aca="false">IF($AD20=0,"",IF(INDEX(Sources[Response time],$AD20)="","Time not confirmed",TEXT(INDEX(Sources[Response time],$AD20),"h:mm AM/PM")&amp;" "&amp;INDEX(Sources[Time zone],$AD20)))</f>
        <v/>
      </c>
      <c r="AR20" s="41" t="n">
        <f aca="false">IF(AND($I20&lt;&gt;"",OR($AE20=1,$AP20&lt;&gt;"")),1,0)</f>
        <v>0</v>
      </c>
      <c r="AS20" s="41" t="n">
        <f aca="false">IF(AND($A20&lt;&gt;"",$AF20=""),1,0)</f>
        <v>0</v>
      </c>
    </row>
    <row r="21" customFormat="false" ht="48" hidden="false" customHeight="true" outlineLevel="0" collapsed="false">
      <c r="A21" s="39"/>
      <c r="B21" s="39"/>
      <c r="C21" s="39"/>
      <c r="D21" s="39"/>
      <c r="E21" s="40" t="str">
        <f aca="false">IF($AD21=0,"",IF(INDEX(Sources[Response date],$AD21)="","",INDEX(Sources[Response date],$AD21)))</f>
        <v/>
      </c>
      <c r="F21" s="41" t="str">
        <f aca="false">IF($AJ21="","",INDEX(Actions[Action],MATCH($AJ21,Actions[Action ID],0)))</f>
        <v/>
      </c>
      <c r="G21" s="40" t="str">
        <f aca="false">IF($AJ21="","",IF(INDEX(Actions[Due date],MATCH($AJ21,Actions[Action ID],0))="","",INDEX(Actions[Due date],MATCH($AJ21,Actions[Action ID],0))))</f>
        <v/>
      </c>
      <c r="H21" s="42"/>
      <c r="I21" s="41" t="str">
        <f aca="false">IF($A21="",$AF21,_xlfn.TEXTJOIN(CHAR(10),TRUE(),$AP21,$AG21,IF(AND($AE21=1,AND(ISNUMBER(Dashboard!$V$3),Dashboard!$V$3&gt;=1,Dashboard!$V$3&lt;DATE(2099,1,1)),ISNUMBER($E21),$E21&lt;Dashboard!$V$3),"Response date passed",""),IF(AND($AE21=1,$AL21=0),"No next action",""),IF(AND($AE21=1,$AM21&gt;0),"Action needs a date",""),IF($AE21=1,$AN21,""),$AO21,IF($AD21=0,"",INDEX(Sources[Source issue],$AD21))))</f>
        <v/>
      </c>
      <c r="J21" s="39"/>
      <c r="K21" s="39"/>
      <c r="L21" s="41" t="str">
        <f aca="false">IF($AD21=0,"",IF(INDEX(Sources[Agency office],$AD21)="","",INDEX(Sources[Agency office],$AD21)))</f>
        <v/>
      </c>
      <c r="M21" s="41" t="str">
        <f aca="false">IF($AD21=0,"",IF(INDEX(Sources[Solicitation],$AD21)="","",INDEX(Sources[Solicitation],$AD21)))</f>
        <v/>
      </c>
      <c r="N21" s="41" t="str">
        <f aca="false">IF($AD21=0,"",IF(INDEX(Sources[Acquisition route],$AD21)="","",INDEX(Sources[Acquisition route],$AD21)))</f>
        <v/>
      </c>
      <c r="O21" s="41" t="str">
        <f aca="false">IF($AD21=0,"",IF(INDEX(Sources[Location],$AD21)="","",INDEX(Sources[Location],$AD21)))</f>
        <v/>
      </c>
      <c r="P21" s="40" t="str">
        <f aca="false">IF($AD21=0,"",IF(INDEX(Sources[Release period],$AD21)="","",INDEX(Sources[Release period],$AD21)))</f>
        <v/>
      </c>
      <c r="Q21" s="40" t="str">
        <f aca="false">IF($AD21=0,"",IF(INDEX(Sources[Award period],$AD21)="","",INDEX(Sources[Award period],$AD21)))</f>
        <v/>
      </c>
      <c r="R21" s="39"/>
      <c r="S21" s="43"/>
      <c r="T21" s="39"/>
      <c r="U21" s="39"/>
      <c r="V21" s="44"/>
      <c r="W21" s="45" t="str">
        <f aca="false">IF(AND(ISNUMBER($AH21),ISNUMBER($V21),$V21&gt;=0,$V21&lt;=1),ROUND($AH21*$V21,2),"")</f>
        <v/>
      </c>
      <c r="X21" s="39"/>
      <c r="Y21" s="39"/>
      <c r="Z21" s="46" t="str">
        <f aca="false">IF($AD21=0,"",IF(INDEX(Sources[GovTribe URL],$AD21)="","",HYPERLINK(INDEX(Sources[GovTribe URL],$AD21),"Open GovTribe")))</f>
        <v/>
      </c>
      <c r="AA21" s="39"/>
      <c r="AB21" s="39"/>
      <c r="AC21" s="39"/>
      <c r="AD21" s="41" t="n">
        <f aca="false">IF($A21="",0,IF(AND($AB21&lt;&gt;"",COUNTIFS(Sources[Source ID],$AB21,Sources[Pursuit ID],$A21)=1,COUNTIFS(Sources[Source ID],$AB21)=1),MATCH($AB21,Sources[Source ID],0),0))</f>
        <v>0</v>
      </c>
      <c r="AE21" s="41" t="str">
        <f aca="false">IF($AS21=0,"",IF(COUNTIFS(StageMap[Stage],$D21)&lt;&gt;1,"",IF(INDEX(StageMap[Input check],MATCH($D21,StageMap[Stage],0))="",INDEX(StageMap[Active],MATCH($D21,StageMap[Stage],0)),"")))</f>
        <v/>
      </c>
      <c r="AF21" s="41" t="str">
        <f aca="false">IF($A21="",IF(COUNTA(B21:D21,H21,J21:K21,R21:V21,X21:Y21,AA21:AC21)&gt;0,"Missing pursuit ID",""),IF(COUNTIFS(Pursuits[Pursuit ID],$A21)&gt;1,"Duplicate pursuit ID",IF($B21="","Add opportunity name","")))</f>
        <v/>
      </c>
      <c r="AG21" s="41" t="str">
        <f aca="false">IF($A21="","",IF($H21="","",IF(NOT(ISNUMBER($H21)),"Enter a numeric estimate",IF($H21&lt;0,"Estimate cannot be negative",IF($T21&lt;&gt;"Total company contract value","Non-total value excluded",IF($U21="","Add value period",""))))))</f>
        <v/>
      </c>
      <c r="AH21" s="45" t="str">
        <f aca="false">IF(AND($AE21=1,$AG21="",ISNUMBER($H21)),$H21,"")</f>
        <v/>
      </c>
      <c r="AI21" s="41" t="str">
        <f aca="false">IF(AND($AE21=1,AND(ISNUMBER(Dashboard!$V$3),Dashboard!$V$3&gt;=1,Dashboard!$V$3&lt;DATE(2099,1,1)),ISNUMBER($E21),$E21&gt;=1,$E21&lt;DATE(2099,1,1),$E21&gt;=Dashboard!$V$3,$E21&lt;Dashboard!$V$3+30),COUNTIFS(Pursuits[Active],1,Pursuits[Response due],"&gt;="&amp;Dashboard!$V$3,Pursuits[Response due],"&lt;"&amp;$E21)+COUNTIFS(Pursuits[Active],1,Pursuits[Response due],$E21,Pursuits[Pursuit ID],"&lt;"&amp;$A21)+1,"")</f>
        <v/>
      </c>
      <c r="AJ21" s="41" t="str">
        <f aca="false">IF(OR($A21="",$AL21=0),"",INDEX(Actions[Action ID],MATCH($A21&amp;"|1",Actions[Pursuit action key],0)))</f>
        <v/>
      </c>
      <c r="AK21" s="41" t="str">
        <f aca="false">IF($AR21&lt;&gt;1,"",COUNTIFS(Pursuits[Review candidate],1,Pursuits[Pursuit ID],"&lt;"&amp;$A21)+COUNTIFS($A$8:$A21,$A21,$AR$8:$AR21,1))</f>
        <v/>
      </c>
      <c r="AL21" s="41" t="str">
        <f aca="false">IF($A21="","",COUNTIFS(Actions[Pursuit ID],$A21,Actions[Open action],1))</f>
        <v/>
      </c>
      <c r="AM21" s="41" t="str">
        <f aca="false">IF($A21="","",COUNTIFS(Actions[Pursuit ID],$A21,Actions[Open action],1,Actions[Sort date],DATE(9999,12,31)))</f>
        <v/>
      </c>
      <c r="AN21" s="41" t="str">
        <f aca="false">IF($AD21=0,"",IF($AC21="","Source not reviewed",IF($AC21&lt;&gt;INDEX(Sources[Source updated],$AD21),"Source changed","")))</f>
        <v/>
      </c>
      <c r="AO21" s="41" t="str">
        <f aca="false">IF(OR($AE21&lt;&gt;1,NOT(AND(ISNUMBER(Dashboard!$V$3),Dashboard!$V$3&gt;=1,Dashboard!$V$3&lt;DATE(2099,1,1)))),"",IF($S21="","Not reviewed",IF(NOT(ISNUMBER($S21)),"Use a real review date",IF($S21&gt;Dashboard!$V$3,"Review date is in future",IF(AND(ISNUMBER('Source Data'!$AE$36),'Source Data'!$AE$36&gt;0),IF(Dashboard!$V$3-$S21&gt;'Source Data'!$AE$36,"Review is overdue",""),"Set review interval")))))</f>
        <v/>
      </c>
      <c r="AP21" s="41" t="str">
        <f aca="false">IF($AF21&lt;&gt;"",$AF21,IF($A21="","",IF(COUNTIFS(StageMap[Stage],$D21)&lt;&gt;1,"Choose a valid stage",IF(NOT(ISNUMBER($AE21)),"Check stage settings",IF($AB21="","Add source ID",IF($AD21=0,"Source link needs review",IF(INDEX(Sources[Input check],$AD21)&lt;&gt;"",INDEX(Sources[Input check],$AD21),IF(AND($V21&lt;&gt;"",OR(NOT(ISNUMBER($V21)),$V21&lt;0,$V21&gt;1)),"Probability must be 0 to 100%",IF(AND($R21&lt;&gt;"",OR(NOT(ISNUMBER($R21)),$R21&lt;0)),"Use valid duration months","")))))))))</f>
        <v/>
      </c>
      <c r="AQ21" s="41" t="str">
        <f aca="false">IF($AD21=0,"",IF(INDEX(Sources[Response time],$AD21)="","Time not confirmed",TEXT(INDEX(Sources[Response time],$AD21),"h:mm AM/PM")&amp;" "&amp;INDEX(Sources[Time zone],$AD21)))</f>
        <v/>
      </c>
      <c r="AR21" s="41" t="n">
        <f aca="false">IF(AND($I21&lt;&gt;"",OR($AE21=1,$AP21&lt;&gt;"")),1,0)</f>
        <v>0</v>
      </c>
      <c r="AS21" s="41" t="n">
        <f aca="false">IF(AND($A21&lt;&gt;"",$AF21=""),1,0)</f>
        <v>0</v>
      </c>
    </row>
    <row r="22" customFormat="false" ht="48" hidden="false" customHeight="true" outlineLevel="0" collapsed="false">
      <c r="A22" s="39"/>
      <c r="B22" s="39"/>
      <c r="C22" s="39"/>
      <c r="D22" s="39"/>
      <c r="E22" s="40" t="str">
        <f aca="false">IF($AD22=0,"",IF(INDEX(Sources[Response date],$AD22)="","",INDEX(Sources[Response date],$AD22)))</f>
        <v/>
      </c>
      <c r="F22" s="41" t="str">
        <f aca="false">IF($AJ22="","",INDEX(Actions[Action],MATCH($AJ22,Actions[Action ID],0)))</f>
        <v/>
      </c>
      <c r="G22" s="40" t="str">
        <f aca="false">IF($AJ22="","",IF(INDEX(Actions[Due date],MATCH($AJ22,Actions[Action ID],0))="","",INDEX(Actions[Due date],MATCH($AJ22,Actions[Action ID],0))))</f>
        <v/>
      </c>
      <c r="H22" s="42"/>
      <c r="I22" s="41" t="str">
        <f aca="false">IF($A22="",$AF22,_xlfn.TEXTJOIN(CHAR(10),TRUE(),$AP22,$AG22,IF(AND($AE22=1,AND(ISNUMBER(Dashboard!$V$3),Dashboard!$V$3&gt;=1,Dashboard!$V$3&lt;DATE(2099,1,1)),ISNUMBER($E22),$E22&lt;Dashboard!$V$3),"Response date passed",""),IF(AND($AE22=1,$AL22=0),"No next action",""),IF(AND($AE22=1,$AM22&gt;0),"Action needs a date",""),IF($AE22=1,$AN22,""),$AO22,IF($AD22=0,"",INDEX(Sources[Source issue],$AD22))))</f>
        <v/>
      </c>
      <c r="J22" s="39"/>
      <c r="K22" s="39"/>
      <c r="L22" s="41" t="str">
        <f aca="false">IF($AD22=0,"",IF(INDEX(Sources[Agency office],$AD22)="","",INDEX(Sources[Agency office],$AD22)))</f>
        <v/>
      </c>
      <c r="M22" s="41" t="str">
        <f aca="false">IF($AD22=0,"",IF(INDEX(Sources[Solicitation],$AD22)="","",INDEX(Sources[Solicitation],$AD22)))</f>
        <v/>
      </c>
      <c r="N22" s="41" t="str">
        <f aca="false">IF($AD22=0,"",IF(INDEX(Sources[Acquisition route],$AD22)="","",INDEX(Sources[Acquisition route],$AD22)))</f>
        <v/>
      </c>
      <c r="O22" s="41" t="str">
        <f aca="false">IF($AD22=0,"",IF(INDEX(Sources[Location],$AD22)="","",INDEX(Sources[Location],$AD22)))</f>
        <v/>
      </c>
      <c r="P22" s="40" t="str">
        <f aca="false">IF($AD22=0,"",IF(INDEX(Sources[Release period],$AD22)="","",INDEX(Sources[Release period],$AD22)))</f>
        <v/>
      </c>
      <c r="Q22" s="40" t="str">
        <f aca="false">IF($AD22=0,"",IF(INDEX(Sources[Award period],$AD22)="","",INDEX(Sources[Award period],$AD22)))</f>
        <v/>
      </c>
      <c r="R22" s="39"/>
      <c r="S22" s="43"/>
      <c r="T22" s="39"/>
      <c r="U22" s="39"/>
      <c r="V22" s="44"/>
      <c r="W22" s="45" t="str">
        <f aca="false">IF(AND(ISNUMBER($AH22),ISNUMBER($V22),$V22&gt;=0,$V22&lt;=1),ROUND($AH22*$V22,2),"")</f>
        <v/>
      </c>
      <c r="X22" s="39"/>
      <c r="Y22" s="39"/>
      <c r="Z22" s="46" t="str">
        <f aca="false">IF($AD22=0,"",IF(INDEX(Sources[GovTribe URL],$AD22)="","",HYPERLINK(INDEX(Sources[GovTribe URL],$AD22),"Open GovTribe")))</f>
        <v/>
      </c>
      <c r="AA22" s="39"/>
      <c r="AB22" s="39"/>
      <c r="AC22" s="39"/>
      <c r="AD22" s="41" t="n">
        <f aca="false">IF($A22="",0,IF(AND($AB22&lt;&gt;"",COUNTIFS(Sources[Source ID],$AB22,Sources[Pursuit ID],$A22)=1,COUNTIFS(Sources[Source ID],$AB22)=1),MATCH($AB22,Sources[Source ID],0),0))</f>
        <v>0</v>
      </c>
      <c r="AE22" s="41" t="str">
        <f aca="false">IF($AS22=0,"",IF(COUNTIFS(StageMap[Stage],$D22)&lt;&gt;1,"",IF(INDEX(StageMap[Input check],MATCH($D22,StageMap[Stage],0))="",INDEX(StageMap[Active],MATCH($D22,StageMap[Stage],0)),"")))</f>
        <v/>
      </c>
      <c r="AF22" s="41" t="str">
        <f aca="false">IF($A22="",IF(COUNTA(B22:D22,H22,J22:K22,R22:V22,X22:Y22,AA22:AC22)&gt;0,"Missing pursuit ID",""),IF(COUNTIFS(Pursuits[Pursuit ID],$A22)&gt;1,"Duplicate pursuit ID",IF($B22="","Add opportunity name","")))</f>
        <v/>
      </c>
      <c r="AG22" s="41" t="str">
        <f aca="false">IF($A22="","",IF($H22="","",IF(NOT(ISNUMBER($H22)),"Enter a numeric estimate",IF($H22&lt;0,"Estimate cannot be negative",IF($T22&lt;&gt;"Total company contract value","Non-total value excluded",IF($U22="","Add value period",""))))))</f>
        <v/>
      </c>
      <c r="AH22" s="45" t="str">
        <f aca="false">IF(AND($AE22=1,$AG22="",ISNUMBER($H22)),$H22,"")</f>
        <v/>
      </c>
      <c r="AI22" s="41" t="str">
        <f aca="false">IF(AND($AE22=1,AND(ISNUMBER(Dashboard!$V$3),Dashboard!$V$3&gt;=1,Dashboard!$V$3&lt;DATE(2099,1,1)),ISNUMBER($E22),$E22&gt;=1,$E22&lt;DATE(2099,1,1),$E22&gt;=Dashboard!$V$3,$E22&lt;Dashboard!$V$3+30),COUNTIFS(Pursuits[Active],1,Pursuits[Response due],"&gt;="&amp;Dashboard!$V$3,Pursuits[Response due],"&lt;"&amp;$E22)+COUNTIFS(Pursuits[Active],1,Pursuits[Response due],$E22,Pursuits[Pursuit ID],"&lt;"&amp;$A22)+1,"")</f>
        <v/>
      </c>
      <c r="AJ22" s="41" t="str">
        <f aca="false">IF(OR($A22="",$AL22=0),"",INDEX(Actions[Action ID],MATCH($A22&amp;"|1",Actions[Pursuit action key],0)))</f>
        <v/>
      </c>
      <c r="AK22" s="41" t="str">
        <f aca="false">IF($AR22&lt;&gt;1,"",COUNTIFS(Pursuits[Review candidate],1,Pursuits[Pursuit ID],"&lt;"&amp;$A22)+COUNTIFS($A$8:$A22,$A22,$AR$8:$AR22,1))</f>
        <v/>
      </c>
      <c r="AL22" s="41" t="str">
        <f aca="false">IF($A22="","",COUNTIFS(Actions[Pursuit ID],$A22,Actions[Open action],1))</f>
        <v/>
      </c>
      <c r="AM22" s="41" t="str">
        <f aca="false">IF($A22="","",COUNTIFS(Actions[Pursuit ID],$A22,Actions[Open action],1,Actions[Sort date],DATE(9999,12,31)))</f>
        <v/>
      </c>
      <c r="AN22" s="41" t="str">
        <f aca="false">IF($AD22=0,"",IF($AC22="","Source not reviewed",IF($AC22&lt;&gt;INDEX(Sources[Source updated],$AD22),"Source changed","")))</f>
        <v/>
      </c>
      <c r="AO22" s="41" t="str">
        <f aca="false">IF(OR($AE22&lt;&gt;1,NOT(AND(ISNUMBER(Dashboard!$V$3),Dashboard!$V$3&gt;=1,Dashboard!$V$3&lt;DATE(2099,1,1)))),"",IF($S22="","Not reviewed",IF(NOT(ISNUMBER($S22)),"Use a real review date",IF($S22&gt;Dashboard!$V$3,"Review date is in future",IF(AND(ISNUMBER('Source Data'!$AE$36),'Source Data'!$AE$36&gt;0),IF(Dashboard!$V$3-$S22&gt;'Source Data'!$AE$36,"Review is overdue",""),"Set review interval")))))</f>
        <v/>
      </c>
      <c r="AP22" s="41" t="str">
        <f aca="false">IF($AF22&lt;&gt;"",$AF22,IF($A22="","",IF(COUNTIFS(StageMap[Stage],$D22)&lt;&gt;1,"Choose a valid stage",IF(NOT(ISNUMBER($AE22)),"Check stage settings",IF($AB22="","Add source ID",IF($AD22=0,"Source link needs review",IF(INDEX(Sources[Input check],$AD22)&lt;&gt;"",INDEX(Sources[Input check],$AD22),IF(AND($V22&lt;&gt;"",OR(NOT(ISNUMBER($V22)),$V22&lt;0,$V22&gt;1)),"Probability must be 0 to 100%",IF(AND($R22&lt;&gt;"",OR(NOT(ISNUMBER($R22)),$R22&lt;0)),"Use valid duration months","")))))))))</f>
        <v/>
      </c>
      <c r="AQ22" s="41" t="str">
        <f aca="false">IF($AD22=0,"",IF(INDEX(Sources[Response time],$AD22)="","Time not confirmed",TEXT(INDEX(Sources[Response time],$AD22),"h:mm AM/PM")&amp;" "&amp;INDEX(Sources[Time zone],$AD22)))</f>
        <v/>
      </c>
      <c r="AR22" s="41" t="n">
        <f aca="false">IF(AND($I22&lt;&gt;"",OR($AE22=1,$AP22&lt;&gt;"")),1,0)</f>
        <v>0</v>
      </c>
      <c r="AS22" s="41" t="n">
        <f aca="false">IF(AND($A22&lt;&gt;"",$AF22=""),1,0)</f>
        <v>0</v>
      </c>
    </row>
    <row r="23" customFormat="false" ht="48" hidden="false" customHeight="true" outlineLevel="0" collapsed="false">
      <c r="A23" s="39"/>
      <c r="B23" s="39"/>
      <c r="C23" s="39"/>
      <c r="D23" s="39"/>
      <c r="E23" s="40" t="str">
        <f aca="false">IF($AD23=0,"",IF(INDEX(Sources[Response date],$AD23)="","",INDEX(Sources[Response date],$AD23)))</f>
        <v/>
      </c>
      <c r="F23" s="41" t="str">
        <f aca="false">IF($AJ23="","",INDEX(Actions[Action],MATCH($AJ23,Actions[Action ID],0)))</f>
        <v/>
      </c>
      <c r="G23" s="40" t="str">
        <f aca="false">IF($AJ23="","",IF(INDEX(Actions[Due date],MATCH($AJ23,Actions[Action ID],0))="","",INDEX(Actions[Due date],MATCH($AJ23,Actions[Action ID],0))))</f>
        <v/>
      </c>
      <c r="H23" s="42"/>
      <c r="I23" s="41" t="str">
        <f aca="false">IF($A23="",$AF23,_xlfn.TEXTJOIN(CHAR(10),TRUE(),$AP23,$AG23,IF(AND($AE23=1,AND(ISNUMBER(Dashboard!$V$3),Dashboard!$V$3&gt;=1,Dashboard!$V$3&lt;DATE(2099,1,1)),ISNUMBER($E23),$E23&lt;Dashboard!$V$3),"Response date passed",""),IF(AND($AE23=1,$AL23=0),"No next action",""),IF(AND($AE23=1,$AM23&gt;0),"Action needs a date",""),IF($AE23=1,$AN23,""),$AO23,IF($AD23=0,"",INDEX(Sources[Source issue],$AD23))))</f>
        <v/>
      </c>
      <c r="J23" s="39"/>
      <c r="K23" s="39"/>
      <c r="L23" s="41" t="str">
        <f aca="false">IF($AD23=0,"",IF(INDEX(Sources[Agency office],$AD23)="","",INDEX(Sources[Agency office],$AD23)))</f>
        <v/>
      </c>
      <c r="M23" s="41" t="str">
        <f aca="false">IF($AD23=0,"",IF(INDEX(Sources[Solicitation],$AD23)="","",INDEX(Sources[Solicitation],$AD23)))</f>
        <v/>
      </c>
      <c r="N23" s="41" t="str">
        <f aca="false">IF($AD23=0,"",IF(INDEX(Sources[Acquisition route],$AD23)="","",INDEX(Sources[Acquisition route],$AD23)))</f>
        <v/>
      </c>
      <c r="O23" s="41" t="str">
        <f aca="false">IF($AD23=0,"",IF(INDEX(Sources[Location],$AD23)="","",INDEX(Sources[Location],$AD23)))</f>
        <v/>
      </c>
      <c r="P23" s="40" t="str">
        <f aca="false">IF($AD23=0,"",IF(INDEX(Sources[Release period],$AD23)="","",INDEX(Sources[Release period],$AD23)))</f>
        <v/>
      </c>
      <c r="Q23" s="40" t="str">
        <f aca="false">IF($AD23=0,"",IF(INDEX(Sources[Award period],$AD23)="","",INDEX(Sources[Award period],$AD23)))</f>
        <v/>
      </c>
      <c r="R23" s="39"/>
      <c r="S23" s="43"/>
      <c r="T23" s="39"/>
      <c r="U23" s="39"/>
      <c r="V23" s="44"/>
      <c r="W23" s="45" t="str">
        <f aca="false">IF(AND(ISNUMBER($AH23),ISNUMBER($V23),$V23&gt;=0,$V23&lt;=1),ROUND($AH23*$V23,2),"")</f>
        <v/>
      </c>
      <c r="X23" s="39"/>
      <c r="Y23" s="39"/>
      <c r="Z23" s="46" t="str">
        <f aca="false">IF($AD23=0,"",IF(INDEX(Sources[GovTribe URL],$AD23)="","",HYPERLINK(INDEX(Sources[GovTribe URL],$AD23),"Open GovTribe")))</f>
        <v/>
      </c>
      <c r="AA23" s="39"/>
      <c r="AB23" s="39"/>
      <c r="AC23" s="39"/>
      <c r="AD23" s="41" t="n">
        <f aca="false">IF($A23="",0,IF(AND($AB23&lt;&gt;"",COUNTIFS(Sources[Source ID],$AB23,Sources[Pursuit ID],$A23)=1,COUNTIFS(Sources[Source ID],$AB23)=1),MATCH($AB23,Sources[Source ID],0),0))</f>
        <v>0</v>
      </c>
      <c r="AE23" s="41" t="str">
        <f aca="false">IF($AS23=0,"",IF(COUNTIFS(StageMap[Stage],$D23)&lt;&gt;1,"",IF(INDEX(StageMap[Input check],MATCH($D23,StageMap[Stage],0))="",INDEX(StageMap[Active],MATCH($D23,StageMap[Stage],0)),"")))</f>
        <v/>
      </c>
      <c r="AF23" s="41" t="str">
        <f aca="false">IF($A23="",IF(COUNTA(B23:D23,H23,J23:K23,R23:V23,X23:Y23,AA23:AC23)&gt;0,"Missing pursuit ID",""),IF(COUNTIFS(Pursuits[Pursuit ID],$A23)&gt;1,"Duplicate pursuit ID",IF($B23="","Add opportunity name","")))</f>
        <v/>
      </c>
      <c r="AG23" s="41" t="str">
        <f aca="false">IF($A23="","",IF($H23="","",IF(NOT(ISNUMBER($H23)),"Enter a numeric estimate",IF($H23&lt;0,"Estimate cannot be negative",IF($T23&lt;&gt;"Total company contract value","Non-total value excluded",IF($U23="","Add value period",""))))))</f>
        <v/>
      </c>
      <c r="AH23" s="45" t="str">
        <f aca="false">IF(AND($AE23=1,$AG23="",ISNUMBER($H23)),$H23,"")</f>
        <v/>
      </c>
      <c r="AI23" s="41" t="str">
        <f aca="false">IF(AND($AE23=1,AND(ISNUMBER(Dashboard!$V$3),Dashboard!$V$3&gt;=1,Dashboard!$V$3&lt;DATE(2099,1,1)),ISNUMBER($E23),$E23&gt;=1,$E23&lt;DATE(2099,1,1),$E23&gt;=Dashboard!$V$3,$E23&lt;Dashboard!$V$3+30),COUNTIFS(Pursuits[Active],1,Pursuits[Response due],"&gt;="&amp;Dashboard!$V$3,Pursuits[Response due],"&lt;"&amp;$E23)+COUNTIFS(Pursuits[Active],1,Pursuits[Response due],$E23,Pursuits[Pursuit ID],"&lt;"&amp;$A23)+1,"")</f>
        <v/>
      </c>
      <c r="AJ23" s="41" t="str">
        <f aca="false">IF(OR($A23="",$AL23=0),"",INDEX(Actions[Action ID],MATCH($A23&amp;"|1",Actions[Pursuit action key],0)))</f>
        <v/>
      </c>
      <c r="AK23" s="41" t="str">
        <f aca="false">IF($AR23&lt;&gt;1,"",COUNTIFS(Pursuits[Review candidate],1,Pursuits[Pursuit ID],"&lt;"&amp;$A23)+COUNTIFS($A$8:$A23,$A23,$AR$8:$AR23,1))</f>
        <v/>
      </c>
      <c r="AL23" s="41" t="str">
        <f aca="false">IF($A23="","",COUNTIFS(Actions[Pursuit ID],$A23,Actions[Open action],1))</f>
        <v/>
      </c>
      <c r="AM23" s="41" t="str">
        <f aca="false">IF($A23="","",COUNTIFS(Actions[Pursuit ID],$A23,Actions[Open action],1,Actions[Sort date],DATE(9999,12,31)))</f>
        <v/>
      </c>
      <c r="AN23" s="41" t="str">
        <f aca="false">IF($AD23=0,"",IF($AC23="","Source not reviewed",IF($AC23&lt;&gt;INDEX(Sources[Source updated],$AD23),"Source changed","")))</f>
        <v/>
      </c>
      <c r="AO23" s="41" t="str">
        <f aca="false">IF(OR($AE23&lt;&gt;1,NOT(AND(ISNUMBER(Dashboard!$V$3),Dashboard!$V$3&gt;=1,Dashboard!$V$3&lt;DATE(2099,1,1)))),"",IF($S23="","Not reviewed",IF(NOT(ISNUMBER($S23)),"Use a real review date",IF($S23&gt;Dashboard!$V$3,"Review date is in future",IF(AND(ISNUMBER('Source Data'!$AE$36),'Source Data'!$AE$36&gt;0),IF(Dashboard!$V$3-$S23&gt;'Source Data'!$AE$36,"Review is overdue",""),"Set review interval")))))</f>
        <v/>
      </c>
      <c r="AP23" s="41" t="str">
        <f aca="false">IF($AF23&lt;&gt;"",$AF23,IF($A23="","",IF(COUNTIFS(StageMap[Stage],$D23)&lt;&gt;1,"Choose a valid stage",IF(NOT(ISNUMBER($AE23)),"Check stage settings",IF($AB23="","Add source ID",IF($AD23=0,"Source link needs review",IF(INDEX(Sources[Input check],$AD23)&lt;&gt;"",INDEX(Sources[Input check],$AD23),IF(AND($V23&lt;&gt;"",OR(NOT(ISNUMBER($V23)),$V23&lt;0,$V23&gt;1)),"Probability must be 0 to 100%",IF(AND($R23&lt;&gt;"",OR(NOT(ISNUMBER($R23)),$R23&lt;0)),"Use valid duration months","")))))))))</f>
        <v/>
      </c>
      <c r="AQ23" s="41" t="str">
        <f aca="false">IF($AD23=0,"",IF(INDEX(Sources[Response time],$AD23)="","Time not confirmed",TEXT(INDEX(Sources[Response time],$AD23),"h:mm AM/PM")&amp;" "&amp;INDEX(Sources[Time zone],$AD23)))</f>
        <v/>
      </c>
      <c r="AR23" s="41" t="n">
        <f aca="false">IF(AND($I23&lt;&gt;"",OR($AE23=1,$AP23&lt;&gt;"")),1,0)</f>
        <v>0</v>
      </c>
      <c r="AS23" s="41" t="n">
        <f aca="false">IF(AND($A23&lt;&gt;"",$AF23=""),1,0)</f>
        <v>0</v>
      </c>
    </row>
    <row r="24" customFormat="false" ht="48" hidden="false" customHeight="true" outlineLevel="0" collapsed="false">
      <c r="A24" s="39"/>
      <c r="B24" s="39"/>
      <c r="C24" s="39"/>
      <c r="D24" s="39"/>
      <c r="E24" s="40" t="str">
        <f aca="false">IF($AD24=0,"",IF(INDEX(Sources[Response date],$AD24)="","",INDEX(Sources[Response date],$AD24)))</f>
        <v/>
      </c>
      <c r="F24" s="41" t="str">
        <f aca="false">IF($AJ24="","",INDEX(Actions[Action],MATCH($AJ24,Actions[Action ID],0)))</f>
        <v/>
      </c>
      <c r="G24" s="40" t="str">
        <f aca="false">IF($AJ24="","",IF(INDEX(Actions[Due date],MATCH($AJ24,Actions[Action ID],0))="","",INDEX(Actions[Due date],MATCH($AJ24,Actions[Action ID],0))))</f>
        <v/>
      </c>
      <c r="H24" s="42"/>
      <c r="I24" s="41" t="str">
        <f aca="false">IF($A24="",$AF24,_xlfn.TEXTJOIN(CHAR(10),TRUE(),$AP24,$AG24,IF(AND($AE24=1,AND(ISNUMBER(Dashboard!$V$3),Dashboard!$V$3&gt;=1,Dashboard!$V$3&lt;DATE(2099,1,1)),ISNUMBER($E24),$E24&lt;Dashboard!$V$3),"Response date passed",""),IF(AND($AE24=1,$AL24=0),"No next action",""),IF(AND($AE24=1,$AM24&gt;0),"Action needs a date",""),IF($AE24=1,$AN24,""),$AO24,IF($AD24=0,"",INDEX(Sources[Source issue],$AD24))))</f>
        <v/>
      </c>
      <c r="J24" s="39"/>
      <c r="K24" s="39"/>
      <c r="L24" s="41" t="str">
        <f aca="false">IF($AD24=0,"",IF(INDEX(Sources[Agency office],$AD24)="","",INDEX(Sources[Agency office],$AD24)))</f>
        <v/>
      </c>
      <c r="M24" s="41" t="str">
        <f aca="false">IF($AD24=0,"",IF(INDEX(Sources[Solicitation],$AD24)="","",INDEX(Sources[Solicitation],$AD24)))</f>
        <v/>
      </c>
      <c r="N24" s="41" t="str">
        <f aca="false">IF($AD24=0,"",IF(INDEX(Sources[Acquisition route],$AD24)="","",INDEX(Sources[Acquisition route],$AD24)))</f>
        <v/>
      </c>
      <c r="O24" s="41" t="str">
        <f aca="false">IF($AD24=0,"",IF(INDEX(Sources[Location],$AD24)="","",INDEX(Sources[Location],$AD24)))</f>
        <v/>
      </c>
      <c r="P24" s="40" t="str">
        <f aca="false">IF($AD24=0,"",IF(INDEX(Sources[Release period],$AD24)="","",INDEX(Sources[Release period],$AD24)))</f>
        <v/>
      </c>
      <c r="Q24" s="40" t="str">
        <f aca="false">IF($AD24=0,"",IF(INDEX(Sources[Award period],$AD24)="","",INDEX(Sources[Award period],$AD24)))</f>
        <v/>
      </c>
      <c r="R24" s="39"/>
      <c r="S24" s="43"/>
      <c r="T24" s="39"/>
      <c r="U24" s="39"/>
      <c r="V24" s="44"/>
      <c r="W24" s="45" t="str">
        <f aca="false">IF(AND(ISNUMBER($AH24),ISNUMBER($V24),$V24&gt;=0,$V24&lt;=1),ROUND($AH24*$V24,2),"")</f>
        <v/>
      </c>
      <c r="X24" s="39"/>
      <c r="Y24" s="39"/>
      <c r="Z24" s="46" t="str">
        <f aca="false">IF($AD24=0,"",IF(INDEX(Sources[GovTribe URL],$AD24)="","",HYPERLINK(INDEX(Sources[GovTribe URL],$AD24),"Open GovTribe")))</f>
        <v/>
      </c>
      <c r="AA24" s="39"/>
      <c r="AB24" s="39"/>
      <c r="AC24" s="39"/>
      <c r="AD24" s="41" t="n">
        <f aca="false">IF($A24="",0,IF(AND($AB24&lt;&gt;"",COUNTIFS(Sources[Source ID],$AB24,Sources[Pursuit ID],$A24)=1,COUNTIFS(Sources[Source ID],$AB24)=1),MATCH($AB24,Sources[Source ID],0),0))</f>
        <v>0</v>
      </c>
      <c r="AE24" s="41" t="str">
        <f aca="false">IF($AS24=0,"",IF(COUNTIFS(StageMap[Stage],$D24)&lt;&gt;1,"",IF(INDEX(StageMap[Input check],MATCH($D24,StageMap[Stage],0))="",INDEX(StageMap[Active],MATCH($D24,StageMap[Stage],0)),"")))</f>
        <v/>
      </c>
      <c r="AF24" s="41" t="str">
        <f aca="false">IF($A24="",IF(COUNTA(B24:D24,H24,J24:K24,R24:V24,X24:Y24,AA24:AC24)&gt;0,"Missing pursuit ID",""),IF(COUNTIFS(Pursuits[Pursuit ID],$A24)&gt;1,"Duplicate pursuit ID",IF($B24="","Add opportunity name","")))</f>
        <v/>
      </c>
      <c r="AG24" s="41" t="str">
        <f aca="false">IF($A24="","",IF($H24="","",IF(NOT(ISNUMBER($H24)),"Enter a numeric estimate",IF($H24&lt;0,"Estimate cannot be negative",IF($T24&lt;&gt;"Total company contract value","Non-total value excluded",IF($U24="","Add value period",""))))))</f>
        <v/>
      </c>
      <c r="AH24" s="45" t="str">
        <f aca="false">IF(AND($AE24=1,$AG24="",ISNUMBER($H24)),$H24,"")</f>
        <v/>
      </c>
      <c r="AI24" s="41" t="str">
        <f aca="false">IF(AND($AE24=1,AND(ISNUMBER(Dashboard!$V$3),Dashboard!$V$3&gt;=1,Dashboard!$V$3&lt;DATE(2099,1,1)),ISNUMBER($E24),$E24&gt;=1,$E24&lt;DATE(2099,1,1),$E24&gt;=Dashboard!$V$3,$E24&lt;Dashboard!$V$3+30),COUNTIFS(Pursuits[Active],1,Pursuits[Response due],"&gt;="&amp;Dashboard!$V$3,Pursuits[Response due],"&lt;"&amp;$E24)+COUNTIFS(Pursuits[Active],1,Pursuits[Response due],$E24,Pursuits[Pursuit ID],"&lt;"&amp;$A24)+1,"")</f>
        <v/>
      </c>
      <c r="AJ24" s="41" t="str">
        <f aca="false">IF(OR($A24="",$AL24=0),"",INDEX(Actions[Action ID],MATCH($A24&amp;"|1",Actions[Pursuit action key],0)))</f>
        <v/>
      </c>
      <c r="AK24" s="41" t="str">
        <f aca="false">IF($AR24&lt;&gt;1,"",COUNTIFS(Pursuits[Review candidate],1,Pursuits[Pursuit ID],"&lt;"&amp;$A24)+COUNTIFS($A$8:$A24,$A24,$AR$8:$AR24,1))</f>
        <v/>
      </c>
      <c r="AL24" s="41" t="str">
        <f aca="false">IF($A24="","",COUNTIFS(Actions[Pursuit ID],$A24,Actions[Open action],1))</f>
        <v/>
      </c>
      <c r="AM24" s="41" t="str">
        <f aca="false">IF($A24="","",COUNTIFS(Actions[Pursuit ID],$A24,Actions[Open action],1,Actions[Sort date],DATE(9999,12,31)))</f>
        <v/>
      </c>
      <c r="AN24" s="41" t="str">
        <f aca="false">IF($AD24=0,"",IF($AC24="","Source not reviewed",IF($AC24&lt;&gt;INDEX(Sources[Source updated],$AD24),"Source changed","")))</f>
        <v/>
      </c>
      <c r="AO24" s="41" t="str">
        <f aca="false">IF(OR($AE24&lt;&gt;1,NOT(AND(ISNUMBER(Dashboard!$V$3),Dashboard!$V$3&gt;=1,Dashboard!$V$3&lt;DATE(2099,1,1)))),"",IF($S24="","Not reviewed",IF(NOT(ISNUMBER($S24)),"Use a real review date",IF($S24&gt;Dashboard!$V$3,"Review date is in future",IF(AND(ISNUMBER('Source Data'!$AE$36),'Source Data'!$AE$36&gt;0),IF(Dashboard!$V$3-$S24&gt;'Source Data'!$AE$36,"Review is overdue",""),"Set review interval")))))</f>
        <v/>
      </c>
      <c r="AP24" s="41" t="str">
        <f aca="false">IF($AF24&lt;&gt;"",$AF24,IF($A24="","",IF(COUNTIFS(StageMap[Stage],$D24)&lt;&gt;1,"Choose a valid stage",IF(NOT(ISNUMBER($AE24)),"Check stage settings",IF($AB24="","Add source ID",IF($AD24=0,"Source link needs review",IF(INDEX(Sources[Input check],$AD24)&lt;&gt;"",INDEX(Sources[Input check],$AD24),IF(AND($V24&lt;&gt;"",OR(NOT(ISNUMBER($V24)),$V24&lt;0,$V24&gt;1)),"Probability must be 0 to 100%",IF(AND($R24&lt;&gt;"",OR(NOT(ISNUMBER($R24)),$R24&lt;0)),"Use valid duration months","")))))))))</f>
        <v/>
      </c>
      <c r="AQ24" s="41" t="str">
        <f aca="false">IF($AD24=0,"",IF(INDEX(Sources[Response time],$AD24)="","Time not confirmed",TEXT(INDEX(Sources[Response time],$AD24),"h:mm AM/PM")&amp;" "&amp;INDEX(Sources[Time zone],$AD24)))</f>
        <v/>
      </c>
      <c r="AR24" s="41" t="n">
        <f aca="false">IF(AND($I24&lt;&gt;"",OR($AE24=1,$AP24&lt;&gt;"")),1,0)</f>
        <v>0</v>
      </c>
      <c r="AS24" s="41" t="n">
        <f aca="false">IF(AND($A24&lt;&gt;"",$AF24=""),1,0)</f>
        <v>0</v>
      </c>
    </row>
    <row r="25" customFormat="false" ht="48" hidden="false" customHeight="true" outlineLevel="0" collapsed="false">
      <c r="A25" s="39"/>
      <c r="B25" s="39"/>
      <c r="C25" s="39"/>
      <c r="D25" s="39"/>
      <c r="E25" s="40" t="str">
        <f aca="false">IF($AD25=0,"",IF(INDEX(Sources[Response date],$AD25)="","",INDEX(Sources[Response date],$AD25)))</f>
        <v/>
      </c>
      <c r="F25" s="41" t="str">
        <f aca="false">IF($AJ25="","",INDEX(Actions[Action],MATCH($AJ25,Actions[Action ID],0)))</f>
        <v/>
      </c>
      <c r="G25" s="40" t="str">
        <f aca="false">IF($AJ25="","",IF(INDEX(Actions[Due date],MATCH($AJ25,Actions[Action ID],0))="","",INDEX(Actions[Due date],MATCH($AJ25,Actions[Action ID],0))))</f>
        <v/>
      </c>
      <c r="H25" s="42"/>
      <c r="I25" s="41" t="str">
        <f aca="false">IF($A25="",$AF25,_xlfn.TEXTJOIN(CHAR(10),TRUE(),$AP25,$AG25,IF(AND($AE25=1,AND(ISNUMBER(Dashboard!$V$3),Dashboard!$V$3&gt;=1,Dashboard!$V$3&lt;DATE(2099,1,1)),ISNUMBER($E25),$E25&lt;Dashboard!$V$3),"Response date passed",""),IF(AND($AE25=1,$AL25=0),"No next action",""),IF(AND($AE25=1,$AM25&gt;0),"Action needs a date",""),IF($AE25=1,$AN25,""),$AO25,IF($AD25=0,"",INDEX(Sources[Source issue],$AD25))))</f>
        <v/>
      </c>
      <c r="J25" s="39"/>
      <c r="K25" s="39"/>
      <c r="L25" s="41" t="str">
        <f aca="false">IF($AD25=0,"",IF(INDEX(Sources[Agency office],$AD25)="","",INDEX(Sources[Agency office],$AD25)))</f>
        <v/>
      </c>
      <c r="M25" s="41" t="str">
        <f aca="false">IF($AD25=0,"",IF(INDEX(Sources[Solicitation],$AD25)="","",INDEX(Sources[Solicitation],$AD25)))</f>
        <v/>
      </c>
      <c r="N25" s="41" t="str">
        <f aca="false">IF($AD25=0,"",IF(INDEX(Sources[Acquisition route],$AD25)="","",INDEX(Sources[Acquisition route],$AD25)))</f>
        <v/>
      </c>
      <c r="O25" s="41" t="str">
        <f aca="false">IF($AD25=0,"",IF(INDEX(Sources[Location],$AD25)="","",INDEX(Sources[Location],$AD25)))</f>
        <v/>
      </c>
      <c r="P25" s="40" t="str">
        <f aca="false">IF($AD25=0,"",IF(INDEX(Sources[Release period],$AD25)="","",INDEX(Sources[Release period],$AD25)))</f>
        <v/>
      </c>
      <c r="Q25" s="40" t="str">
        <f aca="false">IF($AD25=0,"",IF(INDEX(Sources[Award period],$AD25)="","",INDEX(Sources[Award period],$AD25)))</f>
        <v/>
      </c>
      <c r="R25" s="39"/>
      <c r="S25" s="43"/>
      <c r="T25" s="39"/>
      <c r="U25" s="39"/>
      <c r="V25" s="44"/>
      <c r="W25" s="45" t="str">
        <f aca="false">IF(AND(ISNUMBER($AH25),ISNUMBER($V25),$V25&gt;=0,$V25&lt;=1),ROUND($AH25*$V25,2),"")</f>
        <v/>
      </c>
      <c r="X25" s="39"/>
      <c r="Y25" s="39"/>
      <c r="Z25" s="46" t="str">
        <f aca="false">IF($AD25=0,"",IF(INDEX(Sources[GovTribe URL],$AD25)="","",HYPERLINK(INDEX(Sources[GovTribe URL],$AD25),"Open GovTribe")))</f>
        <v/>
      </c>
      <c r="AA25" s="39"/>
      <c r="AB25" s="39"/>
      <c r="AC25" s="39"/>
      <c r="AD25" s="41" t="n">
        <f aca="false">IF($A25="",0,IF(AND($AB25&lt;&gt;"",COUNTIFS(Sources[Source ID],$AB25,Sources[Pursuit ID],$A25)=1,COUNTIFS(Sources[Source ID],$AB25)=1),MATCH($AB25,Sources[Source ID],0),0))</f>
        <v>0</v>
      </c>
      <c r="AE25" s="41" t="str">
        <f aca="false">IF($AS25=0,"",IF(COUNTIFS(StageMap[Stage],$D25)&lt;&gt;1,"",IF(INDEX(StageMap[Input check],MATCH($D25,StageMap[Stage],0))="",INDEX(StageMap[Active],MATCH($D25,StageMap[Stage],0)),"")))</f>
        <v/>
      </c>
      <c r="AF25" s="41" t="str">
        <f aca="false">IF($A25="",IF(COUNTA(B25:D25,H25,J25:K25,R25:V25,X25:Y25,AA25:AC25)&gt;0,"Missing pursuit ID",""),IF(COUNTIFS(Pursuits[Pursuit ID],$A25)&gt;1,"Duplicate pursuit ID",IF($B25="","Add opportunity name","")))</f>
        <v/>
      </c>
      <c r="AG25" s="41" t="str">
        <f aca="false">IF($A25="","",IF($H25="","",IF(NOT(ISNUMBER($H25)),"Enter a numeric estimate",IF($H25&lt;0,"Estimate cannot be negative",IF($T25&lt;&gt;"Total company contract value","Non-total value excluded",IF($U25="","Add value period",""))))))</f>
        <v/>
      </c>
      <c r="AH25" s="45" t="str">
        <f aca="false">IF(AND($AE25=1,$AG25="",ISNUMBER($H25)),$H25,"")</f>
        <v/>
      </c>
      <c r="AI25" s="41" t="str">
        <f aca="false">IF(AND($AE25=1,AND(ISNUMBER(Dashboard!$V$3),Dashboard!$V$3&gt;=1,Dashboard!$V$3&lt;DATE(2099,1,1)),ISNUMBER($E25),$E25&gt;=1,$E25&lt;DATE(2099,1,1),$E25&gt;=Dashboard!$V$3,$E25&lt;Dashboard!$V$3+30),COUNTIFS(Pursuits[Active],1,Pursuits[Response due],"&gt;="&amp;Dashboard!$V$3,Pursuits[Response due],"&lt;"&amp;$E25)+COUNTIFS(Pursuits[Active],1,Pursuits[Response due],$E25,Pursuits[Pursuit ID],"&lt;"&amp;$A25)+1,"")</f>
        <v/>
      </c>
      <c r="AJ25" s="41" t="str">
        <f aca="false">IF(OR($A25="",$AL25=0),"",INDEX(Actions[Action ID],MATCH($A25&amp;"|1",Actions[Pursuit action key],0)))</f>
        <v/>
      </c>
      <c r="AK25" s="41" t="str">
        <f aca="false">IF($AR25&lt;&gt;1,"",COUNTIFS(Pursuits[Review candidate],1,Pursuits[Pursuit ID],"&lt;"&amp;$A25)+COUNTIFS($A$8:$A25,$A25,$AR$8:$AR25,1))</f>
        <v/>
      </c>
      <c r="AL25" s="41" t="str">
        <f aca="false">IF($A25="","",COUNTIFS(Actions[Pursuit ID],$A25,Actions[Open action],1))</f>
        <v/>
      </c>
      <c r="AM25" s="41" t="str">
        <f aca="false">IF($A25="","",COUNTIFS(Actions[Pursuit ID],$A25,Actions[Open action],1,Actions[Sort date],DATE(9999,12,31)))</f>
        <v/>
      </c>
      <c r="AN25" s="41" t="str">
        <f aca="false">IF($AD25=0,"",IF($AC25="","Source not reviewed",IF($AC25&lt;&gt;INDEX(Sources[Source updated],$AD25),"Source changed","")))</f>
        <v/>
      </c>
      <c r="AO25" s="41" t="str">
        <f aca="false">IF(OR($AE25&lt;&gt;1,NOT(AND(ISNUMBER(Dashboard!$V$3),Dashboard!$V$3&gt;=1,Dashboard!$V$3&lt;DATE(2099,1,1)))),"",IF($S25="","Not reviewed",IF(NOT(ISNUMBER($S25)),"Use a real review date",IF($S25&gt;Dashboard!$V$3,"Review date is in future",IF(AND(ISNUMBER('Source Data'!$AE$36),'Source Data'!$AE$36&gt;0),IF(Dashboard!$V$3-$S25&gt;'Source Data'!$AE$36,"Review is overdue",""),"Set review interval")))))</f>
        <v/>
      </c>
      <c r="AP25" s="41" t="str">
        <f aca="false">IF($AF25&lt;&gt;"",$AF25,IF($A25="","",IF(COUNTIFS(StageMap[Stage],$D25)&lt;&gt;1,"Choose a valid stage",IF(NOT(ISNUMBER($AE25)),"Check stage settings",IF($AB25="","Add source ID",IF($AD25=0,"Source link needs review",IF(INDEX(Sources[Input check],$AD25)&lt;&gt;"",INDEX(Sources[Input check],$AD25),IF(AND($V25&lt;&gt;"",OR(NOT(ISNUMBER($V25)),$V25&lt;0,$V25&gt;1)),"Probability must be 0 to 100%",IF(AND($R25&lt;&gt;"",OR(NOT(ISNUMBER($R25)),$R25&lt;0)),"Use valid duration months","")))))))))</f>
        <v/>
      </c>
      <c r="AQ25" s="41" t="str">
        <f aca="false">IF($AD25=0,"",IF(INDEX(Sources[Response time],$AD25)="","Time not confirmed",TEXT(INDEX(Sources[Response time],$AD25),"h:mm AM/PM")&amp;" "&amp;INDEX(Sources[Time zone],$AD25)))</f>
        <v/>
      </c>
      <c r="AR25" s="41" t="n">
        <f aca="false">IF(AND($I25&lt;&gt;"",OR($AE25=1,$AP25&lt;&gt;"")),1,0)</f>
        <v>0</v>
      </c>
      <c r="AS25" s="41" t="n">
        <f aca="false">IF(AND($A25&lt;&gt;"",$AF25=""),1,0)</f>
        <v>0</v>
      </c>
    </row>
    <row r="26" customFormat="false" ht="48" hidden="false" customHeight="true" outlineLevel="0" collapsed="false">
      <c r="A26" s="39"/>
      <c r="B26" s="39"/>
      <c r="C26" s="39"/>
      <c r="D26" s="39"/>
      <c r="E26" s="40" t="str">
        <f aca="false">IF($AD26=0,"",IF(INDEX(Sources[Response date],$AD26)="","",INDEX(Sources[Response date],$AD26)))</f>
        <v/>
      </c>
      <c r="F26" s="41" t="str">
        <f aca="false">IF($AJ26="","",INDEX(Actions[Action],MATCH($AJ26,Actions[Action ID],0)))</f>
        <v/>
      </c>
      <c r="G26" s="40" t="str">
        <f aca="false">IF($AJ26="","",IF(INDEX(Actions[Due date],MATCH($AJ26,Actions[Action ID],0))="","",INDEX(Actions[Due date],MATCH($AJ26,Actions[Action ID],0))))</f>
        <v/>
      </c>
      <c r="H26" s="42"/>
      <c r="I26" s="41" t="str">
        <f aca="false">IF($A26="",$AF26,_xlfn.TEXTJOIN(CHAR(10),TRUE(),$AP26,$AG26,IF(AND($AE26=1,AND(ISNUMBER(Dashboard!$V$3),Dashboard!$V$3&gt;=1,Dashboard!$V$3&lt;DATE(2099,1,1)),ISNUMBER($E26),$E26&lt;Dashboard!$V$3),"Response date passed",""),IF(AND($AE26=1,$AL26=0),"No next action",""),IF(AND($AE26=1,$AM26&gt;0),"Action needs a date",""),IF($AE26=1,$AN26,""),$AO26,IF($AD26=0,"",INDEX(Sources[Source issue],$AD26))))</f>
        <v/>
      </c>
      <c r="J26" s="39"/>
      <c r="K26" s="39"/>
      <c r="L26" s="41" t="str">
        <f aca="false">IF($AD26=0,"",IF(INDEX(Sources[Agency office],$AD26)="","",INDEX(Sources[Agency office],$AD26)))</f>
        <v/>
      </c>
      <c r="M26" s="41" t="str">
        <f aca="false">IF($AD26=0,"",IF(INDEX(Sources[Solicitation],$AD26)="","",INDEX(Sources[Solicitation],$AD26)))</f>
        <v/>
      </c>
      <c r="N26" s="41" t="str">
        <f aca="false">IF($AD26=0,"",IF(INDEX(Sources[Acquisition route],$AD26)="","",INDEX(Sources[Acquisition route],$AD26)))</f>
        <v/>
      </c>
      <c r="O26" s="41" t="str">
        <f aca="false">IF($AD26=0,"",IF(INDEX(Sources[Location],$AD26)="","",INDEX(Sources[Location],$AD26)))</f>
        <v/>
      </c>
      <c r="P26" s="40" t="str">
        <f aca="false">IF($AD26=0,"",IF(INDEX(Sources[Release period],$AD26)="","",INDEX(Sources[Release period],$AD26)))</f>
        <v/>
      </c>
      <c r="Q26" s="40" t="str">
        <f aca="false">IF($AD26=0,"",IF(INDEX(Sources[Award period],$AD26)="","",INDEX(Sources[Award period],$AD26)))</f>
        <v/>
      </c>
      <c r="R26" s="39"/>
      <c r="S26" s="43"/>
      <c r="T26" s="39"/>
      <c r="U26" s="39"/>
      <c r="V26" s="44"/>
      <c r="W26" s="45" t="str">
        <f aca="false">IF(AND(ISNUMBER($AH26),ISNUMBER($V26),$V26&gt;=0,$V26&lt;=1),ROUND($AH26*$V26,2),"")</f>
        <v/>
      </c>
      <c r="X26" s="39"/>
      <c r="Y26" s="39"/>
      <c r="Z26" s="46" t="str">
        <f aca="false">IF($AD26=0,"",IF(INDEX(Sources[GovTribe URL],$AD26)="","",HYPERLINK(INDEX(Sources[GovTribe URL],$AD26),"Open GovTribe")))</f>
        <v/>
      </c>
      <c r="AA26" s="39"/>
      <c r="AB26" s="39"/>
      <c r="AC26" s="39"/>
      <c r="AD26" s="41" t="n">
        <f aca="false">IF($A26="",0,IF(AND($AB26&lt;&gt;"",COUNTIFS(Sources[Source ID],$AB26,Sources[Pursuit ID],$A26)=1,COUNTIFS(Sources[Source ID],$AB26)=1),MATCH($AB26,Sources[Source ID],0),0))</f>
        <v>0</v>
      </c>
      <c r="AE26" s="41" t="str">
        <f aca="false">IF($AS26=0,"",IF(COUNTIFS(StageMap[Stage],$D26)&lt;&gt;1,"",IF(INDEX(StageMap[Input check],MATCH($D26,StageMap[Stage],0))="",INDEX(StageMap[Active],MATCH($D26,StageMap[Stage],0)),"")))</f>
        <v/>
      </c>
      <c r="AF26" s="41" t="str">
        <f aca="false">IF($A26="",IF(COUNTA(B26:D26,H26,J26:K26,R26:V26,X26:Y26,AA26:AC26)&gt;0,"Missing pursuit ID",""),IF(COUNTIFS(Pursuits[Pursuit ID],$A26)&gt;1,"Duplicate pursuit ID",IF($B26="","Add opportunity name","")))</f>
        <v/>
      </c>
      <c r="AG26" s="41" t="str">
        <f aca="false">IF($A26="","",IF($H26="","",IF(NOT(ISNUMBER($H26)),"Enter a numeric estimate",IF($H26&lt;0,"Estimate cannot be negative",IF($T26&lt;&gt;"Total company contract value","Non-total value excluded",IF($U26="","Add value period",""))))))</f>
        <v/>
      </c>
      <c r="AH26" s="45" t="str">
        <f aca="false">IF(AND($AE26=1,$AG26="",ISNUMBER($H26)),$H26,"")</f>
        <v/>
      </c>
      <c r="AI26" s="41" t="str">
        <f aca="false">IF(AND($AE26=1,AND(ISNUMBER(Dashboard!$V$3),Dashboard!$V$3&gt;=1,Dashboard!$V$3&lt;DATE(2099,1,1)),ISNUMBER($E26),$E26&gt;=1,$E26&lt;DATE(2099,1,1),$E26&gt;=Dashboard!$V$3,$E26&lt;Dashboard!$V$3+30),COUNTIFS(Pursuits[Active],1,Pursuits[Response due],"&gt;="&amp;Dashboard!$V$3,Pursuits[Response due],"&lt;"&amp;$E26)+COUNTIFS(Pursuits[Active],1,Pursuits[Response due],$E26,Pursuits[Pursuit ID],"&lt;"&amp;$A26)+1,"")</f>
        <v/>
      </c>
      <c r="AJ26" s="41" t="str">
        <f aca="false">IF(OR($A26="",$AL26=0),"",INDEX(Actions[Action ID],MATCH($A26&amp;"|1",Actions[Pursuit action key],0)))</f>
        <v/>
      </c>
      <c r="AK26" s="41" t="str">
        <f aca="false">IF($AR26&lt;&gt;1,"",COUNTIFS(Pursuits[Review candidate],1,Pursuits[Pursuit ID],"&lt;"&amp;$A26)+COUNTIFS($A$8:$A26,$A26,$AR$8:$AR26,1))</f>
        <v/>
      </c>
      <c r="AL26" s="41" t="str">
        <f aca="false">IF($A26="","",COUNTIFS(Actions[Pursuit ID],$A26,Actions[Open action],1))</f>
        <v/>
      </c>
      <c r="AM26" s="41" t="str">
        <f aca="false">IF($A26="","",COUNTIFS(Actions[Pursuit ID],$A26,Actions[Open action],1,Actions[Sort date],DATE(9999,12,31)))</f>
        <v/>
      </c>
      <c r="AN26" s="41" t="str">
        <f aca="false">IF($AD26=0,"",IF($AC26="","Source not reviewed",IF($AC26&lt;&gt;INDEX(Sources[Source updated],$AD26),"Source changed","")))</f>
        <v/>
      </c>
      <c r="AO26" s="41" t="str">
        <f aca="false">IF(OR($AE26&lt;&gt;1,NOT(AND(ISNUMBER(Dashboard!$V$3),Dashboard!$V$3&gt;=1,Dashboard!$V$3&lt;DATE(2099,1,1)))),"",IF($S26="","Not reviewed",IF(NOT(ISNUMBER($S26)),"Use a real review date",IF($S26&gt;Dashboard!$V$3,"Review date is in future",IF(AND(ISNUMBER('Source Data'!$AE$36),'Source Data'!$AE$36&gt;0),IF(Dashboard!$V$3-$S26&gt;'Source Data'!$AE$36,"Review is overdue",""),"Set review interval")))))</f>
        <v/>
      </c>
      <c r="AP26" s="41" t="str">
        <f aca="false">IF($AF26&lt;&gt;"",$AF26,IF($A26="","",IF(COUNTIFS(StageMap[Stage],$D26)&lt;&gt;1,"Choose a valid stage",IF(NOT(ISNUMBER($AE26)),"Check stage settings",IF($AB26="","Add source ID",IF($AD26=0,"Source link needs review",IF(INDEX(Sources[Input check],$AD26)&lt;&gt;"",INDEX(Sources[Input check],$AD26),IF(AND($V26&lt;&gt;"",OR(NOT(ISNUMBER($V26)),$V26&lt;0,$V26&gt;1)),"Probability must be 0 to 100%",IF(AND($R26&lt;&gt;"",OR(NOT(ISNUMBER($R26)),$R26&lt;0)),"Use valid duration months","")))))))))</f>
        <v/>
      </c>
      <c r="AQ26" s="41" t="str">
        <f aca="false">IF($AD26=0,"",IF(INDEX(Sources[Response time],$AD26)="","Time not confirmed",TEXT(INDEX(Sources[Response time],$AD26),"h:mm AM/PM")&amp;" "&amp;INDEX(Sources[Time zone],$AD26)))</f>
        <v/>
      </c>
      <c r="AR26" s="41" t="n">
        <f aca="false">IF(AND($I26&lt;&gt;"",OR($AE26=1,$AP26&lt;&gt;"")),1,0)</f>
        <v>0</v>
      </c>
      <c r="AS26" s="41" t="n">
        <f aca="false">IF(AND($A26&lt;&gt;"",$AF26=""),1,0)</f>
        <v>0</v>
      </c>
    </row>
    <row r="27" customFormat="false" ht="48" hidden="false" customHeight="true" outlineLevel="0" collapsed="false">
      <c r="A27" s="39"/>
      <c r="B27" s="39"/>
      <c r="C27" s="39"/>
      <c r="D27" s="39"/>
      <c r="E27" s="40" t="str">
        <f aca="false">IF($AD27=0,"",IF(INDEX(Sources[Response date],$AD27)="","",INDEX(Sources[Response date],$AD27)))</f>
        <v/>
      </c>
      <c r="F27" s="41" t="str">
        <f aca="false">IF($AJ27="","",INDEX(Actions[Action],MATCH($AJ27,Actions[Action ID],0)))</f>
        <v/>
      </c>
      <c r="G27" s="40" t="str">
        <f aca="false">IF($AJ27="","",IF(INDEX(Actions[Due date],MATCH($AJ27,Actions[Action ID],0))="","",INDEX(Actions[Due date],MATCH($AJ27,Actions[Action ID],0))))</f>
        <v/>
      </c>
      <c r="H27" s="42"/>
      <c r="I27" s="41" t="str">
        <f aca="false">IF($A27="",$AF27,_xlfn.TEXTJOIN(CHAR(10),TRUE(),$AP27,$AG27,IF(AND($AE27=1,AND(ISNUMBER(Dashboard!$V$3),Dashboard!$V$3&gt;=1,Dashboard!$V$3&lt;DATE(2099,1,1)),ISNUMBER($E27),$E27&lt;Dashboard!$V$3),"Response date passed",""),IF(AND($AE27=1,$AL27=0),"No next action",""),IF(AND($AE27=1,$AM27&gt;0),"Action needs a date",""),IF($AE27=1,$AN27,""),$AO27,IF($AD27=0,"",INDEX(Sources[Source issue],$AD27))))</f>
        <v/>
      </c>
      <c r="J27" s="39"/>
      <c r="K27" s="39"/>
      <c r="L27" s="41" t="str">
        <f aca="false">IF($AD27=0,"",IF(INDEX(Sources[Agency office],$AD27)="","",INDEX(Sources[Agency office],$AD27)))</f>
        <v/>
      </c>
      <c r="M27" s="41" t="str">
        <f aca="false">IF($AD27=0,"",IF(INDEX(Sources[Solicitation],$AD27)="","",INDEX(Sources[Solicitation],$AD27)))</f>
        <v/>
      </c>
      <c r="N27" s="41" t="str">
        <f aca="false">IF($AD27=0,"",IF(INDEX(Sources[Acquisition route],$AD27)="","",INDEX(Sources[Acquisition route],$AD27)))</f>
        <v/>
      </c>
      <c r="O27" s="41" t="str">
        <f aca="false">IF($AD27=0,"",IF(INDEX(Sources[Location],$AD27)="","",INDEX(Sources[Location],$AD27)))</f>
        <v/>
      </c>
      <c r="P27" s="40" t="str">
        <f aca="false">IF($AD27=0,"",IF(INDEX(Sources[Release period],$AD27)="","",INDEX(Sources[Release period],$AD27)))</f>
        <v/>
      </c>
      <c r="Q27" s="40" t="str">
        <f aca="false">IF($AD27=0,"",IF(INDEX(Sources[Award period],$AD27)="","",INDEX(Sources[Award period],$AD27)))</f>
        <v/>
      </c>
      <c r="R27" s="39"/>
      <c r="S27" s="43"/>
      <c r="T27" s="39"/>
      <c r="U27" s="39"/>
      <c r="V27" s="44"/>
      <c r="W27" s="45" t="str">
        <f aca="false">IF(AND(ISNUMBER($AH27),ISNUMBER($V27),$V27&gt;=0,$V27&lt;=1),ROUND($AH27*$V27,2),"")</f>
        <v/>
      </c>
      <c r="X27" s="39"/>
      <c r="Y27" s="39"/>
      <c r="Z27" s="46" t="str">
        <f aca="false">IF($AD27=0,"",IF(INDEX(Sources[GovTribe URL],$AD27)="","",HYPERLINK(INDEX(Sources[GovTribe URL],$AD27),"Open GovTribe")))</f>
        <v/>
      </c>
      <c r="AA27" s="39"/>
      <c r="AB27" s="39"/>
      <c r="AC27" s="39"/>
      <c r="AD27" s="41" t="n">
        <f aca="false">IF($A27="",0,IF(AND($AB27&lt;&gt;"",COUNTIFS(Sources[Source ID],$AB27,Sources[Pursuit ID],$A27)=1,COUNTIFS(Sources[Source ID],$AB27)=1),MATCH($AB27,Sources[Source ID],0),0))</f>
        <v>0</v>
      </c>
      <c r="AE27" s="41" t="str">
        <f aca="false">IF($AS27=0,"",IF(COUNTIFS(StageMap[Stage],$D27)&lt;&gt;1,"",IF(INDEX(StageMap[Input check],MATCH($D27,StageMap[Stage],0))="",INDEX(StageMap[Active],MATCH($D27,StageMap[Stage],0)),"")))</f>
        <v/>
      </c>
      <c r="AF27" s="41" t="str">
        <f aca="false">IF($A27="",IF(COUNTA(B27:D27,H27,J27:K27,R27:V27,X27:Y27,AA27:AC27)&gt;0,"Missing pursuit ID",""),IF(COUNTIFS(Pursuits[Pursuit ID],$A27)&gt;1,"Duplicate pursuit ID",IF($B27="","Add opportunity name","")))</f>
        <v/>
      </c>
      <c r="AG27" s="41" t="str">
        <f aca="false">IF($A27="","",IF($H27="","",IF(NOT(ISNUMBER($H27)),"Enter a numeric estimate",IF($H27&lt;0,"Estimate cannot be negative",IF($T27&lt;&gt;"Total company contract value","Non-total value excluded",IF($U27="","Add value period",""))))))</f>
        <v/>
      </c>
      <c r="AH27" s="45" t="str">
        <f aca="false">IF(AND($AE27=1,$AG27="",ISNUMBER($H27)),$H27,"")</f>
        <v/>
      </c>
      <c r="AI27" s="41" t="str">
        <f aca="false">IF(AND($AE27=1,AND(ISNUMBER(Dashboard!$V$3),Dashboard!$V$3&gt;=1,Dashboard!$V$3&lt;DATE(2099,1,1)),ISNUMBER($E27),$E27&gt;=1,$E27&lt;DATE(2099,1,1),$E27&gt;=Dashboard!$V$3,$E27&lt;Dashboard!$V$3+30),COUNTIFS(Pursuits[Active],1,Pursuits[Response due],"&gt;="&amp;Dashboard!$V$3,Pursuits[Response due],"&lt;"&amp;$E27)+COUNTIFS(Pursuits[Active],1,Pursuits[Response due],$E27,Pursuits[Pursuit ID],"&lt;"&amp;$A27)+1,"")</f>
        <v/>
      </c>
      <c r="AJ27" s="41" t="str">
        <f aca="false">IF(OR($A27="",$AL27=0),"",INDEX(Actions[Action ID],MATCH($A27&amp;"|1",Actions[Pursuit action key],0)))</f>
        <v/>
      </c>
      <c r="AK27" s="41" t="str">
        <f aca="false">IF($AR27&lt;&gt;1,"",COUNTIFS(Pursuits[Review candidate],1,Pursuits[Pursuit ID],"&lt;"&amp;$A27)+COUNTIFS($A$8:$A27,$A27,$AR$8:$AR27,1))</f>
        <v/>
      </c>
      <c r="AL27" s="41" t="str">
        <f aca="false">IF($A27="","",COUNTIFS(Actions[Pursuit ID],$A27,Actions[Open action],1))</f>
        <v/>
      </c>
      <c r="AM27" s="41" t="str">
        <f aca="false">IF($A27="","",COUNTIFS(Actions[Pursuit ID],$A27,Actions[Open action],1,Actions[Sort date],DATE(9999,12,31)))</f>
        <v/>
      </c>
      <c r="AN27" s="41" t="str">
        <f aca="false">IF($AD27=0,"",IF($AC27="","Source not reviewed",IF($AC27&lt;&gt;INDEX(Sources[Source updated],$AD27),"Source changed","")))</f>
        <v/>
      </c>
      <c r="AO27" s="41" t="str">
        <f aca="false">IF(OR($AE27&lt;&gt;1,NOT(AND(ISNUMBER(Dashboard!$V$3),Dashboard!$V$3&gt;=1,Dashboard!$V$3&lt;DATE(2099,1,1)))),"",IF($S27="","Not reviewed",IF(NOT(ISNUMBER($S27)),"Use a real review date",IF($S27&gt;Dashboard!$V$3,"Review date is in future",IF(AND(ISNUMBER('Source Data'!$AE$36),'Source Data'!$AE$36&gt;0),IF(Dashboard!$V$3-$S27&gt;'Source Data'!$AE$36,"Review is overdue",""),"Set review interval")))))</f>
        <v/>
      </c>
      <c r="AP27" s="41" t="str">
        <f aca="false">IF($AF27&lt;&gt;"",$AF27,IF($A27="","",IF(COUNTIFS(StageMap[Stage],$D27)&lt;&gt;1,"Choose a valid stage",IF(NOT(ISNUMBER($AE27)),"Check stage settings",IF($AB27="","Add source ID",IF($AD27=0,"Source link needs review",IF(INDEX(Sources[Input check],$AD27)&lt;&gt;"",INDEX(Sources[Input check],$AD27),IF(AND($V27&lt;&gt;"",OR(NOT(ISNUMBER($V27)),$V27&lt;0,$V27&gt;1)),"Probability must be 0 to 100%",IF(AND($R27&lt;&gt;"",OR(NOT(ISNUMBER($R27)),$R27&lt;0)),"Use valid duration months","")))))))))</f>
        <v/>
      </c>
      <c r="AQ27" s="41" t="str">
        <f aca="false">IF($AD27=0,"",IF(INDEX(Sources[Response time],$AD27)="","Time not confirmed",TEXT(INDEX(Sources[Response time],$AD27),"h:mm AM/PM")&amp;" "&amp;INDEX(Sources[Time zone],$AD27)))</f>
        <v/>
      </c>
      <c r="AR27" s="41" t="n">
        <f aca="false">IF(AND($I27&lt;&gt;"",OR($AE27=1,$AP27&lt;&gt;"")),1,0)</f>
        <v>0</v>
      </c>
      <c r="AS27" s="41" t="n">
        <f aca="false">IF(AND($A27&lt;&gt;"",$AF27=""),1,0)</f>
        <v>0</v>
      </c>
    </row>
  </sheetData>
  <mergeCells count="3">
    <mergeCell ref="A2:B2"/>
    <mergeCell ref="C4:F4"/>
    <mergeCell ref="C5:I5"/>
  </mergeCells>
  <conditionalFormatting sqref="I8:I27">
    <cfRule type="expression" priority="2" aboveAverage="0" equalAverage="0" bottom="0" percent="0" rank="0" text="" dxfId="54">
      <formula>LEN(I8)&gt;0</formula>
    </cfRule>
  </conditionalFormatting>
  <conditionalFormatting sqref="E8:E5007">
    <cfRule type="expression" priority="3" aboveAverage="0" equalAverage="0" bottom="0" percent="0" rank="0" text="" dxfId="55">
      <formula>AND(ISNUMBER(E8),E8&lt;Dashboard!$V$3,AE8=1)</formula>
    </cfRule>
  </conditionalFormatting>
  <dataValidations count="4">
    <dataValidation type="list" allowBlank="1" showErrorMessage="1" errorStyle="stop" errorTitle="Check this input" error="Use a valid value for this field." sqref="D8:D5007">
      <formula1>StageNames</formula1>
    </dataValidation>
    <dataValidation type="list" allowBlank="1" showErrorMessage="1" errorStyle="stop" errorTitle="Check this input" error="Use a valid value for this field." sqref="T8:T5007">
      <formula1>"Total company contract value,Annual value,Unknown"</formula1>
    </dataValidation>
    <dataValidation type="decimal" allowBlank="1" showErrorMessage="1" errorStyle="stop" errorTitle="Check this input" error="Use a valid value for this field." sqref="V8:V5007" operator="between">
      <formula1>0</formula1>
      <formula2>1</formula2>
    </dataValidation>
    <dataValidation type="decimal" allowBlank="1" showErrorMessage="1" errorStyle="stop" errorTitle="Check this input" error="Use a valid value for this field." sqref="H8:H5007" operator="between">
      <formula1>0</formula1>
      <formula2>1000000000000</formula2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&amp;L&amp;"Arial,Bold"&amp;11Pipeline</oddHeader>
    <oddFooter>&amp;LPipeline&amp;RPage &amp;P of &amp;N</oddFooter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Q27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1" min="1" style="0" width="9.79"/>
    <col customWidth="true" max="2" min="2" style="0" width="10"/>
    <col customWidth="true" max="3" min="3" style="0" width="26.11"/>
    <col customWidth="true" max="4" min="4" style="0" width="33.33"/>
    <col customWidth="true" max="5" min="5" style="0" width="11.67"/>
    <col customWidth="true" max="6" min="6" style="0" width="12.78"/>
    <col customWidth="true" max="7" min="7" style="0" width="35.56" hidden="1" outlineLevel="1"/>
    <col customWidth="true" max="8" min="8" style="0" width="15.56" hidden="1" outlineLevel="1"/>
    <col customWidth="true" max="9" min="9" style="0" width="13.34" hidden="1" outlineLevel="1"/>
    <col customWidth="true" max="10" min="10" style="0" width="24.44"/>
    <col customWidth="true" max="11" min="11" style="0" width="11.11" hidden="1" outlineLevel="1"/>
    <col customWidth="true" max="12" min="12" style="0" width="11.11" hidden="1" outlineLevel="1"/>
    <col customWidth="true" max="13" min="13" style="0" width="11.11" hidden="1" outlineLevel="1"/>
    <col customWidth="true" max="14" min="14" style="0" width="12.22" hidden="1" outlineLevel="1"/>
    <col customWidth="true" max="15" min="15" style="0" width="11.67" hidden="1" outlineLevel="1"/>
    <col customWidth="true" max="16" min="16" style="0" width="18.89" hidden="1" outlineLevel="1"/>
    <col customWidth="true" max="17" min="17" style="0" width="21.11" hidden="1" outlineLevel="1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47"/>
    </row>
    <row r="2" customFormat="false" ht="30" hidden="false" customHeight="true" outlineLevel="0" collapsed="false">
      <c r="A2" s="33" t="s">
        <v>28</v>
      </c>
      <c r="B2" s="33" t="s">
        <v>28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47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47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31</v>
      </c>
      <c r="D4" s="36" t="s">
        <v>31</v>
      </c>
      <c r="E4" s="36" t="s">
        <v>31</v>
      </c>
      <c r="F4" s="36" t="s">
        <v>31</v>
      </c>
      <c r="G4" s="32"/>
      <c r="H4" s="32"/>
      <c r="I4" s="32"/>
      <c r="J4" s="32"/>
      <c r="K4" s="32"/>
      <c r="L4" s="32"/>
      <c r="M4" s="32"/>
      <c r="N4" s="32"/>
      <c r="O4" s="32"/>
      <c r="P4" s="32"/>
      <c r="Q4" s="47"/>
    </row>
    <row r="5" customFormat="false" ht="9" hidden="false" customHeight="true" outlineLevel="0" collapsed="false">
      <c r="A5" s="32"/>
      <c r="B5" s="32"/>
      <c r="C5" s="32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47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47"/>
    </row>
    <row r="7" customFormat="false" ht="34" hidden="false" customHeight="true" outlineLevel="0" collapsed="false">
      <c r="A7" s="38" t="s">
        <v>74</v>
      </c>
      <c r="B7" s="38" t="s">
        <v>33</v>
      </c>
      <c r="C7" s="38" t="s">
        <v>22</v>
      </c>
      <c r="D7" s="38" t="s">
        <v>23</v>
      </c>
      <c r="E7" s="38" t="s">
        <v>75</v>
      </c>
      <c r="F7" s="38" t="s">
        <v>25</v>
      </c>
      <c r="G7" s="38" t="s">
        <v>76</v>
      </c>
      <c r="H7" s="38" t="s">
        <v>54</v>
      </c>
      <c r="I7" s="38" t="s">
        <v>77</v>
      </c>
      <c r="J7" s="38" t="s">
        <v>39</v>
      </c>
      <c r="K7" s="38" t="s">
        <v>78</v>
      </c>
      <c r="L7" s="38" t="s">
        <v>79</v>
      </c>
      <c r="M7" s="38" t="s">
        <v>80</v>
      </c>
      <c r="N7" s="38" t="s">
        <v>81</v>
      </c>
      <c r="O7" s="38" t="s">
        <v>82</v>
      </c>
      <c r="P7" s="38" t="s">
        <v>61</v>
      </c>
      <c r="Q7" s="47" t="s">
        <v>83</v>
      </c>
    </row>
    <row r="8" customFormat="false" ht="38" hidden="false" customHeight="true" outlineLevel="0" collapsed="false">
      <c r="A8" s="39"/>
      <c r="B8" s="39"/>
      <c r="C8" s="41" t="str">
        <f aca="false">IF(COUNTIFS(Pursuits[Pursuit ID],$B8)&lt;&gt;1,"",INDEX(Pursuits[Opportunity],MATCH($B8,Pursuits[Pursuit ID],0)))</f>
        <v/>
      </c>
      <c r="D8" s="39"/>
      <c r="E8" s="43"/>
      <c r="F8" s="39"/>
      <c r="G8" s="39"/>
      <c r="H8" s="39"/>
      <c r="I8" s="43"/>
      <c r="J8" s="41" t="str">
        <f aca="false">IF($P8&lt;&gt;"",$P8,IF($A8="","",IF(COUNTIFS(WorkStatuses[Status],$F8)&lt;&gt;1,"Choose a status",IF(INDEX(WorkStatuses[Input check],MATCH($F8,WorkStatuses[Status],0))&lt;&gt;"","Check status settings",_xlfn.TEXTJOIN(CHAR(10),TRUE(),IF(AND(INDEX(WorkStatuses[Complete],MATCH($F8,WorkStatuses[Status],0))=0,$E8=""),"Add due date",""),IF(AND($E8&lt;&gt;"",OR(NOT(ISNUMBER($E8)),$E8&lt;1,$E8&gt;=DATE(2099,1,1))),"Use a valid due date",""),IF(AND(INDEX(WorkStatuses[Complete],MATCH($F8,WorkStatuses[Status],0))=1,$I8=""),"Add completed date",""),IF(AND($I8&lt;&gt;"",OR(NOT(ISNUMBER($I8)),$I8&lt;1,$I8&gt;=DATE(2099,1,1))),"Use a valid completed date",""),IF(AND(INDEX(WorkStatuses[Complete],MATCH($F8,WorkStatuses[Status],0))=0,$I8&lt;&gt;""),"Check status and completed date",""),IF(AND(AND(ISNUMBER(Dashboard!$V$3),Dashboard!$V$3&gt;=1,Dashboard!$V$3&lt;DATE(2099,1,1)),ISNUMBER($I8),$I8&gt;Dashboard!$V$3),"Completed date is in future",""))))))</f>
        <v/>
      </c>
      <c r="K8" s="41" t="n">
        <f aca="false">IF($P8&lt;&gt;"",0,IF($A8="",0,SUMIFS(Pursuits[Active],Pursuits[Pursuit ID],$B8)))</f>
        <v>0</v>
      </c>
      <c r="L8" s="41" t="n">
        <f aca="false">IF(AND($A8&lt;&gt;"",$P8="",COUNTIFS(WorkStatuses[Status],$F8)=1),IF(INDEX(WorkStatuses[Input check],MATCH($F8,WorkStatuses[Status],0))&lt;&gt;"",0,IF(INDEX(WorkStatuses[Complete],MATCH($F8,WorkStatuses[Status],0))=0,1,0)),0)</f>
        <v>0</v>
      </c>
      <c r="M8" s="41" t="str">
        <f aca="false">IF($L8=0,"",IF(AND(ISNUMBER($E8),$E8&gt;=1,$E8&lt;DATE(2099,1,1)),$E8,DATE(9999,12,31)))</f>
        <v/>
      </c>
      <c r="N8" s="41" t="str">
        <f aca="false">IF(AND($L8=1,$K8=1),COUNTIFS(Actions[Open action],1,Actions[Active pursuit],1,Actions[Sort date],"&lt;"&amp;$M8)+COUNTIFS(Actions[Open action],1,Actions[Active pursuit],1,Actions[Sort date],$M8,Actions[Action ID],"&lt;"&amp;$A8)+1,"")</f>
        <v/>
      </c>
      <c r="O8" s="41" t="str">
        <f aca="false">IF($L8&lt;&gt;1,"",COUNTIFS(Actions[Open action],1,Actions[Pursuit ID],$B8,Actions[Sort date],"&lt;"&amp;$M8)+COUNTIFS(Actions[Open action],1,Actions[Pursuit ID],$B8,Actions[Sort date],$M8,Actions[Action ID],"&lt;"&amp;$A8)+1)</f>
        <v/>
      </c>
      <c r="P8" s="41" t="str">
        <f aca="false">IF($A8="",IF(COUNTA(B8,D8:I8)&gt;0,"Missing action ID",""),IF(COUNTIFS(Actions[Action ID],$A8)&gt;1,"Duplicate action ID",IF(COUNTIFS(Pursuits[Pursuit ID],$B8)&lt;&gt;1,"Pursuit link needs review",IF($D8="","Add action text",""))))</f>
        <v/>
      </c>
      <c r="Q8" s="47" t="str">
        <f aca="false">IF($L8=1,$B8&amp;"|"&amp;$O8,"")</f>
        <v/>
      </c>
    </row>
    <row r="9" customFormat="false" ht="38" hidden="false" customHeight="true" outlineLevel="0" collapsed="false">
      <c r="A9" s="39"/>
      <c r="B9" s="39"/>
      <c r="C9" s="41" t="str">
        <f aca="false">IF(COUNTIFS(Pursuits[Pursuit ID],$B9)&lt;&gt;1,"",INDEX(Pursuits[Opportunity],MATCH($B9,Pursuits[Pursuit ID],0)))</f>
        <v/>
      </c>
      <c r="D9" s="39"/>
      <c r="E9" s="43"/>
      <c r="F9" s="39"/>
      <c r="G9" s="39"/>
      <c r="H9" s="39"/>
      <c r="I9" s="43"/>
      <c r="J9" s="41" t="str">
        <f aca="false">IF($P9&lt;&gt;"",$P9,IF($A9="","",IF(COUNTIFS(WorkStatuses[Status],$F9)&lt;&gt;1,"Choose a status",IF(INDEX(WorkStatuses[Input check],MATCH($F9,WorkStatuses[Status],0))&lt;&gt;"","Check status settings",_xlfn.TEXTJOIN(CHAR(10),TRUE(),IF(AND(INDEX(WorkStatuses[Complete],MATCH($F9,WorkStatuses[Status],0))=0,$E9=""),"Add due date",""),IF(AND($E9&lt;&gt;"",OR(NOT(ISNUMBER($E9)),$E9&lt;1,$E9&gt;=DATE(2099,1,1))),"Use a valid due date",""),IF(AND(INDEX(WorkStatuses[Complete],MATCH($F9,WorkStatuses[Status],0))=1,$I9=""),"Add completed date",""),IF(AND($I9&lt;&gt;"",OR(NOT(ISNUMBER($I9)),$I9&lt;1,$I9&gt;=DATE(2099,1,1))),"Use a valid completed date",""),IF(AND(INDEX(WorkStatuses[Complete],MATCH($F9,WorkStatuses[Status],0))=0,$I9&lt;&gt;""),"Check status and completed date",""),IF(AND(AND(ISNUMBER(Dashboard!$V$3),Dashboard!$V$3&gt;=1,Dashboard!$V$3&lt;DATE(2099,1,1)),ISNUMBER($I9),$I9&gt;Dashboard!$V$3),"Completed date is in future",""))))))</f>
        <v/>
      </c>
      <c r="K9" s="41" t="n">
        <f aca="false">IF($P9&lt;&gt;"",0,IF($A9="",0,SUMIFS(Pursuits[Active],Pursuits[Pursuit ID],$B9)))</f>
        <v>0</v>
      </c>
      <c r="L9" s="41" t="n">
        <f aca="false">IF(AND($A9&lt;&gt;"",$P9="",COUNTIFS(WorkStatuses[Status],$F9)=1),IF(INDEX(WorkStatuses[Input check],MATCH($F9,WorkStatuses[Status],0))&lt;&gt;"",0,IF(INDEX(WorkStatuses[Complete],MATCH($F9,WorkStatuses[Status],0))=0,1,0)),0)</f>
        <v>0</v>
      </c>
      <c r="M9" s="41" t="str">
        <f aca="false">IF($L9=0,"",IF(AND(ISNUMBER($E9),$E9&gt;=1,$E9&lt;DATE(2099,1,1)),$E9,DATE(9999,12,31)))</f>
        <v/>
      </c>
      <c r="N9" s="41" t="str">
        <f aca="false">IF(AND($L9=1,$K9=1),COUNTIFS(Actions[Open action],1,Actions[Active pursuit],1,Actions[Sort date],"&lt;"&amp;$M9)+COUNTIFS(Actions[Open action],1,Actions[Active pursuit],1,Actions[Sort date],$M9,Actions[Action ID],"&lt;"&amp;$A9)+1,"")</f>
        <v/>
      </c>
      <c r="O9" s="41" t="str">
        <f aca="false">IF($L9&lt;&gt;1,"",COUNTIFS(Actions[Open action],1,Actions[Pursuit ID],$B9,Actions[Sort date],"&lt;"&amp;$M9)+COUNTIFS(Actions[Open action],1,Actions[Pursuit ID],$B9,Actions[Sort date],$M9,Actions[Action ID],"&lt;"&amp;$A9)+1)</f>
        <v/>
      </c>
      <c r="P9" s="41" t="str">
        <f aca="false">IF($A9="",IF(COUNTA(B9,D9:I9)&gt;0,"Missing action ID",""),IF(COUNTIFS(Actions[Action ID],$A9)&gt;1,"Duplicate action ID",IF(COUNTIFS(Pursuits[Pursuit ID],$B9)&lt;&gt;1,"Pursuit link needs review",IF($D9="","Add action text",""))))</f>
        <v/>
      </c>
      <c r="Q9" s="47" t="str">
        <f aca="false">IF($L9=1,$B9&amp;"|"&amp;$O9,"")</f>
        <v/>
      </c>
    </row>
    <row r="10" customFormat="false" ht="38" hidden="false" customHeight="true" outlineLevel="0" collapsed="false">
      <c r="A10" s="39"/>
      <c r="B10" s="39"/>
      <c r="C10" s="41" t="str">
        <f aca="false">IF(COUNTIFS(Pursuits[Pursuit ID],$B10)&lt;&gt;1,"",INDEX(Pursuits[Opportunity],MATCH($B10,Pursuits[Pursuit ID],0)))</f>
        <v/>
      </c>
      <c r="D10" s="39"/>
      <c r="E10" s="43"/>
      <c r="F10" s="39"/>
      <c r="G10" s="39"/>
      <c r="H10" s="39"/>
      <c r="I10" s="43"/>
      <c r="J10" s="41" t="str">
        <f aca="false">IF($P10&lt;&gt;"",$P10,IF($A10="","",IF(COUNTIFS(WorkStatuses[Status],$F10)&lt;&gt;1,"Choose a status",IF(INDEX(WorkStatuses[Input check],MATCH($F10,WorkStatuses[Status],0))&lt;&gt;"","Check status settings",_xlfn.TEXTJOIN(CHAR(10),TRUE(),IF(AND(INDEX(WorkStatuses[Complete],MATCH($F10,WorkStatuses[Status],0))=0,$E10=""),"Add due date",""),IF(AND($E10&lt;&gt;"",OR(NOT(ISNUMBER($E10)),$E10&lt;1,$E10&gt;=DATE(2099,1,1))),"Use a valid due date",""),IF(AND(INDEX(WorkStatuses[Complete],MATCH($F10,WorkStatuses[Status],0))=1,$I10=""),"Add completed date",""),IF(AND($I10&lt;&gt;"",OR(NOT(ISNUMBER($I10)),$I10&lt;1,$I10&gt;=DATE(2099,1,1))),"Use a valid completed date",""),IF(AND(INDEX(WorkStatuses[Complete],MATCH($F10,WorkStatuses[Status],0))=0,$I10&lt;&gt;""),"Check status and completed date",""),IF(AND(AND(ISNUMBER(Dashboard!$V$3),Dashboard!$V$3&gt;=1,Dashboard!$V$3&lt;DATE(2099,1,1)),ISNUMBER($I10),$I10&gt;Dashboard!$V$3),"Completed date is in future",""))))))</f>
        <v/>
      </c>
      <c r="K10" s="41" t="n">
        <f aca="false">IF($P10&lt;&gt;"",0,IF($A10="",0,SUMIFS(Pursuits[Active],Pursuits[Pursuit ID],$B10)))</f>
        <v>0</v>
      </c>
      <c r="L10" s="41" t="n">
        <f aca="false">IF(AND($A10&lt;&gt;"",$P10="",COUNTIFS(WorkStatuses[Status],$F10)=1),IF(INDEX(WorkStatuses[Input check],MATCH($F10,WorkStatuses[Status],0))&lt;&gt;"",0,IF(INDEX(WorkStatuses[Complete],MATCH($F10,WorkStatuses[Status],0))=0,1,0)),0)</f>
        <v>0</v>
      </c>
      <c r="M10" s="41" t="str">
        <f aca="false">IF($L10=0,"",IF(AND(ISNUMBER($E10),$E10&gt;=1,$E10&lt;DATE(2099,1,1)),$E10,DATE(9999,12,31)))</f>
        <v/>
      </c>
      <c r="N10" s="41" t="str">
        <f aca="false">IF(AND($L10=1,$K10=1),COUNTIFS(Actions[Open action],1,Actions[Active pursuit],1,Actions[Sort date],"&lt;"&amp;$M10)+COUNTIFS(Actions[Open action],1,Actions[Active pursuit],1,Actions[Sort date],$M10,Actions[Action ID],"&lt;"&amp;$A10)+1,"")</f>
        <v/>
      </c>
      <c r="O10" s="41" t="str">
        <f aca="false">IF($L10&lt;&gt;1,"",COUNTIFS(Actions[Open action],1,Actions[Pursuit ID],$B10,Actions[Sort date],"&lt;"&amp;$M10)+COUNTIFS(Actions[Open action],1,Actions[Pursuit ID],$B10,Actions[Sort date],$M10,Actions[Action ID],"&lt;"&amp;$A10)+1)</f>
        <v/>
      </c>
      <c r="P10" s="41" t="str">
        <f aca="false">IF($A10="",IF(COUNTA(B10,D10:I10)&gt;0,"Missing action ID",""),IF(COUNTIFS(Actions[Action ID],$A10)&gt;1,"Duplicate action ID",IF(COUNTIFS(Pursuits[Pursuit ID],$B10)&lt;&gt;1,"Pursuit link needs review",IF($D10="","Add action text",""))))</f>
        <v/>
      </c>
      <c r="Q10" s="47" t="str">
        <f aca="false">IF($L10=1,$B10&amp;"|"&amp;$O10,"")</f>
        <v/>
      </c>
    </row>
    <row r="11" customFormat="false" ht="38" hidden="false" customHeight="true" outlineLevel="0" collapsed="false">
      <c r="A11" s="39"/>
      <c r="B11" s="39"/>
      <c r="C11" s="41" t="str">
        <f aca="false">IF(COUNTIFS(Pursuits[Pursuit ID],$B11)&lt;&gt;1,"",INDEX(Pursuits[Opportunity],MATCH($B11,Pursuits[Pursuit ID],0)))</f>
        <v/>
      </c>
      <c r="D11" s="39"/>
      <c r="E11" s="43"/>
      <c r="F11" s="39"/>
      <c r="G11" s="39"/>
      <c r="H11" s="39"/>
      <c r="I11" s="43"/>
      <c r="J11" s="41" t="str">
        <f aca="false">IF($P11&lt;&gt;"",$P11,IF($A11="","",IF(COUNTIFS(WorkStatuses[Status],$F11)&lt;&gt;1,"Choose a status",IF(INDEX(WorkStatuses[Input check],MATCH($F11,WorkStatuses[Status],0))&lt;&gt;"","Check status settings",_xlfn.TEXTJOIN(CHAR(10),TRUE(),IF(AND(INDEX(WorkStatuses[Complete],MATCH($F11,WorkStatuses[Status],0))=0,$E11=""),"Add due date",""),IF(AND($E11&lt;&gt;"",OR(NOT(ISNUMBER($E11)),$E11&lt;1,$E11&gt;=DATE(2099,1,1))),"Use a valid due date",""),IF(AND(INDEX(WorkStatuses[Complete],MATCH($F11,WorkStatuses[Status],0))=1,$I11=""),"Add completed date",""),IF(AND($I11&lt;&gt;"",OR(NOT(ISNUMBER($I11)),$I11&lt;1,$I11&gt;=DATE(2099,1,1))),"Use a valid completed date",""),IF(AND(INDEX(WorkStatuses[Complete],MATCH($F11,WorkStatuses[Status],0))=0,$I11&lt;&gt;""),"Check status and completed date",""),IF(AND(AND(ISNUMBER(Dashboard!$V$3),Dashboard!$V$3&gt;=1,Dashboard!$V$3&lt;DATE(2099,1,1)),ISNUMBER($I11),$I11&gt;Dashboard!$V$3),"Completed date is in future",""))))))</f>
        <v/>
      </c>
      <c r="K11" s="41" t="n">
        <f aca="false">IF($P11&lt;&gt;"",0,IF($A11="",0,SUMIFS(Pursuits[Active],Pursuits[Pursuit ID],$B11)))</f>
        <v>0</v>
      </c>
      <c r="L11" s="41" t="n">
        <f aca="false">IF(AND($A11&lt;&gt;"",$P11="",COUNTIFS(WorkStatuses[Status],$F11)=1),IF(INDEX(WorkStatuses[Input check],MATCH($F11,WorkStatuses[Status],0))&lt;&gt;"",0,IF(INDEX(WorkStatuses[Complete],MATCH($F11,WorkStatuses[Status],0))=0,1,0)),0)</f>
        <v>0</v>
      </c>
      <c r="M11" s="41" t="str">
        <f aca="false">IF($L11=0,"",IF(AND(ISNUMBER($E11),$E11&gt;=1,$E11&lt;DATE(2099,1,1)),$E11,DATE(9999,12,31)))</f>
        <v/>
      </c>
      <c r="N11" s="41" t="str">
        <f aca="false">IF(AND($L11=1,$K11=1),COUNTIFS(Actions[Open action],1,Actions[Active pursuit],1,Actions[Sort date],"&lt;"&amp;$M11)+COUNTIFS(Actions[Open action],1,Actions[Active pursuit],1,Actions[Sort date],$M11,Actions[Action ID],"&lt;"&amp;$A11)+1,"")</f>
        <v/>
      </c>
      <c r="O11" s="41" t="str">
        <f aca="false">IF($L11&lt;&gt;1,"",COUNTIFS(Actions[Open action],1,Actions[Pursuit ID],$B11,Actions[Sort date],"&lt;"&amp;$M11)+COUNTIFS(Actions[Open action],1,Actions[Pursuit ID],$B11,Actions[Sort date],$M11,Actions[Action ID],"&lt;"&amp;$A11)+1)</f>
        <v/>
      </c>
      <c r="P11" s="41" t="str">
        <f aca="false">IF($A11="",IF(COUNTA(B11,D11:I11)&gt;0,"Missing action ID",""),IF(COUNTIFS(Actions[Action ID],$A11)&gt;1,"Duplicate action ID",IF(COUNTIFS(Pursuits[Pursuit ID],$B11)&lt;&gt;1,"Pursuit link needs review",IF($D11="","Add action text",""))))</f>
        <v/>
      </c>
      <c r="Q11" s="47" t="str">
        <f aca="false">IF($L11=1,$B11&amp;"|"&amp;$O11,"")</f>
        <v/>
      </c>
    </row>
    <row r="12" customFormat="false" ht="38" hidden="false" customHeight="true" outlineLevel="0" collapsed="false">
      <c r="A12" s="39"/>
      <c r="B12" s="39"/>
      <c r="C12" s="41" t="str">
        <f aca="false">IF(COUNTIFS(Pursuits[Pursuit ID],$B12)&lt;&gt;1,"",INDEX(Pursuits[Opportunity],MATCH($B12,Pursuits[Pursuit ID],0)))</f>
        <v/>
      </c>
      <c r="D12" s="39"/>
      <c r="E12" s="43"/>
      <c r="F12" s="39"/>
      <c r="G12" s="39"/>
      <c r="H12" s="39"/>
      <c r="I12" s="43"/>
      <c r="J12" s="41" t="str">
        <f aca="false">IF($P12&lt;&gt;"",$P12,IF($A12="","",IF(COUNTIFS(WorkStatuses[Status],$F12)&lt;&gt;1,"Choose a status",IF(INDEX(WorkStatuses[Input check],MATCH($F12,WorkStatuses[Status],0))&lt;&gt;"","Check status settings",_xlfn.TEXTJOIN(CHAR(10),TRUE(),IF(AND(INDEX(WorkStatuses[Complete],MATCH($F12,WorkStatuses[Status],0))=0,$E12=""),"Add due date",""),IF(AND($E12&lt;&gt;"",OR(NOT(ISNUMBER($E12)),$E12&lt;1,$E12&gt;=DATE(2099,1,1))),"Use a valid due date",""),IF(AND(INDEX(WorkStatuses[Complete],MATCH($F12,WorkStatuses[Status],0))=1,$I12=""),"Add completed date",""),IF(AND($I12&lt;&gt;"",OR(NOT(ISNUMBER($I12)),$I12&lt;1,$I12&gt;=DATE(2099,1,1))),"Use a valid completed date",""),IF(AND(INDEX(WorkStatuses[Complete],MATCH($F12,WorkStatuses[Status],0))=0,$I12&lt;&gt;""),"Check status and completed date",""),IF(AND(AND(ISNUMBER(Dashboard!$V$3),Dashboard!$V$3&gt;=1,Dashboard!$V$3&lt;DATE(2099,1,1)),ISNUMBER($I12),$I12&gt;Dashboard!$V$3),"Completed date is in future",""))))))</f>
        <v/>
      </c>
      <c r="K12" s="41" t="n">
        <f aca="false">IF($P12&lt;&gt;"",0,IF($A12="",0,SUMIFS(Pursuits[Active],Pursuits[Pursuit ID],$B12)))</f>
        <v>0</v>
      </c>
      <c r="L12" s="41" t="n">
        <f aca="false">IF(AND($A12&lt;&gt;"",$P12="",COUNTIFS(WorkStatuses[Status],$F12)=1),IF(INDEX(WorkStatuses[Input check],MATCH($F12,WorkStatuses[Status],0))&lt;&gt;"",0,IF(INDEX(WorkStatuses[Complete],MATCH($F12,WorkStatuses[Status],0))=0,1,0)),0)</f>
        <v>0</v>
      </c>
      <c r="M12" s="41" t="str">
        <f aca="false">IF($L12=0,"",IF(AND(ISNUMBER($E12),$E12&gt;=1,$E12&lt;DATE(2099,1,1)),$E12,DATE(9999,12,31)))</f>
        <v/>
      </c>
      <c r="N12" s="41" t="str">
        <f aca="false">IF(AND($L12=1,$K12=1),COUNTIFS(Actions[Open action],1,Actions[Active pursuit],1,Actions[Sort date],"&lt;"&amp;$M12)+COUNTIFS(Actions[Open action],1,Actions[Active pursuit],1,Actions[Sort date],$M12,Actions[Action ID],"&lt;"&amp;$A12)+1,"")</f>
        <v/>
      </c>
      <c r="O12" s="41" t="str">
        <f aca="false">IF($L12&lt;&gt;1,"",COUNTIFS(Actions[Open action],1,Actions[Pursuit ID],$B12,Actions[Sort date],"&lt;"&amp;$M12)+COUNTIFS(Actions[Open action],1,Actions[Pursuit ID],$B12,Actions[Sort date],$M12,Actions[Action ID],"&lt;"&amp;$A12)+1)</f>
        <v/>
      </c>
      <c r="P12" s="41" t="str">
        <f aca="false">IF($A12="",IF(COUNTA(B12,D12:I12)&gt;0,"Missing action ID",""),IF(COUNTIFS(Actions[Action ID],$A12)&gt;1,"Duplicate action ID",IF(COUNTIFS(Pursuits[Pursuit ID],$B12)&lt;&gt;1,"Pursuit link needs review",IF($D12="","Add action text",""))))</f>
        <v/>
      </c>
      <c r="Q12" s="47" t="str">
        <f aca="false">IF($L12=1,$B12&amp;"|"&amp;$O12,"")</f>
        <v/>
      </c>
    </row>
    <row r="13" customFormat="false" ht="38" hidden="false" customHeight="true" outlineLevel="0" collapsed="false">
      <c r="A13" s="39"/>
      <c r="B13" s="39"/>
      <c r="C13" s="41" t="str">
        <f aca="false">IF(COUNTIFS(Pursuits[Pursuit ID],$B13)&lt;&gt;1,"",INDEX(Pursuits[Opportunity],MATCH($B13,Pursuits[Pursuit ID],0)))</f>
        <v/>
      </c>
      <c r="D13" s="39"/>
      <c r="E13" s="43"/>
      <c r="F13" s="39"/>
      <c r="G13" s="39"/>
      <c r="H13" s="39"/>
      <c r="I13" s="43"/>
      <c r="J13" s="41" t="str">
        <f aca="false">IF($P13&lt;&gt;"",$P13,IF($A13="","",IF(COUNTIFS(WorkStatuses[Status],$F13)&lt;&gt;1,"Choose a status",IF(INDEX(WorkStatuses[Input check],MATCH($F13,WorkStatuses[Status],0))&lt;&gt;"","Check status settings",_xlfn.TEXTJOIN(CHAR(10),TRUE(),IF(AND(INDEX(WorkStatuses[Complete],MATCH($F13,WorkStatuses[Status],0))=0,$E13=""),"Add due date",""),IF(AND($E13&lt;&gt;"",OR(NOT(ISNUMBER($E13)),$E13&lt;1,$E13&gt;=DATE(2099,1,1))),"Use a valid due date",""),IF(AND(INDEX(WorkStatuses[Complete],MATCH($F13,WorkStatuses[Status],0))=1,$I13=""),"Add completed date",""),IF(AND($I13&lt;&gt;"",OR(NOT(ISNUMBER($I13)),$I13&lt;1,$I13&gt;=DATE(2099,1,1))),"Use a valid completed date",""),IF(AND(INDEX(WorkStatuses[Complete],MATCH($F13,WorkStatuses[Status],0))=0,$I13&lt;&gt;""),"Check status and completed date",""),IF(AND(AND(ISNUMBER(Dashboard!$V$3),Dashboard!$V$3&gt;=1,Dashboard!$V$3&lt;DATE(2099,1,1)),ISNUMBER($I13),$I13&gt;Dashboard!$V$3),"Completed date is in future",""))))))</f>
        <v/>
      </c>
      <c r="K13" s="41" t="n">
        <f aca="false">IF($P13&lt;&gt;"",0,IF($A13="",0,SUMIFS(Pursuits[Active],Pursuits[Pursuit ID],$B13)))</f>
        <v>0</v>
      </c>
      <c r="L13" s="41" t="n">
        <f aca="false">IF(AND($A13&lt;&gt;"",$P13="",COUNTIFS(WorkStatuses[Status],$F13)=1),IF(INDEX(WorkStatuses[Input check],MATCH($F13,WorkStatuses[Status],0))&lt;&gt;"",0,IF(INDEX(WorkStatuses[Complete],MATCH($F13,WorkStatuses[Status],0))=0,1,0)),0)</f>
        <v>0</v>
      </c>
      <c r="M13" s="41" t="str">
        <f aca="false">IF($L13=0,"",IF(AND(ISNUMBER($E13),$E13&gt;=1,$E13&lt;DATE(2099,1,1)),$E13,DATE(9999,12,31)))</f>
        <v/>
      </c>
      <c r="N13" s="41" t="str">
        <f aca="false">IF(AND($L13=1,$K13=1),COUNTIFS(Actions[Open action],1,Actions[Active pursuit],1,Actions[Sort date],"&lt;"&amp;$M13)+COUNTIFS(Actions[Open action],1,Actions[Active pursuit],1,Actions[Sort date],$M13,Actions[Action ID],"&lt;"&amp;$A13)+1,"")</f>
        <v/>
      </c>
      <c r="O13" s="41" t="str">
        <f aca="false">IF($L13&lt;&gt;1,"",COUNTIFS(Actions[Open action],1,Actions[Pursuit ID],$B13,Actions[Sort date],"&lt;"&amp;$M13)+COUNTIFS(Actions[Open action],1,Actions[Pursuit ID],$B13,Actions[Sort date],$M13,Actions[Action ID],"&lt;"&amp;$A13)+1)</f>
        <v/>
      </c>
      <c r="P13" s="41" t="str">
        <f aca="false">IF($A13="",IF(COUNTA(B13,D13:I13)&gt;0,"Missing action ID",""),IF(COUNTIFS(Actions[Action ID],$A13)&gt;1,"Duplicate action ID",IF(COUNTIFS(Pursuits[Pursuit ID],$B13)&lt;&gt;1,"Pursuit link needs review",IF($D13="","Add action text",""))))</f>
        <v/>
      </c>
      <c r="Q13" s="47" t="str">
        <f aca="false">IF($L13=1,$B13&amp;"|"&amp;$O13,"")</f>
        <v/>
      </c>
    </row>
    <row r="14" customFormat="false" ht="38" hidden="false" customHeight="true" outlineLevel="0" collapsed="false">
      <c r="A14" s="39"/>
      <c r="B14" s="39"/>
      <c r="C14" s="41" t="str">
        <f aca="false">IF(COUNTIFS(Pursuits[Pursuit ID],$B14)&lt;&gt;1,"",INDEX(Pursuits[Opportunity],MATCH($B14,Pursuits[Pursuit ID],0)))</f>
        <v/>
      </c>
      <c r="D14" s="39"/>
      <c r="E14" s="43"/>
      <c r="F14" s="39"/>
      <c r="G14" s="39"/>
      <c r="H14" s="39"/>
      <c r="I14" s="43"/>
      <c r="J14" s="41" t="str">
        <f aca="false">IF($P14&lt;&gt;"",$P14,IF($A14="","",IF(COUNTIFS(WorkStatuses[Status],$F14)&lt;&gt;1,"Choose a status",IF(INDEX(WorkStatuses[Input check],MATCH($F14,WorkStatuses[Status],0))&lt;&gt;"","Check status settings",_xlfn.TEXTJOIN(CHAR(10),TRUE(),IF(AND(INDEX(WorkStatuses[Complete],MATCH($F14,WorkStatuses[Status],0))=0,$E14=""),"Add due date",""),IF(AND($E14&lt;&gt;"",OR(NOT(ISNUMBER($E14)),$E14&lt;1,$E14&gt;=DATE(2099,1,1))),"Use a valid due date",""),IF(AND(INDEX(WorkStatuses[Complete],MATCH($F14,WorkStatuses[Status],0))=1,$I14=""),"Add completed date",""),IF(AND($I14&lt;&gt;"",OR(NOT(ISNUMBER($I14)),$I14&lt;1,$I14&gt;=DATE(2099,1,1))),"Use a valid completed date",""),IF(AND(INDEX(WorkStatuses[Complete],MATCH($F14,WorkStatuses[Status],0))=0,$I14&lt;&gt;""),"Check status and completed date",""),IF(AND(AND(ISNUMBER(Dashboard!$V$3),Dashboard!$V$3&gt;=1,Dashboard!$V$3&lt;DATE(2099,1,1)),ISNUMBER($I14),$I14&gt;Dashboard!$V$3),"Completed date is in future",""))))))</f>
        <v/>
      </c>
      <c r="K14" s="41" t="n">
        <f aca="false">IF($P14&lt;&gt;"",0,IF($A14="",0,SUMIFS(Pursuits[Active],Pursuits[Pursuit ID],$B14)))</f>
        <v>0</v>
      </c>
      <c r="L14" s="41" t="n">
        <f aca="false">IF(AND($A14&lt;&gt;"",$P14="",COUNTIFS(WorkStatuses[Status],$F14)=1),IF(INDEX(WorkStatuses[Input check],MATCH($F14,WorkStatuses[Status],0))&lt;&gt;"",0,IF(INDEX(WorkStatuses[Complete],MATCH($F14,WorkStatuses[Status],0))=0,1,0)),0)</f>
        <v>0</v>
      </c>
      <c r="M14" s="41" t="str">
        <f aca="false">IF($L14=0,"",IF(AND(ISNUMBER($E14),$E14&gt;=1,$E14&lt;DATE(2099,1,1)),$E14,DATE(9999,12,31)))</f>
        <v/>
      </c>
      <c r="N14" s="41" t="str">
        <f aca="false">IF(AND($L14=1,$K14=1),COUNTIFS(Actions[Open action],1,Actions[Active pursuit],1,Actions[Sort date],"&lt;"&amp;$M14)+COUNTIFS(Actions[Open action],1,Actions[Active pursuit],1,Actions[Sort date],$M14,Actions[Action ID],"&lt;"&amp;$A14)+1,"")</f>
        <v/>
      </c>
      <c r="O14" s="41" t="str">
        <f aca="false">IF($L14&lt;&gt;1,"",COUNTIFS(Actions[Open action],1,Actions[Pursuit ID],$B14,Actions[Sort date],"&lt;"&amp;$M14)+COUNTIFS(Actions[Open action],1,Actions[Pursuit ID],$B14,Actions[Sort date],$M14,Actions[Action ID],"&lt;"&amp;$A14)+1)</f>
        <v/>
      </c>
      <c r="P14" s="41" t="str">
        <f aca="false">IF($A14="",IF(COUNTA(B14,D14:I14)&gt;0,"Missing action ID",""),IF(COUNTIFS(Actions[Action ID],$A14)&gt;1,"Duplicate action ID",IF(COUNTIFS(Pursuits[Pursuit ID],$B14)&lt;&gt;1,"Pursuit link needs review",IF($D14="","Add action text",""))))</f>
        <v/>
      </c>
      <c r="Q14" s="47" t="str">
        <f aca="false">IF($L14=1,$B14&amp;"|"&amp;$O14,"")</f>
        <v/>
      </c>
    </row>
    <row r="15" customFormat="false" ht="38" hidden="false" customHeight="true" outlineLevel="0" collapsed="false">
      <c r="A15" s="39"/>
      <c r="B15" s="39"/>
      <c r="C15" s="41" t="str">
        <f aca="false">IF(COUNTIFS(Pursuits[Pursuit ID],$B15)&lt;&gt;1,"",INDEX(Pursuits[Opportunity],MATCH($B15,Pursuits[Pursuit ID],0)))</f>
        <v/>
      </c>
      <c r="D15" s="39"/>
      <c r="E15" s="43"/>
      <c r="F15" s="39"/>
      <c r="G15" s="39"/>
      <c r="H15" s="39"/>
      <c r="I15" s="43"/>
      <c r="J15" s="41" t="str">
        <f aca="false">IF($P15&lt;&gt;"",$P15,IF($A15="","",IF(COUNTIFS(WorkStatuses[Status],$F15)&lt;&gt;1,"Choose a status",IF(INDEX(WorkStatuses[Input check],MATCH($F15,WorkStatuses[Status],0))&lt;&gt;"","Check status settings",_xlfn.TEXTJOIN(CHAR(10),TRUE(),IF(AND(INDEX(WorkStatuses[Complete],MATCH($F15,WorkStatuses[Status],0))=0,$E15=""),"Add due date",""),IF(AND($E15&lt;&gt;"",OR(NOT(ISNUMBER($E15)),$E15&lt;1,$E15&gt;=DATE(2099,1,1))),"Use a valid due date",""),IF(AND(INDEX(WorkStatuses[Complete],MATCH($F15,WorkStatuses[Status],0))=1,$I15=""),"Add completed date",""),IF(AND($I15&lt;&gt;"",OR(NOT(ISNUMBER($I15)),$I15&lt;1,$I15&gt;=DATE(2099,1,1))),"Use a valid completed date",""),IF(AND(INDEX(WorkStatuses[Complete],MATCH($F15,WorkStatuses[Status],0))=0,$I15&lt;&gt;""),"Check status and completed date",""),IF(AND(AND(ISNUMBER(Dashboard!$V$3),Dashboard!$V$3&gt;=1,Dashboard!$V$3&lt;DATE(2099,1,1)),ISNUMBER($I15),$I15&gt;Dashboard!$V$3),"Completed date is in future",""))))))</f>
        <v/>
      </c>
      <c r="K15" s="41" t="n">
        <f aca="false">IF($P15&lt;&gt;"",0,IF($A15="",0,SUMIFS(Pursuits[Active],Pursuits[Pursuit ID],$B15)))</f>
        <v>0</v>
      </c>
      <c r="L15" s="41" t="n">
        <f aca="false">IF(AND($A15&lt;&gt;"",$P15="",COUNTIFS(WorkStatuses[Status],$F15)=1),IF(INDEX(WorkStatuses[Input check],MATCH($F15,WorkStatuses[Status],0))&lt;&gt;"",0,IF(INDEX(WorkStatuses[Complete],MATCH($F15,WorkStatuses[Status],0))=0,1,0)),0)</f>
        <v>0</v>
      </c>
      <c r="M15" s="41" t="str">
        <f aca="false">IF($L15=0,"",IF(AND(ISNUMBER($E15),$E15&gt;=1,$E15&lt;DATE(2099,1,1)),$E15,DATE(9999,12,31)))</f>
        <v/>
      </c>
      <c r="N15" s="41" t="str">
        <f aca="false">IF(AND($L15=1,$K15=1),COUNTIFS(Actions[Open action],1,Actions[Active pursuit],1,Actions[Sort date],"&lt;"&amp;$M15)+COUNTIFS(Actions[Open action],1,Actions[Active pursuit],1,Actions[Sort date],$M15,Actions[Action ID],"&lt;"&amp;$A15)+1,"")</f>
        <v/>
      </c>
      <c r="O15" s="41" t="str">
        <f aca="false">IF($L15&lt;&gt;1,"",COUNTIFS(Actions[Open action],1,Actions[Pursuit ID],$B15,Actions[Sort date],"&lt;"&amp;$M15)+COUNTIFS(Actions[Open action],1,Actions[Pursuit ID],$B15,Actions[Sort date],$M15,Actions[Action ID],"&lt;"&amp;$A15)+1)</f>
        <v/>
      </c>
      <c r="P15" s="41" t="str">
        <f aca="false">IF($A15="",IF(COUNTA(B15,D15:I15)&gt;0,"Missing action ID",""),IF(COUNTIFS(Actions[Action ID],$A15)&gt;1,"Duplicate action ID",IF(COUNTIFS(Pursuits[Pursuit ID],$B15)&lt;&gt;1,"Pursuit link needs review",IF($D15="","Add action text",""))))</f>
        <v/>
      </c>
      <c r="Q15" s="47" t="str">
        <f aca="false">IF($L15=1,$B15&amp;"|"&amp;$O15,"")</f>
        <v/>
      </c>
    </row>
    <row r="16" customFormat="false" ht="38" hidden="false" customHeight="true" outlineLevel="0" collapsed="false">
      <c r="A16" s="39"/>
      <c r="B16" s="39"/>
      <c r="C16" s="41" t="str">
        <f aca="false">IF(COUNTIFS(Pursuits[Pursuit ID],$B16)&lt;&gt;1,"",INDEX(Pursuits[Opportunity],MATCH($B16,Pursuits[Pursuit ID],0)))</f>
        <v/>
      </c>
      <c r="D16" s="39"/>
      <c r="E16" s="43"/>
      <c r="F16" s="39"/>
      <c r="G16" s="39"/>
      <c r="H16" s="39"/>
      <c r="I16" s="43"/>
      <c r="J16" s="41" t="str">
        <f aca="false">IF($P16&lt;&gt;"",$P16,IF($A16="","",IF(COUNTIFS(WorkStatuses[Status],$F16)&lt;&gt;1,"Choose a status",IF(INDEX(WorkStatuses[Input check],MATCH($F16,WorkStatuses[Status],0))&lt;&gt;"","Check status settings",_xlfn.TEXTJOIN(CHAR(10),TRUE(),IF(AND(INDEX(WorkStatuses[Complete],MATCH($F16,WorkStatuses[Status],0))=0,$E16=""),"Add due date",""),IF(AND($E16&lt;&gt;"",OR(NOT(ISNUMBER($E16)),$E16&lt;1,$E16&gt;=DATE(2099,1,1))),"Use a valid due date",""),IF(AND(INDEX(WorkStatuses[Complete],MATCH($F16,WorkStatuses[Status],0))=1,$I16=""),"Add completed date",""),IF(AND($I16&lt;&gt;"",OR(NOT(ISNUMBER($I16)),$I16&lt;1,$I16&gt;=DATE(2099,1,1))),"Use a valid completed date",""),IF(AND(INDEX(WorkStatuses[Complete],MATCH($F16,WorkStatuses[Status],0))=0,$I16&lt;&gt;""),"Check status and completed date",""),IF(AND(AND(ISNUMBER(Dashboard!$V$3),Dashboard!$V$3&gt;=1,Dashboard!$V$3&lt;DATE(2099,1,1)),ISNUMBER($I16),$I16&gt;Dashboard!$V$3),"Completed date is in future",""))))))</f>
        <v/>
      </c>
      <c r="K16" s="41" t="n">
        <f aca="false">IF($P16&lt;&gt;"",0,IF($A16="",0,SUMIFS(Pursuits[Active],Pursuits[Pursuit ID],$B16)))</f>
        <v>0</v>
      </c>
      <c r="L16" s="41" t="n">
        <f aca="false">IF(AND($A16&lt;&gt;"",$P16="",COUNTIFS(WorkStatuses[Status],$F16)=1),IF(INDEX(WorkStatuses[Input check],MATCH($F16,WorkStatuses[Status],0))&lt;&gt;"",0,IF(INDEX(WorkStatuses[Complete],MATCH($F16,WorkStatuses[Status],0))=0,1,0)),0)</f>
        <v>0</v>
      </c>
      <c r="M16" s="41" t="str">
        <f aca="false">IF($L16=0,"",IF(AND(ISNUMBER($E16),$E16&gt;=1,$E16&lt;DATE(2099,1,1)),$E16,DATE(9999,12,31)))</f>
        <v/>
      </c>
      <c r="N16" s="41" t="str">
        <f aca="false">IF(AND($L16=1,$K16=1),COUNTIFS(Actions[Open action],1,Actions[Active pursuit],1,Actions[Sort date],"&lt;"&amp;$M16)+COUNTIFS(Actions[Open action],1,Actions[Active pursuit],1,Actions[Sort date],$M16,Actions[Action ID],"&lt;"&amp;$A16)+1,"")</f>
        <v/>
      </c>
      <c r="O16" s="41" t="str">
        <f aca="false">IF($L16&lt;&gt;1,"",COUNTIFS(Actions[Open action],1,Actions[Pursuit ID],$B16,Actions[Sort date],"&lt;"&amp;$M16)+COUNTIFS(Actions[Open action],1,Actions[Pursuit ID],$B16,Actions[Sort date],$M16,Actions[Action ID],"&lt;"&amp;$A16)+1)</f>
        <v/>
      </c>
      <c r="P16" s="41" t="str">
        <f aca="false">IF($A16="",IF(COUNTA(B16,D16:I16)&gt;0,"Missing action ID",""),IF(COUNTIFS(Actions[Action ID],$A16)&gt;1,"Duplicate action ID",IF(COUNTIFS(Pursuits[Pursuit ID],$B16)&lt;&gt;1,"Pursuit link needs review",IF($D16="","Add action text",""))))</f>
        <v/>
      </c>
      <c r="Q16" s="47" t="str">
        <f aca="false">IF($L16=1,$B16&amp;"|"&amp;$O16,"")</f>
        <v/>
      </c>
    </row>
    <row r="17" customFormat="false" ht="38" hidden="false" customHeight="true" outlineLevel="0" collapsed="false">
      <c r="A17" s="39"/>
      <c r="B17" s="39"/>
      <c r="C17" s="41" t="str">
        <f aca="false">IF(COUNTIFS(Pursuits[Pursuit ID],$B17)&lt;&gt;1,"",INDEX(Pursuits[Opportunity],MATCH($B17,Pursuits[Pursuit ID],0)))</f>
        <v/>
      </c>
      <c r="D17" s="39"/>
      <c r="E17" s="43"/>
      <c r="F17" s="39"/>
      <c r="G17" s="39"/>
      <c r="H17" s="39"/>
      <c r="I17" s="43"/>
      <c r="J17" s="41" t="str">
        <f aca="false">IF($P17&lt;&gt;"",$P17,IF($A17="","",IF(COUNTIFS(WorkStatuses[Status],$F17)&lt;&gt;1,"Choose a status",IF(INDEX(WorkStatuses[Input check],MATCH($F17,WorkStatuses[Status],0))&lt;&gt;"","Check status settings",_xlfn.TEXTJOIN(CHAR(10),TRUE(),IF(AND(INDEX(WorkStatuses[Complete],MATCH($F17,WorkStatuses[Status],0))=0,$E17=""),"Add due date",""),IF(AND($E17&lt;&gt;"",OR(NOT(ISNUMBER($E17)),$E17&lt;1,$E17&gt;=DATE(2099,1,1))),"Use a valid due date",""),IF(AND(INDEX(WorkStatuses[Complete],MATCH($F17,WorkStatuses[Status],0))=1,$I17=""),"Add completed date",""),IF(AND($I17&lt;&gt;"",OR(NOT(ISNUMBER($I17)),$I17&lt;1,$I17&gt;=DATE(2099,1,1))),"Use a valid completed date",""),IF(AND(INDEX(WorkStatuses[Complete],MATCH($F17,WorkStatuses[Status],0))=0,$I17&lt;&gt;""),"Check status and completed date",""),IF(AND(AND(ISNUMBER(Dashboard!$V$3),Dashboard!$V$3&gt;=1,Dashboard!$V$3&lt;DATE(2099,1,1)),ISNUMBER($I17),$I17&gt;Dashboard!$V$3),"Completed date is in future",""))))))</f>
        <v/>
      </c>
      <c r="K17" s="41" t="n">
        <f aca="false">IF($P17&lt;&gt;"",0,IF($A17="",0,SUMIFS(Pursuits[Active],Pursuits[Pursuit ID],$B17)))</f>
        <v>0</v>
      </c>
      <c r="L17" s="41" t="n">
        <f aca="false">IF(AND($A17&lt;&gt;"",$P17="",COUNTIFS(WorkStatuses[Status],$F17)=1),IF(INDEX(WorkStatuses[Input check],MATCH($F17,WorkStatuses[Status],0))&lt;&gt;"",0,IF(INDEX(WorkStatuses[Complete],MATCH($F17,WorkStatuses[Status],0))=0,1,0)),0)</f>
        <v>0</v>
      </c>
      <c r="M17" s="41" t="str">
        <f aca="false">IF($L17=0,"",IF(AND(ISNUMBER($E17),$E17&gt;=1,$E17&lt;DATE(2099,1,1)),$E17,DATE(9999,12,31)))</f>
        <v/>
      </c>
      <c r="N17" s="41" t="str">
        <f aca="false">IF(AND($L17=1,$K17=1),COUNTIFS(Actions[Open action],1,Actions[Active pursuit],1,Actions[Sort date],"&lt;"&amp;$M17)+COUNTIFS(Actions[Open action],1,Actions[Active pursuit],1,Actions[Sort date],$M17,Actions[Action ID],"&lt;"&amp;$A17)+1,"")</f>
        <v/>
      </c>
      <c r="O17" s="41" t="str">
        <f aca="false">IF($L17&lt;&gt;1,"",COUNTIFS(Actions[Open action],1,Actions[Pursuit ID],$B17,Actions[Sort date],"&lt;"&amp;$M17)+COUNTIFS(Actions[Open action],1,Actions[Pursuit ID],$B17,Actions[Sort date],$M17,Actions[Action ID],"&lt;"&amp;$A17)+1)</f>
        <v/>
      </c>
      <c r="P17" s="41" t="str">
        <f aca="false">IF($A17="",IF(COUNTA(B17,D17:I17)&gt;0,"Missing action ID",""),IF(COUNTIFS(Actions[Action ID],$A17)&gt;1,"Duplicate action ID",IF(COUNTIFS(Pursuits[Pursuit ID],$B17)&lt;&gt;1,"Pursuit link needs review",IF($D17="","Add action text",""))))</f>
        <v/>
      </c>
      <c r="Q17" s="47" t="str">
        <f aca="false">IF($L17=1,$B17&amp;"|"&amp;$O17,"")</f>
        <v/>
      </c>
    </row>
    <row r="18" customFormat="false" ht="38" hidden="false" customHeight="true" outlineLevel="0" collapsed="false">
      <c r="A18" s="39"/>
      <c r="B18" s="39"/>
      <c r="C18" s="41" t="str">
        <f aca="false">IF(COUNTIFS(Pursuits[Pursuit ID],$B18)&lt;&gt;1,"",INDEX(Pursuits[Opportunity],MATCH($B18,Pursuits[Pursuit ID],0)))</f>
        <v/>
      </c>
      <c r="D18" s="39"/>
      <c r="E18" s="43"/>
      <c r="F18" s="39"/>
      <c r="G18" s="39"/>
      <c r="H18" s="39"/>
      <c r="I18" s="43"/>
      <c r="J18" s="41" t="str">
        <f aca="false">IF($P18&lt;&gt;"",$P18,IF($A18="","",IF(COUNTIFS(WorkStatuses[Status],$F18)&lt;&gt;1,"Choose a status",IF(INDEX(WorkStatuses[Input check],MATCH($F18,WorkStatuses[Status],0))&lt;&gt;"","Check status settings",_xlfn.TEXTJOIN(CHAR(10),TRUE(),IF(AND(INDEX(WorkStatuses[Complete],MATCH($F18,WorkStatuses[Status],0))=0,$E18=""),"Add due date",""),IF(AND($E18&lt;&gt;"",OR(NOT(ISNUMBER($E18)),$E18&lt;1,$E18&gt;=DATE(2099,1,1))),"Use a valid due date",""),IF(AND(INDEX(WorkStatuses[Complete],MATCH($F18,WorkStatuses[Status],0))=1,$I18=""),"Add completed date",""),IF(AND($I18&lt;&gt;"",OR(NOT(ISNUMBER($I18)),$I18&lt;1,$I18&gt;=DATE(2099,1,1))),"Use a valid completed date",""),IF(AND(INDEX(WorkStatuses[Complete],MATCH($F18,WorkStatuses[Status],0))=0,$I18&lt;&gt;""),"Check status and completed date",""),IF(AND(AND(ISNUMBER(Dashboard!$V$3),Dashboard!$V$3&gt;=1,Dashboard!$V$3&lt;DATE(2099,1,1)),ISNUMBER($I18),$I18&gt;Dashboard!$V$3),"Completed date is in future",""))))))</f>
        <v/>
      </c>
      <c r="K18" s="41" t="n">
        <f aca="false">IF($P18&lt;&gt;"",0,IF($A18="",0,SUMIFS(Pursuits[Active],Pursuits[Pursuit ID],$B18)))</f>
        <v>0</v>
      </c>
      <c r="L18" s="41" t="n">
        <f aca="false">IF(AND($A18&lt;&gt;"",$P18="",COUNTIFS(WorkStatuses[Status],$F18)=1),IF(INDEX(WorkStatuses[Input check],MATCH($F18,WorkStatuses[Status],0))&lt;&gt;"",0,IF(INDEX(WorkStatuses[Complete],MATCH($F18,WorkStatuses[Status],0))=0,1,0)),0)</f>
        <v>0</v>
      </c>
      <c r="M18" s="41" t="str">
        <f aca="false">IF($L18=0,"",IF(AND(ISNUMBER($E18),$E18&gt;=1,$E18&lt;DATE(2099,1,1)),$E18,DATE(9999,12,31)))</f>
        <v/>
      </c>
      <c r="N18" s="41" t="str">
        <f aca="false">IF(AND($L18=1,$K18=1),COUNTIFS(Actions[Open action],1,Actions[Active pursuit],1,Actions[Sort date],"&lt;"&amp;$M18)+COUNTIFS(Actions[Open action],1,Actions[Active pursuit],1,Actions[Sort date],$M18,Actions[Action ID],"&lt;"&amp;$A18)+1,"")</f>
        <v/>
      </c>
      <c r="O18" s="41" t="str">
        <f aca="false">IF($L18&lt;&gt;1,"",COUNTIFS(Actions[Open action],1,Actions[Pursuit ID],$B18,Actions[Sort date],"&lt;"&amp;$M18)+COUNTIFS(Actions[Open action],1,Actions[Pursuit ID],$B18,Actions[Sort date],$M18,Actions[Action ID],"&lt;"&amp;$A18)+1)</f>
        <v/>
      </c>
      <c r="P18" s="41" t="str">
        <f aca="false">IF($A18="",IF(COUNTA(B18,D18:I18)&gt;0,"Missing action ID",""),IF(COUNTIFS(Actions[Action ID],$A18)&gt;1,"Duplicate action ID",IF(COUNTIFS(Pursuits[Pursuit ID],$B18)&lt;&gt;1,"Pursuit link needs review",IF($D18="","Add action text",""))))</f>
        <v/>
      </c>
      <c r="Q18" s="47" t="str">
        <f aca="false">IF($L18=1,$B18&amp;"|"&amp;$O18,"")</f>
        <v/>
      </c>
    </row>
    <row r="19" customFormat="false" ht="38" hidden="false" customHeight="true" outlineLevel="0" collapsed="false">
      <c r="A19" s="39"/>
      <c r="B19" s="39"/>
      <c r="C19" s="41" t="str">
        <f aca="false">IF(COUNTIFS(Pursuits[Pursuit ID],$B19)&lt;&gt;1,"",INDEX(Pursuits[Opportunity],MATCH($B19,Pursuits[Pursuit ID],0)))</f>
        <v/>
      </c>
      <c r="D19" s="39"/>
      <c r="E19" s="43"/>
      <c r="F19" s="39"/>
      <c r="G19" s="39"/>
      <c r="H19" s="39"/>
      <c r="I19" s="43"/>
      <c r="J19" s="41" t="str">
        <f aca="false">IF($P19&lt;&gt;"",$P19,IF($A19="","",IF(COUNTIFS(WorkStatuses[Status],$F19)&lt;&gt;1,"Choose a status",IF(INDEX(WorkStatuses[Input check],MATCH($F19,WorkStatuses[Status],0))&lt;&gt;"","Check status settings",_xlfn.TEXTJOIN(CHAR(10),TRUE(),IF(AND(INDEX(WorkStatuses[Complete],MATCH($F19,WorkStatuses[Status],0))=0,$E19=""),"Add due date",""),IF(AND($E19&lt;&gt;"",OR(NOT(ISNUMBER($E19)),$E19&lt;1,$E19&gt;=DATE(2099,1,1))),"Use a valid due date",""),IF(AND(INDEX(WorkStatuses[Complete],MATCH($F19,WorkStatuses[Status],0))=1,$I19=""),"Add completed date",""),IF(AND($I19&lt;&gt;"",OR(NOT(ISNUMBER($I19)),$I19&lt;1,$I19&gt;=DATE(2099,1,1))),"Use a valid completed date",""),IF(AND(INDEX(WorkStatuses[Complete],MATCH($F19,WorkStatuses[Status],0))=0,$I19&lt;&gt;""),"Check status and completed date",""),IF(AND(AND(ISNUMBER(Dashboard!$V$3),Dashboard!$V$3&gt;=1,Dashboard!$V$3&lt;DATE(2099,1,1)),ISNUMBER($I19),$I19&gt;Dashboard!$V$3),"Completed date is in future",""))))))</f>
        <v/>
      </c>
      <c r="K19" s="41" t="n">
        <f aca="false">IF($P19&lt;&gt;"",0,IF($A19="",0,SUMIFS(Pursuits[Active],Pursuits[Pursuit ID],$B19)))</f>
        <v>0</v>
      </c>
      <c r="L19" s="41" t="n">
        <f aca="false">IF(AND($A19&lt;&gt;"",$P19="",COUNTIFS(WorkStatuses[Status],$F19)=1),IF(INDEX(WorkStatuses[Input check],MATCH($F19,WorkStatuses[Status],0))&lt;&gt;"",0,IF(INDEX(WorkStatuses[Complete],MATCH($F19,WorkStatuses[Status],0))=0,1,0)),0)</f>
        <v>0</v>
      </c>
      <c r="M19" s="41" t="str">
        <f aca="false">IF($L19=0,"",IF(AND(ISNUMBER($E19),$E19&gt;=1,$E19&lt;DATE(2099,1,1)),$E19,DATE(9999,12,31)))</f>
        <v/>
      </c>
      <c r="N19" s="41" t="str">
        <f aca="false">IF(AND($L19=1,$K19=1),COUNTIFS(Actions[Open action],1,Actions[Active pursuit],1,Actions[Sort date],"&lt;"&amp;$M19)+COUNTIFS(Actions[Open action],1,Actions[Active pursuit],1,Actions[Sort date],$M19,Actions[Action ID],"&lt;"&amp;$A19)+1,"")</f>
        <v/>
      </c>
      <c r="O19" s="41" t="str">
        <f aca="false">IF($L19&lt;&gt;1,"",COUNTIFS(Actions[Open action],1,Actions[Pursuit ID],$B19,Actions[Sort date],"&lt;"&amp;$M19)+COUNTIFS(Actions[Open action],1,Actions[Pursuit ID],$B19,Actions[Sort date],$M19,Actions[Action ID],"&lt;"&amp;$A19)+1)</f>
        <v/>
      </c>
      <c r="P19" s="41" t="str">
        <f aca="false">IF($A19="",IF(COUNTA(B19,D19:I19)&gt;0,"Missing action ID",""),IF(COUNTIFS(Actions[Action ID],$A19)&gt;1,"Duplicate action ID",IF(COUNTIFS(Pursuits[Pursuit ID],$B19)&lt;&gt;1,"Pursuit link needs review",IF($D19="","Add action text",""))))</f>
        <v/>
      </c>
      <c r="Q19" s="47" t="str">
        <f aca="false">IF($L19=1,$B19&amp;"|"&amp;$O19,"")</f>
        <v/>
      </c>
    </row>
    <row r="20" customFormat="false" ht="38" hidden="false" customHeight="true" outlineLevel="0" collapsed="false">
      <c r="A20" s="39"/>
      <c r="B20" s="39"/>
      <c r="C20" s="41" t="str">
        <f aca="false">IF(COUNTIFS(Pursuits[Pursuit ID],$B20)&lt;&gt;1,"",INDEX(Pursuits[Opportunity],MATCH($B20,Pursuits[Pursuit ID],0)))</f>
        <v/>
      </c>
      <c r="D20" s="39"/>
      <c r="E20" s="43"/>
      <c r="F20" s="39"/>
      <c r="G20" s="39"/>
      <c r="H20" s="39"/>
      <c r="I20" s="43"/>
      <c r="J20" s="41" t="str">
        <f aca="false">IF($P20&lt;&gt;"",$P20,IF($A20="","",IF(COUNTIFS(WorkStatuses[Status],$F20)&lt;&gt;1,"Choose a status",IF(INDEX(WorkStatuses[Input check],MATCH($F20,WorkStatuses[Status],0))&lt;&gt;"","Check status settings",_xlfn.TEXTJOIN(CHAR(10),TRUE(),IF(AND(INDEX(WorkStatuses[Complete],MATCH($F20,WorkStatuses[Status],0))=0,$E20=""),"Add due date",""),IF(AND($E20&lt;&gt;"",OR(NOT(ISNUMBER($E20)),$E20&lt;1,$E20&gt;=DATE(2099,1,1))),"Use a valid due date",""),IF(AND(INDEX(WorkStatuses[Complete],MATCH($F20,WorkStatuses[Status],0))=1,$I20=""),"Add completed date",""),IF(AND($I20&lt;&gt;"",OR(NOT(ISNUMBER($I20)),$I20&lt;1,$I20&gt;=DATE(2099,1,1))),"Use a valid completed date",""),IF(AND(INDEX(WorkStatuses[Complete],MATCH($F20,WorkStatuses[Status],0))=0,$I20&lt;&gt;""),"Check status and completed date",""),IF(AND(AND(ISNUMBER(Dashboard!$V$3),Dashboard!$V$3&gt;=1,Dashboard!$V$3&lt;DATE(2099,1,1)),ISNUMBER($I20),$I20&gt;Dashboard!$V$3),"Completed date is in future",""))))))</f>
        <v/>
      </c>
      <c r="K20" s="41" t="n">
        <f aca="false">IF($P20&lt;&gt;"",0,IF($A20="",0,SUMIFS(Pursuits[Active],Pursuits[Pursuit ID],$B20)))</f>
        <v>0</v>
      </c>
      <c r="L20" s="41" t="n">
        <f aca="false">IF(AND($A20&lt;&gt;"",$P20="",COUNTIFS(WorkStatuses[Status],$F20)=1),IF(INDEX(WorkStatuses[Input check],MATCH($F20,WorkStatuses[Status],0))&lt;&gt;"",0,IF(INDEX(WorkStatuses[Complete],MATCH($F20,WorkStatuses[Status],0))=0,1,0)),0)</f>
        <v>0</v>
      </c>
      <c r="M20" s="41" t="str">
        <f aca="false">IF($L20=0,"",IF(AND(ISNUMBER($E20),$E20&gt;=1,$E20&lt;DATE(2099,1,1)),$E20,DATE(9999,12,31)))</f>
        <v/>
      </c>
      <c r="N20" s="41" t="str">
        <f aca="false">IF(AND($L20=1,$K20=1),COUNTIFS(Actions[Open action],1,Actions[Active pursuit],1,Actions[Sort date],"&lt;"&amp;$M20)+COUNTIFS(Actions[Open action],1,Actions[Active pursuit],1,Actions[Sort date],$M20,Actions[Action ID],"&lt;"&amp;$A20)+1,"")</f>
        <v/>
      </c>
      <c r="O20" s="41" t="str">
        <f aca="false">IF($L20&lt;&gt;1,"",COUNTIFS(Actions[Open action],1,Actions[Pursuit ID],$B20,Actions[Sort date],"&lt;"&amp;$M20)+COUNTIFS(Actions[Open action],1,Actions[Pursuit ID],$B20,Actions[Sort date],$M20,Actions[Action ID],"&lt;"&amp;$A20)+1)</f>
        <v/>
      </c>
      <c r="P20" s="41" t="str">
        <f aca="false">IF($A20="",IF(COUNTA(B20,D20:I20)&gt;0,"Missing action ID",""),IF(COUNTIFS(Actions[Action ID],$A20)&gt;1,"Duplicate action ID",IF(COUNTIFS(Pursuits[Pursuit ID],$B20)&lt;&gt;1,"Pursuit link needs review",IF($D20="","Add action text",""))))</f>
        <v/>
      </c>
      <c r="Q20" s="47" t="str">
        <f aca="false">IF($L20=1,$B20&amp;"|"&amp;$O20,"")</f>
        <v/>
      </c>
    </row>
    <row r="21" customFormat="false" ht="38" hidden="false" customHeight="true" outlineLevel="0" collapsed="false">
      <c r="A21" s="39"/>
      <c r="B21" s="39"/>
      <c r="C21" s="41" t="str">
        <f aca="false">IF(COUNTIFS(Pursuits[Pursuit ID],$B21)&lt;&gt;1,"",INDEX(Pursuits[Opportunity],MATCH($B21,Pursuits[Pursuit ID],0)))</f>
        <v/>
      </c>
      <c r="D21" s="39"/>
      <c r="E21" s="43"/>
      <c r="F21" s="39"/>
      <c r="G21" s="39"/>
      <c r="H21" s="39"/>
      <c r="I21" s="43"/>
      <c r="J21" s="41" t="str">
        <f aca="false">IF($P21&lt;&gt;"",$P21,IF($A21="","",IF(COUNTIFS(WorkStatuses[Status],$F21)&lt;&gt;1,"Choose a status",IF(INDEX(WorkStatuses[Input check],MATCH($F21,WorkStatuses[Status],0))&lt;&gt;"","Check status settings",_xlfn.TEXTJOIN(CHAR(10),TRUE(),IF(AND(INDEX(WorkStatuses[Complete],MATCH($F21,WorkStatuses[Status],0))=0,$E21=""),"Add due date",""),IF(AND($E21&lt;&gt;"",OR(NOT(ISNUMBER($E21)),$E21&lt;1,$E21&gt;=DATE(2099,1,1))),"Use a valid due date",""),IF(AND(INDEX(WorkStatuses[Complete],MATCH($F21,WorkStatuses[Status],0))=1,$I21=""),"Add completed date",""),IF(AND($I21&lt;&gt;"",OR(NOT(ISNUMBER($I21)),$I21&lt;1,$I21&gt;=DATE(2099,1,1))),"Use a valid completed date",""),IF(AND(INDEX(WorkStatuses[Complete],MATCH($F21,WorkStatuses[Status],0))=0,$I21&lt;&gt;""),"Check status and completed date",""),IF(AND(AND(ISNUMBER(Dashboard!$V$3),Dashboard!$V$3&gt;=1,Dashboard!$V$3&lt;DATE(2099,1,1)),ISNUMBER($I21),$I21&gt;Dashboard!$V$3),"Completed date is in future",""))))))</f>
        <v/>
      </c>
      <c r="K21" s="41" t="n">
        <f aca="false">IF($P21&lt;&gt;"",0,IF($A21="",0,SUMIFS(Pursuits[Active],Pursuits[Pursuit ID],$B21)))</f>
        <v>0</v>
      </c>
      <c r="L21" s="41" t="n">
        <f aca="false">IF(AND($A21&lt;&gt;"",$P21="",COUNTIFS(WorkStatuses[Status],$F21)=1),IF(INDEX(WorkStatuses[Input check],MATCH($F21,WorkStatuses[Status],0))&lt;&gt;"",0,IF(INDEX(WorkStatuses[Complete],MATCH($F21,WorkStatuses[Status],0))=0,1,0)),0)</f>
        <v>0</v>
      </c>
      <c r="M21" s="41" t="str">
        <f aca="false">IF($L21=0,"",IF(AND(ISNUMBER($E21),$E21&gt;=1,$E21&lt;DATE(2099,1,1)),$E21,DATE(9999,12,31)))</f>
        <v/>
      </c>
      <c r="N21" s="41" t="str">
        <f aca="false">IF(AND($L21=1,$K21=1),COUNTIFS(Actions[Open action],1,Actions[Active pursuit],1,Actions[Sort date],"&lt;"&amp;$M21)+COUNTIFS(Actions[Open action],1,Actions[Active pursuit],1,Actions[Sort date],$M21,Actions[Action ID],"&lt;"&amp;$A21)+1,"")</f>
        <v/>
      </c>
      <c r="O21" s="41" t="str">
        <f aca="false">IF($L21&lt;&gt;1,"",COUNTIFS(Actions[Open action],1,Actions[Pursuit ID],$B21,Actions[Sort date],"&lt;"&amp;$M21)+COUNTIFS(Actions[Open action],1,Actions[Pursuit ID],$B21,Actions[Sort date],$M21,Actions[Action ID],"&lt;"&amp;$A21)+1)</f>
        <v/>
      </c>
      <c r="P21" s="41" t="str">
        <f aca="false">IF($A21="",IF(COUNTA(B21,D21:I21)&gt;0,"Missing action ID",""),IF(COUNTIFS(Actions[Action ID],$A21)&gt;1,"Duplicate action ID",IF(COUNTIFS(Pursuits[Pursuit ID],$B21)&lt;&gt;1,"Pursuit link needs review",IF($D21="","Add action text",""))))</f>
        <v/>
      </c>
      <c r="Q21" s="47" t="str">
        <f aca="false">IF($L21=1,$B21&amp;"|"&amp;$O21,"")</f>
        <v/>
      </c>
    </row>
    <row r="22" customFormat="false" ht="38" hidden="false" customHeight="true" outlineLevel="0" collapsed="false">
      <c r="A22" s="39"/>
      <c r="B22" s="39"/>
      <c r="C22" s="41" t="str">
        <f aca="false">IF(COUNTIFS(Pursuits[Pursuit ID],$B22)&lt;&gt;1,"",INDEX(Pursuits[Opportunity],MATCH($B22,Pursuits[Pursuit ID],0)))</f>
        <v/>
      </c>
      <c r="D22" s="39"/>
      <c r="E22" s="43"/>
      <c r="F22" s="39"/>
      <c r="G22" s="39"/>
      <c r="H22" s="39"/>
      <c r="I22" s="43"/>
      <c r="J22" s="41" t="str">
        <f aca="false">IF($P22&lt;&gt;"",$P22,IF($A22="","",IF(COUNTIFS(WorkStatuses[Status],$F22)&lt;&gt;1,"Choose a status",IF(INDEX(WorkStatuses[Input check],MATCH($F22,WorkStatuses[Status],0))&lt;&gt;"","Check status settings",_xlfn.TEXTJOIN(CHAR(10),TRUE(),IF(AND(INDEX(WorkStatuses[Complete],MATCH($F22,WorkStatuses[Status],0))=0,$E22=""),"Add due date",""),IF(AND($E22&lt;&gt;"",OR(NOT(ISNUMBER($E22)),$E22&lt;1,$E22&gt;=DATE(2099,1,1))),"Use a valid due date",""),IF(AND(INDEX(WorkStatuses[Complete],MATCH($F22,WorkStatuses[Status],0))=1,$I22=""),"Add completed date",""),IF(AND($I22&lt;&gt;"",OR(NOT(ISNUMBER($I22)),$I22&lt;1,$I22&gt;=DATE(2099,1,1))),"Use a valid completed date",""),IF(AND(INDEX(WorkStatuses[Complete],MATCH($F22,WorkStatuses[Status],0))=0,$I22&lt;&gt;""),"Check status and completed date",""),IF(AND(AND(ISNUMBER(Dashboard!$V$3),Dashboard!$V$3&gt;=1,Dashboard!$V$3&lt;DATE(2099,1,1)),ISNUMBER($I22),$I22&gt;Dashboard!$V$3),"Completed date is in future",""))))))</f>
        <v/>
      </c>
      <c r="K22" s="41" t="n">
        <f aca="false">IF($P22&lt;&gt;"",0,IF($A22="",0,SUMIFS(Pursuits[Active],Pursuits[Pursuit ID],$B22)))</f>
        <v>0</v>
      </c>
      <c r="L22" s="41" t="n">
        <f aca="false">IF(AND($A22&lt;&gt;"",$P22="",COUNTIFS(WorkStatuses[Status],$F22)=1),IF(INDEX(WorkStatuses[Input check],MATCH($F22,WorkStatuses[Status],0))&lt;&gt;"",0,IF(INDEX(WorkStatuses[Complete],MATCH($F22,WorkStatuses[Status],0))=0,1,0)),0)</f>
        <v>0</v>
      </c>
      <c r="M22" s="41" t="str">
        <f aca="false">IF($L22=0,"",IF(AND(ISNUMBER($E22),$E22&gt;=1,$E22&lt;DATE(2099,1,1)),$E22,DATE(9999,12,31)))</f>
        <v/>
      </c>
      <c r="N22" s="41" t="str">
        <f aca="false">IF(AND($L22=1,$K22=1),COUNTIFS(Actions[Open action],1,Actions[Active pursuit],1,Actions[Sort date],"&lt;"&amp;$M22)+COUNTIFS(Actions[Open action],1,Actions[Active pursuit],1,Actions[Sort date],$M22,Actions[Action ID],"&lt;"&amp;$A22)+1,"")</f>
        <v/>
      </c>
      <c r="O22" s="41" t="str">
        <f aca="false">IF($L22&lt;&gt;1,"",COUNTIFS(Actions[Open action],1,Actions[Pursuit ID],$B22,Actions[Sort date],"&lt;"&amp;$M22)+COUNTIFS(Actions[Open action],1,Actions[Pursuit ID],$B22,Actions[Sort date],$M22,Actions[Action ID],"&lt;"&amp;$A22)+1)</f>
        <v/>
      </c>
      <c r="P22" s="41" t="str">
        <f aca="false">IF($A22="",IF(COUNTA(B22,D22:I22)&gt;0,"Missing action ID",""),IF(COUNTIFS(Actions[Action ID],$A22)&gt;1,"Duplicate action ID",IF(COUNTIFS(Pursuits[Pursuit ID],$B22)&lt;&gt;1,"Pursuit link needs review",IF($D22="","Add action text",""))))</f>
        <v/>
      </c>
      <c r="Q22" s="47" t="str">
        <f aca="false">IF($L22=1,$B22&amp;"|"&amp;$O22,"")</f>
        <v/>
      </c>
    </row>
    <row r="23" customFormat="false" ht="38" hidden="false" customHeight="true" outlineLevel="0" collapsed="false">
      <c r="A23" s="39"/>
      <c r="B23" s="39"/>
      <c r="C23" s="41" t="str">
        <f aca="false">IF(COUNTIFS(Pursuits[Pursuit ID],$B23)&lt;&gt;1,"",INDEX(Pursuits[Opportunity],MATCH($B23,Pursuits[Pursuit ID],0)))</f>
        <v/>
      </c>
      <c r="D23" s="39"/>
      <c r="E23" s="43"/>
      <c r="F23" s="39"/>
      <c r="G23" s="39"/>
      <c r="H23" s="39"/>
      <c r="I23" s="43"/>
      <c r="J23" s="41" t="str">
        <f aca="false">IF($P23&lt;&gt;"",$P23,IF($A23="","",IF(COUNTIFS(WorkStatuses[Status],$F23)&lt;&gt;1,"Choose a status",IF(INDEX(WorkStatuses[Input check],MATCH($F23,WorkStatuses[Status],0))&lt;&gt;"","Check status settings",_xlfn.TEXTJOIN(CHAR(10),TRUE(),IF(AND(INDEX(WorkStatuses[Complete],MATCH($F23,WorkStatuses[Status],0))=0,$E23=""),"Add due date",""),IF(AND($E23&lt;&gt;"",OR(NOT(ISNUMBER($E23)),$E23&lt;1,$E23&gt;=DATE(2099,1,1))),"Use a valid due date",""),IF(AND(INDEX(WorkStatuses[Complete],MATCH($F23,WorkStatuses[Status],0))=1,$I23=""),"Add completed date",""),IF(AND($I23&lt;&gt;"",OR(NOT(ISNUMBER($I23)),$I23&lt;1,$I23&gt;=DATE(2099,1,1))),"Use a valid completed date",""),IF(AND(INDEX(WorkStatuses[Complete],MATCH($F23,WorkStatuses[Status],0))=0,$I23&lt;&gt;""),"Check status and completed date",""),IF(AND(AND(ISNUMBER(Dashboard!$V$3),Dashboard!$V$3&gt;=1,Dashboard!$V$3&lt;DATE(2099,1,1)),ISNUMBER($I23),$I23&gt;Dashboard!$V$3),"Completed date is in future",""))))))</f>
        <v/>
      </c>
      <c r="K23" s="41" t="n">
        <f aca="false">IF($P23&lt;&gt;"",0,IF($A23="",0,SUMIFS(Pursuits[Active],Pursuits[Pursuit ID],$B23)))</f>
        <v>0</v>
      </c>
      <c r="L23" s="41" t="n">
        <f aca="false">IF(AND($A23&lt;&gt;"",$P23="",COUNTIFS(WorkStatuses[Status],$F23)=1),IF(INDEX(WorkStatuses[Input check],MATCH($F23,WorkStatuses[Status],0))&lt;&gt;"",0,IF(INDEX(WorkStatuses[Complete],MATCH($F23,WorkStatuses[Status],0))=0,1,0)),0)</f>
        <v>0</v>
      </c>
      <c r="M23" s="41" t="str">
        <f aca="false">IF($L23=0,"",IF(AND(ISNUMBER($E23),$E23&gt;=1,$E23&lt;DATE(2099,1,1)),$E23,DATE(9999,12,31)))</f>
        <v/>
      </c>
      <c r="N23" s="41" t="str">
        <f aca="false">IF(AND($L23=1,$K23=1),COUNTIFS(Actions[Open action],1,Actions[Active pursuit],1,Actions[Sort date],"&lt;"&amp;$M23)+COUNTIFS(Actions[Open action],1,Actions[Active pursuit],1,Actions[Sort date],$M23,Actions[Action ID],"&lt;"&amp;$A23)+1,"")</f>
        <v/>
      </c>
      <c r="O23" s="41" t="str">
        <f aca="false">IF($L23&lt;&gt;1,"",COUNTIFS(Actions[Open action],1,Actions[Pursuit ID],$B23,Actions[Sort date],"&lt;"&amp;$M23)+COUNTIFS(Actions[Open action],1,Actions[Pursuit ID],$B23,Actions[Sort date],$M23,Actions[Action ID],"&lt;"&amp;$A23)+1)</f>
        <v/>
      </c>
      <c r="P23" s="41" t="str">
        <f aca="false">IF($A23="",IF(COUNTA(B23,D23:I23)&gt;0,"Missing action ID",""),IF(COUNTIFS(Actions[Action ID],$A23)&gt;1,"Duplicate action ID",IF(COUNTIFS(Pursuits[Pursuit ID],$B23)&lt;&gt;1,"Pursuit link needs review",IF($D23="","Add action text",""))))</f>
        <v/>
      </c>
      <c r="Q23" s="47" t="str">
        <f aca="false">IF($L23=1,$B23&amp;"|"&amp;$O23,"")</f>
        <v/>
      </c>
    </row>
    <row r="24" customFormat="false" ht="38" hidden="false" customHeight="true" outlineLevel="0" collapsed="false">
      <c r="A24" s="39"/>
      <c r="B24" s="39"/>
      <c r="C24" s="41" t="str">
        <f aca="false">IF(COUNTIFS(Pursuits[Pursuit ID],$B24)&lt;&gt;1,"",INDEX(Pursuits[Opportunity],MATCH($B24,Pursuits[Pursuit ID],0)))</f>
        <v/>
      </c>
      <c r="D24" s="39"/>
      <c r="E24" s="43"/>
      <c r="F24" s="39"/>
      <c r="G24" s="39"/>
      <c r="H24" s="39"/>
      <c r="I24" s="43"/>
      <c r="J24" s="41" t="str">
        <f aca="false">IF($P24&lt;&gt;"",$P24,IF($A24="","",IF(COUNTIFS(WorkStatuses[Status],$F24)&lt;&gt;1,"Choose a status",IF(INDEX(WorkStatuses[Input check],MATCH($F24,WorkStatuses[Status],0))&lt;&gt;"","Check status settings",_xlfn.TEXTJOIN(CHAR(10),TRUE(),IF(AND(INDEX(WorkStatuses[Complete],MATCH($F24,WorkStatuses[Status],0))=0,$E24=""),"Add due date",""),IF(AND($E24&lt;&gt;"",OR(NOT(ISNUMBER($E24)),$E24&lt;1,$E24&gt;=DATE(2099,1,1))),"Use a valid due date",""),IF(AND(INDEX(WorkStatuses[Complete],MATCH($F24,WorkStatuses[Status],0))=1,$I24=""),"Add completed date",""),IF(AND($I24&lt;&gt;"",OR(NOT(ISNUMBER($I24)),$I24&lt;1,$I24&gt;=DATE(2099,1,1))),"Use a valid completed date",""),IF(AND(INDEX(WorkStatuses[Complete],MATCH($F24,WorkStatuses[Status],0))=0,$I24&lt;&gt;""),"Check status and completed date",""),IF(AND(AND(ISNUMBER(Dashboard!$V$3),Dashboard!$V$3&gt;=1,Dashboard!$V$3&lt;DATE(2099,1,1)),ISNUMBER($I24),$I24&gt;Dashboard!$V$3),"Completed date is in future",""))))))</f>
        <v/>
      </c>
      <c r="K24" s="41" t="n">
        <f aca="false">IF($P24&lt;&gt;"",0,IF($A24="",0,SUMIFS(Pursuits[Active],Pursuits[Pursuit ID],$B24)))</f>
        <v>0</v>
      </c>
      <c r="L24" s="41" t="n">
        <f aca="false">IF(AND($A24&lt;&gt;"",$P24="",COUNTIFS(WorkStatuses[Status],$F24)=1),IF(INDEX(WorkStatuses[Input check],MATCH($F24,WorkStatuses[Status],0))&lt;&gt;"",0,IF(INDEX(WorkStatuses[Complete],MATCH($F24,WorkStatuses[Status],0))=0,1,0)),0)</f>
        <v>0</v>
      </c>
      <c r="M24" s="41" t="str">
        <f aca="false">IF($L24=0,"",IF(AND(ISNUMBER($E24),$E24&gt;=1,$E24&lt;DATE(2099,1,1)),$E24,DATE(9999,12,31)))</f>
        <v/>
      </c>
      <c r="N24" s="41" t="str">
        <f aca="false">IF(AND($L24=1,$K24=1),COUNTIFS(Actions[Open action],1,Actions[Active pursuit],1,Actions[Sort date],"&lt;"&amp;$M24)+COUNTIFS(Actions[Open action],1,Actions[Active pursuit],1,Actions[Sort date],$M24,Actions[Action ID],"&lt;"&amp;$A24)+1,"")</f>
        <v/>
      </c>
      <c r="O24" s="41" t="str">
        <f aca="false">IF($L24&lt;&gt;1,"",COUNTIFS(Actions[Open action],1,Actions[Pursuit ID],$B24,Actions[Sort date],"&lt;"&amp;$M24)+COUNTIFS(Actions[Open action],1,Actions[Pursuit ID],$B24,Actions[Sort date],$M24,Actions[Action ID],"&lt;"&amp;$A24)+1)</f>
        <v/>
      </c>
      <c r="P24" s="41" t="str">
        <f aca="false">IF($A24="",IF(COUNTA(B24,D24:I24)&gt;0,"Missing action ID",""),IF(COUNTIFS(Actions[Action ID],$A24)&gt;1,"Duplicate action ID",IF(COUNTIFS(Pursuits[Pursuit ID],$B24)&lt;&gt;1,"Pursuit link needs review",IF($D24="","Add action text",""))))</f>
        <v/>
      </c>
      <c r="Q24" s="47" t="str">
        <f aca="false">IF($L24=1,$B24&amp;"|"&amp;$O24,"")</f>
        <v/>
      </c>
    </row>
    <row r="25" customFormat="false" ht="38" hidden="false" customHeight="true" outlineLevel="0" collapsed="false">
      <c r="A25" s="39"/>
      <c r="B25" s="39"/>
      <c r="C25" s="41" t="str">
        <f aca="false">IF(COUNTIFS(Pursuits[Pursuit ID],$B25)&lt;&gt;1,"",INDEX(Pursuits[Opportunity],MATCH($B25,Pursuits[Pursuit ID],0)))</f>
        <v/>
      </c>
      <c r="D25" s="39"/>
      <c r="E25" s="43"/>
      <c r="F25" s="39"/>
      <c r="G25" s="39"/>
      <c r="H25" s="39"/>
      <c r="I25" s="43"/>
      <c r="J25" s="41" t="str">
        <f aca="false">IF($P25&lt;&gt;"",$P25,IF($A25="","",IF(COUNTIFS(WorkStatuses[Status],$F25)&lt;&gt;1,"Choose a status",IF(INDEX(WorkStatuses[Input check],MATCH($F25,WorkStatuses[Status],0))&lt;&gt;"","Check status settings",_xlfn.TEXTJOIN(CHAR(10),TRUE(),IF(AND(INDEX(WorkStatuses[Complete],MATCH($F25,WorkStatuses[Status],0))=0,$E25=""),"Add due date",""),IF(AND($E25&lt;&gt;"",OR(NOT(ISNUMBER($E25)),$E25&lt;1,$E25&gt;=DATE(2099,1,1))),"Use a valid due date",""),IF(AND(INDEX(WorkStatuses[Complete],MATCH($F25,WorkStatuses[Status],0))=1,$I25=""),"Add completed date",""),IF(AND($I25&lt;&gt;"",OR(NOT(ISNUMBER($I25)),$I25&lt;1,$I25&gt;=DATE(2099,1,1))),"Use a valid completed date",""),IF(AND(INDEX(WorkStatuses[Complete],MATCH($F25,WorkStatuses[Status],0))=0,$I25&lt;&gt;""),"Check status and completed date",""),IF(AND(AND(ISNUMBER(Dashboard!$V$3),Dashboard!$V$3&gt;=1,Dashboard!$V$3&lt;DATE(2099,1,1)),ISNUMBER($I25),$I25&gt;Dashboard!$V$3),"Completed date is in future",""))))))</f>
        <v/>
      </c>
      <c r="K25" s="41" t="n">
        <f aca="false">IF($P25&lt;&gt;"",0,IF($A25="",0,SUMIFS(Pursuits[Active],Pursuits[Pursuit ID],$B25)))</f>
        <v>0</v>
      </c>
      <c r="L25" s="41" t="n">
        <f aca="false">IF(AND($A25&lt;&gt;"",$P25="",COUNTIFS(WorkStatuses[Status],$F25)=1),IF(INDEX(WorkStatuses[Input check],MATCH($F25,WorkStatuses[Status],0))&lt;&gt;"",0,IF(INDEX(WorkStatuses[Complete],MATCH($F25,WorkStatuses[Status],0))=0,1,0)),0)</f>
        <v>0</v>
      </c>
      <c r="M25" s="41" t="str">
        <f aca="false">IF($L25=0,"",IF(AND(ISNUMBER($E25),$E25&gt;=1,$E25&lt;DATE(2099,1,1)),$E25,DATE(9999,12,31)))</f>
        <v/>
      </c>
      <c r="N25" s="41" t="str">
        <f aca="false">IF(AND($L25=1,$K25=1),COUNTIFS(Actions[Open action],1,Actions[Active pursuit],1,Actions[Sort date],"&lt;"&amp;$M25)+COUNTIFS(Actions[Open action],1,Actions[Active pursuit],1,Actions[Sort date],$M25,Actions[Action ID],"&lt;"&amp;$A25)+1,"")</f>
        <v/>
      </c>
      <c r="O25" s="41" t="str">
        <f aca="false">IF($L25&lt;&gt;1,"",COUNTIFS(Actions[Open action],1,Actions[Pursuit ID],$B25,Actions[Sort date],"&lt;"&amp;$M25)+COUNTIFS(Actions[Open action],1,Actions[Pursuit ID],$B25,Actions[Sort date],$M25,Actions[Action ID],"&lt;"&amp;$A25)+1)</f>
        <v/>
      </c>
      <c r="P25" s="41" t="str">
        <f aca="false">IF($A25="",IF(COUNTA(B25,D25:I25)&gt;0,"Missing action ID",""),IF(COUNTIFS(Actions[Action ID],$A25)&gt;1,"Duplicate action ID",IF(COUNTIFS(Pursuits[Pursuit ID],$B25)&lt;&gt;1,"Pursuit link needs review",IF($D25="","Add action text",""))))</f>
        <v/>
      </c>
      <c r="Q25" s="47" t="str">
        <f aca="false">IF($L25=1,$B25&amp;"|"&amp;$O25,"")</f>
        <v/>
      </c>
    </row>
    <row r="26" customFormat="false" ht="38" hidden="false" customHeight="true" outlineLevel="0" collapsed="false">
      <c r="A26" s="39"/>
      <c r="B26" s="39"/>
      <c r="C26" s="41" t="str">
        <f aca="false">IF(COUNTIFS(Pursuits[Pursuit ID],$B26)&lt;&gt;1,"",INDEX(Pursuits[Opportunity],MATCH($B26,Pursuits[Pursuit ID],0)))</f>
        <v/>
      </c>
      <c r="D26" s="39"/>
      <c r="E26" s="43"/>
      <c r="F26" s="39"/>
      <c r="G26" s="39"/>
      <c r="H26" s="39"/>
      <c r="I26" s="43"/>
      <c r="J26" s="41" t="str">
        <f aca="false">IF($P26&lt;&gt;"",$P26,IF($A26="","",IF(COUNTIFS(WorkStatuses[Status],$F26)&lt;&gt;1,"Choose a status",IF(INDEX(WorkStatuses[Input check],MATCH($F26,WorkStatuses[Status],0))&lt;&gt;"","Check status settings",_xlfn.TEXTJOIN(CHAR(10),TRUE(),IF(AND(INDEX(WorkStatuses[Complete],MATCH($F26,WorkStatuses[Status],0))=0,$E26=""),"Add due date",""),IF(AND($E26&lt;&gt;"",OR(NOT(ISNUMBER($E26)),$E26&lt;1,$E26&gt;=DATE(2099,1,1))),"Use a valid due date",""),IF(AND(INDEX(WorkStatuses[Complete],MATCH($F26,WorkStatuses[Status],0))=1,$I26=""),"Add completed date",""),IF(AND($I26&lt;&gt;"",OR(NOT(ISNUMBER($I26)),$I26&lt;1,$I26&gt;=DATE(2099,1,1))),"Use a valid completed date",""),IF(AND(INDEX(WorkStatuses[Complete],MATCH($F26,WorkStatuses[Status],0))=0,$I26&lt;&gt;""),"Check status and completed date",""),IF(AND(AND(ISNUMBER(Dashboard!$V$3),Dashboard!$V$3&gt;=1,Dashboard!$V$3&lt;DATE(2099,1,1)),ISNUMBER($I26),$I26&gt;Dashboard!$V$3),"Completed date is in future",""))))))</f>
        <v/>
      </c>
      <c r="K26" s="41" t="n">
        <f aca="false">IF($P26&lt;&gt;"",0,IF($A26="",0,SUMIFS(Pursuits[Active],Pursuits[Pursuit ID],$B26)))</f>
        <v>0</v>
      </c>
      <c r="L26" s="41" t="n">
        <f aca="false">IF(AND($A26&lt;&gt;"",$P26="",COUNTIFS(WorkStatuses[Status],$F26)=1),IF(INDEX(WorkStatuses[Input check],MATCH($F26,WorkStatuses[Status],0))&lt;&gt;"",0,IF(INDEX(WorkStatuses[Complete],MATCH($F26,WorkStatuses[Status],0))=0,1,0)),0)</f>
        <v>0</v>
      </c>
      <c r="M26" s="41" t="str">
        <f aca="false">IF($L26=0,"",IF(AND(ISNUMBER($E26),$E26&gt;=1,$E26&lt;DATE(2099,1,1)),$E26,DATE(9999,12,31)))</f>
        <v/>
      </c>
      <c r="N26" s="41" t="str">
        <f aca="false">IF(AND($L26=1,$K26=1),COUNTIFS(Actions[Open action],1,Actions[Active pursuit],1,Actions[Sort date],"&lt;"&amp;$M26)+COUNTIFS(Actions[Open action],1,Actions[Active pursuit],1,Actions[Sort date],$M26,Actions[Action ID],"&lt;"&amp;$A26)+1,"")</f>
        <v/>
      </c>
      <c r="O26" s="41" t="str">
        <f aca="false">IF($L26&lt;&gt;1,"",COUNTIFS(Actions[Open action],1,Actions[Pursuit ID],$B26,Actions[Sort date],"&lt;"&amp;$M26)+COUNTIFS(Actions[Open action],1,Actions[Pursuit ID],$B26,Actions[Sort date],$M26,Actions[Action ID],"&lt;"&amp;$A26)+1)</f>
        <v/>
      </c>
      <c r="P26" s="41" t="str">
        <f aca="false">IF($A26="",IF(COUNTA(B26,D26:I26)&gt;0,"Missing action ID",""),IF(COUNTIFS(Actions[Action ID],$A26)&gt;1,"Duplicate action ID",IF(COUNTIFS(Pursuits[Pursuit ID],$B26)&lt;&gt;1,"Pursuit link needs review",IF($D26="","Add action text",""))))</f>
        <v/>
      </c>
      <c r="Q26" s="47" t="str">
        <f aca="false">IF($L26=1,$B26&amp;"|"&amp;$O26,"")</f>
        <v/>
      </c>
    </row>
    <row r="27" customFormat="false" ht="38" hidden="false" customHeight="true" outlineLevel="0" collapsed="false">
      <c r="A27" s="39"/>
      <c r="B27" s="39"/>
      <c r="C27" s="41" t="str">
        <f aca="false">IF(COUNTIFS(Pursuits[Pursuit ID],$B27)&lt;&gt;1,"",INDEX(Pursuits[Opportunity],MATCH($B27,Pursuits[Pursuit ID],0)))</f>
        <v/>
      </c>
      <c r="D27" s="39"/>
      <c r="E27" s="43"/>
      <c r="F27" s="39"/>
      <c r="G27" s="39"/>
      <c r="H27" s="39"/>
      <c r="I27" s="43"/>
      <c r="J27" s="41" t="str">
        <f aca="false">IF($P27&lt;&gt;"",$P27,IF($A27="","",IF(COUNTIFS(WorkStatuses[Status],$F27)&lt;&gt;1,"Choose a status",IF(INDEX(WorkStatuses[Input check],MATCH($F27,WorkStatuses[Status],0))&lt;&gt;"","Check status settings",_xlfn.TEXTJOIN(CHAR(10),TRUE(),IF(AND(INDEX(WorkStatuses[Complete],MATCH($F27,WorkStatuses[Status],0))=0,$E27=""),"Add due date",""),IF(AND($E27&lt;&gt;"",OR(NOT(ISNUMBER($E27)),$E27&lt;1,$E27&gt;=DATE(2099,1,1))),"Use a valid due date",""),IF(AND(INDEX(WorkStatuses[Complete],MATCH($F27,WorkStatuses[Status],0))=1,$I27=""),"Add completed date",""),IF(AND($I27&lt;&gt;"",OR(NOT(ISNUMBER($I27)),$I27&lt;1,$I27&gt;=DATE(2099,1,1))),"Use a valid completed date",""),IF(AND(INDEX(WorkStatuses[Complete],MATCH($F27,WorkStatuses[Status],0))=0,$I27&lt;&gt;""),"Check status and completed date",""),IF(AND(AND(ISNUMBER(Dashboard!$V$3),Dashboard!$V$3&gt;=1,Dashboard!$V$3&lt;DATE(2099,1,1)),ISNUMBER($I27),$I27&gt;Dashboard!$V$3),"Completed date is in future",""))))))</f>
        <v/>
      </c>
      <c r="K27" s="41" t="n">
        <f aca="false">IF($P27&lt;&gt;"",0,IF($A27="",0,SUMIFS(Pursuits[Active],Pursuits[Pursuit ID],$B27)))</f>
        <v>0</v>
      </c>
      <c r="L27" s="41" t="n">
        <f aca="false">IF(AND($A27&lt;&gt;"",$P27="",COUNTIFS(WorkStatuses[Status],$F27)=1),IF(INDEX(WorkStatuses[Input check],MATCH($F27,WorkStatuses[Status],0))&lt;&gt;"",0,IF(INDEX(WorkStatuses[Complete],MATCH($F27,WorkStatuses[Status],0))=0,1,0)),0)</f>
        <v>0</v>
      </c>
      <c r="M27" s="41" t="str">
        <f aca="false">IF($L27=0,"",IF(AND(ISNUMBER($E27),$E27&gt;=1,$E27&lt;DATE(2099,1,1)),$E27,DATE(9999,12,31)))</f>
        <v/>
      </c>
      <c r="N27" s="41" t="str">
        <f aca="false">IF(AND($L27=1,$K27=1),COUNTIFS(Actions[Open action],1,Actions[Active pursuit],1,Actions[Sort date],"&lt;"&amp;$M27)+COUNTIFS(Actions[Open action],1,Actions[Active pursuit],1,Actions[Sort date],$M27,Actions[Action ID],"&lt;"&amp;$A27)+1,"")</f>
        <v/>
      </c>
      <c r="O27" s="41" t="str">
        <f aca="false">IF($L27&lt;&gt;1,"",COUNTIFS(Actions[Open action],1,Actions[Pursuit ID],$B27,Actions[Sort date],"&lt;"&amp;$M27)+COUNTIFS(Actions[Open action],1,Actions[Pursuit ID],$B27,Actions[Sort date],$M27,Actions[Action ID],"&lt;"&amp;$A27)+1)</f>
        <v/>
      </c>
      <c r="P27" s="41" t="str">
        <f aca="false">IF($A27="",IF(COUNTA(B27,D27:I27)&gt;0,"Missing action ID",""),IF(COUNTIFS(Actions[Action ID],$A27)&gt;1,"Duplicate action ID",IF(COUNTIFS(Pursuits[Pursuit ID],$B27)&lt;&gt;1,"Pursuit link needs review",IF($D27="","Add action text",""))))</f>
        <v/>
      </c>
      <c r="Q27" s="47" t="str">
        <f aca="false">IF($L27=1,$B27&amp;"|"&amp;$O27,"")</f>
        <v/>
      </c>
    </row>
  </sheetData>
  <mergeCells count="2">
    <mergeCell ref="A2:B2"/>
    <mergeCell ref="C4:F4"/>
  </mergeCells>
  <conditionalFormatting sqref="F8:F5007">
    <cfRule type="expression" priority="2" aboveAverage="0" equalAverage="0" bottom="0" percent="0" rank="0" text="" dxfId="57">
      <formula>AND(F8='Source Data'!$AD$51,'Source Data'!$AE$51=0,'Source Data'!$AF$51="")</formula>
    </cfRule>
    <cfRule type="expression" priority="3" aboveAverage="0" equalAverage="0" bottom="0" percent="0" rank="0" text="" dxfId="58">
      <formula>AND(F8='Source Data'!$AD$52,'Source Data'!$AE$52=0,'Source Data'!$AF$52="")</formula>
    </cfRule>
    <cfRule type="expression" priority="4" aboveAverage="0" equalAverage="0" bottom="0" percent="0" rank="0" text="" dxfId="59">
      <formula>AND(F8='Source Data'!$AD$53,'Source Data'!$AE$53=0,'Source Data'!$AF$53="")</formula>
    </cfRule>
    <cfRule type="expression" priority="5" aboveAverage="0" equalAverage="0" bottom="0" percent="0" rank="0" text="" dxfId="60">
      <formula>AND(F8='Source Data'!$AD$51,'Source Data'!$AE$51=1,'Source Data'!$AF$51="")</formula>
    </cfRule>
    <cfRule type="expression" priority="6" aboveAverage="0" equalAverage="0" bottom="0" percent="0" rank="0" text="" dxfId="61">
      <formula>AND(F8='Source Data'!$AD$52,'Source Data'!$AE$52=1,'Source Data'!$AF$52="")</formula>
    </cfRule>
    <cfRule type="expression" priority="7" aboveAverage="0" equalAverage="0" bottom="0" percent="0" rank="0" text="" dxfId="62">
      <formula>AND(F8='Source Data'!$AD$53,'Source Data'!$AE$53=1,'Source Data'!$AF$53="")</formula>
    </cfRule>
    <cfRule type="expression" priority="8" aboveAverage="0" equalAverage="0" bottom="0" percent="0" rank="0" text="" dxfId="63">
      <formula>AND(F8='Source Data'!$AD$54,'Source Data'!$AE$54=1,'Source Data'!$AF$54="")</formula>
    </cfRule>
  </conditionalFormatting>
  <conditionalFormatting sqref="J8:J27">
    <cfRule type="expression" priority="9" aboveAverage="0" equalAverage="0" bottom="0" percent="0" rank="0" text="" dxfId="64">
      <formula>LEN(J8)&gt;0</formula>
    </cfRule>
  </conditionalFormatting>
  <conditionalFormatting sqref="E8:E5007">
    <cfRule type="expression" priority="10" aboveAverage="0" equalAverage="0" bottom="0" percent="0" rank="0" text="" dxfId="65">
      <formula>AND(ISNUMBER(E8),E8&lt;Dashboard!$V$3,L8=1,K8=1)</formula>
    </cfRule>
  </conditionalFormatting>
  <dataValidations count="1">
    <dataValidation type="list" allowBlank="1" showErrorMessage="1" errorStyle="stop" errorTitle="Check this input" error="Use a valid value for this field." sqref="F8:F5007">
      <formula1>StatusNames</formula1>
    </dataValidation>
  </dataValidation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&amp;L&amp;"Arial,Bold"&amp;11Actions</oddHeader>
    <oddFooter>&amp;LActions&amp;RPage &amp;P of &amp;N</oddFooter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tabColor rgb="FF2A91AC"/>
    <outlinePr summaryRight="0"/>
    <pageSetUpPr fitToPage="1"/>
  </sheetPr>
  <dimension ref="A1:AJ70"/>
  <sheetViews>
    <sheetView showFormulas="false" showGridLines="0" showRowColHeaders="true" showZeros="true" rightToLeft="false" tabSelected="0" showOutlineSymbols="true" defaultGridColor="true" view="normal" topLeftCell="A1" colorId="64" zoomScale="90" zoomScaleNormal="90" zoomScalePageLayoutView="100" workbookViewId="0">
      <pane xSplit="2" ySplit="7" topLeftCell="C8" activePane="bottomRight" state="frozen"/>
      <selection pane="topLeft" activeCell="A1" activeCellId="0" sqref="A1"/>
      <selection pane="topRight" activeCell="C1" activeCellId="0" sqref="C1"/>
      <selection pane="bottomLeft" activeCell="A8" activeCellId="0" sqref="A8"/>
      <selection pane="bottomRight" activeCell="A1" activeCellId="0" sqref="A1"/>
    </sheetView>
  </sheetViews>
  <sheetFormatPr defaultColWidth="8.6796875" defaultRowHeight="15" customHeight="false" zeroHeight="false" outlineLevelRow="0" outlineLevelCol="1"/>
  <cols>
    <col customWidth="true" max="2" min="2" style="0" width="10"/>
    <col customWidth="true" max="3" min="3" style="0" width="33.33"/>
    <col customWidth="true" max="4" min="4" style="0" width="15.56" hidden="1" outlineLevel="1"/>
    <col customWidth="true" max="5" min="5" style="0" width="20" hidden="1" outlineLevel="1"/>
    <col customWidth="true" max="6" min="6" style="0" width="27.78" hidden="1" outlineLevel="1"/>
    <col customWidth="true" max="7" min="7" style="0" width="12.78" hidden="1" outlineLevel="1"/>
    <col customWidth="true" max="8" min="8" style="0" width="12.78"/>
    <col customWidth="true" max="9" min="9" style="0" width="13.34" hidden="1" outlineLevel="1"/>
    <col customWidth="true" max="10" min="10" style="0" width="10" hidden="1" outlineLevel="1"/>
    <col customWidth="true" max="11" min="11" style="0" width="24.44" hidden="1" outlineLevel="1"/>
    <col customWidth="true" max="12" min="12" style="0" width="14.44" hidden="1" outlineLevel="1"/>
    <col customWidth="true" max="13" min="13" style="0" width="14.44" hidden="1" outlineLevel="1"/>
    <col customWidth="true" max="14" min="14" style="0" width="14.44" hidden="1" outlineLevel="1"/>
    <col customWidth="true" max="15" min="15" style="0" width="15" hidden="1" outlineLevel="1"/>
    <col customWidth="true" max="16" min="16" style="0" width="15" hidden="1" outlineLevel="1"/>
    <col customWidth="true" max="17" min="17" style="0" width="24.44" hidden="1" outlineLevel="1"/>
    <col customWidth="true" max="18" min="18" style="0" width="20" hidden="1" outlineLevel="1"/>
    <col customWidth="true" max="19" min="19" style="0" width="24.44" hidden="1" outlineLevel="1"/>
    <col customWidth="true" max="20" min="20" style="0" width="12.78" hidden="1" outlineLevel="1"/>
    <col customWidth="true" max="21" min="21" style="0" width="33.33" hidden="1" outlineLevel="1"/>
    <col customWidth="true" max="22" min="22" style="0" width="33.33" hidden="1" outlineLevel="1"/>
    <col customWidth="true" max="23" min="23" style="0" width="41.11"/>
    <col customWidth="true" max="24" min="24" style="0" width="24.44"/>
    <col customWidth="true" max="25" min="25" style="0" width="30.56" hidden="1" outlineLevel="1"/>
    <col customWidth="true" max="26" min="26" style="0" width="24.44"/>
    <col customWidth="true" max="27" min="27" style="0" width="13.89"/>
    <col customWidth="true" max="30" min="30" style="0" width="23.89"/>
    <col customWidth="true" max="31" min="31" style="0" width="10.56"/>
    <col customWidth="true" max="32" min="32" style="0" width="21.11"/>
    <col customWidth="true" max="33" min="33" style="0" width="8"/>
    <col customWidth="true" max="34" min="34" style="0" width="8"/>
    <col customWidth="true" max="35" min="35" style="0" width="8"/>
    <col customWidth="true" max="36" min="36" style="0" width="8"/>
  </cols>
  <sheetData>
    <row r="1" customFormat="false" ht="9" hidden="false" customHeight="true" outlineLevel="0" collapsed="false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  <c r="W1" s="32"/>
      <c r="X1" s="32"/>
      <c r="Y1" s="32"/>
      <c r="Z1" s="32"/>
      <c r="AA1" s="32"/>
    </row>
    <row r="2" customFormat="false" ht="30" hidden="false" customHeight="true" outlineLevel="0" collapsed="false">
      <c r="A2" s="33" t="s">
        <v>29</v>
      </c>
      <c r="B2" s="33" t="s">
        <v>29</v>
      </c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</row>
    <row r="3" customFormat="false" ht="8" hidden="false" customHeight="true" outlineLevel="0" collapsed="false">
      <c r="A3" s="32"/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</row>
    <row r="4" customFormat="false" ht="22" hidden="false" customHeight="true" outlineLevel="0" collapsed="false">
      <c r="A4" s="34" t="s">
        <v>4</v>
      </c>
      <c r="B4" s="35" t="str">
        <f aca="false">IF(Dashboard!$V$3="","",Dashboard!$V$3)</f>
        <v/>
      </c>
      <c r="C4" s="36" t="s">
        <v>84</v>
      </c>
      <c r="D4" s="36" t="s">
        <v>84</v>
      </c>
      <c r="E4" s="36" t="s">
        <v>84</v>
      </c>
      <c r="F4" s="36" t="s">
        <v>84</v>
      </c>
      <c r="G4" s="32"/>
      <c r="H4" s="32" t="s">
        <v>30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</row>
    <row r="5" customFormat="false" ht="20" hidden="false" customHeight="true" outlineLevel="0" collapsed="false">
      <c r="A5" s="32" t="s">
        <v>85</v>
      </c>
      <c r="B5" s="32"/>
      <c r="C5" s="36"/>
      <c r="D5" s="32"/>
      <c r="E5" s="32"/>
      <c r="F5" s="32"/>
      <c r="G5" s="32"/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</row>
    <row r="6" customFormat="false" ht="10" hidden="false" customHeight="true" outlineLevel="0" collapsed="false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customFormat="false" ht="34" hidden="false" customHeight="true" outlineLevel="0" collapsed="false">
      <c r="A7" s="38" t="s">
        <v>57</v>
      </c>
      <c r="B7" s="38" t="s">
        <v>33</v>
      </c>
      <c r="C7" s="38" t="s">
        <v>86</v>
      </c>
      <c r="D7" s="38" t="s">
        <v>87</v>
      </c>
      <c r="E7" s="38" t="s">
        <v>43</v>
      </c>
      <c r="F7" s="38" t="s">
        <v>42</v>
      </c>
      <c r="G7" s="38" t="s">
        <v>88</v>
      </c>
      <c r="H7" s="38" t="s">
        <v>89</v>
      </c>
      <c r="I7" s="38" t="s">
        <v>90</v>
      </c>
      <c r="J7" s="38" t="s">
        <v>91</v>
      </c>
      <c r="K7" s="38" t="s">
        <v>92</v>
      </c>
      <c r="L7" s="38" t="s">
        <v>46</v>
      </c>
      <c r="M7" s="38" t="s">
        <v>47</v>
      </c>
      <c r="N7" s="38" t="s">
        <v>93</v>
      </c>
      <c r="O7" s="38" t="s">
        <v>94</v>
      </c>
      <c r="P7" s="38" t="s">
        <v>95</v>
      </c>
      <c r="Q7" s="38" t="s">
        <v>44</v>
      </c>
      <c r="R7" s="38" t="s">
        <v>45</v>
      </c>
      <c r="S7" s="38" t="s">
        <v>96</v>
      </c>
      <c r="T7" s="38" t="s">
        <v>97</v>
      </c>
      <c r="U7" s="38" t="s">
        <v>98</v>
      </c>
      <c r="V7" s="38" t="s">
        <v>99</v>
      </c>
      <c r="W7" s="38" t="s">
        <v>100</v>
      </c>
      <c r="X7" s="38" t="s">
        <v>101</v>
      </c>
      <c r="Y7" s="38" t="s">
        <v>102</v>
      </c>
      <c r="Z7" s="38" t="s">
        <v>70</v>
      </c>
      <c r="AA7" s="38" t="s">
        <v>103</v>
      </c>
    </row>
    <row r="8" customFormat="false" ht="27" hidden="false" customHeight="true" outlineLevel="0" collapsed="false">
      <c r="A8" s="48"/>
      <c r="B8" s="48"/>
      <c r="C8" s="48"/>
      <c r="D8" s="48"/>
      <c r="E8" s="48"/>
      <c r="F8" s="48"/>
      <c r="G8" s="48"/>
      <c r="H8" s="49"/>
      <c r="I8" s="50"/>
      <c r="J8" s="48"/>
      <c r="K8" s="48"/>
      <c r="L8" s="49"/>
      <c r="M8" s="49"/>
      <c r="N8" s="48"/>
      <c r="O8" s="51"/>
      <c r="P8" s="51"/>
      <c r="Q8" s="48"/>
      <c r="R8" s="48"/>
      <c r="S8" s="48"/>
      <c r="T8" s="49"/>
      <c r="U8" s="48"/>
      <c r="V8" s="48"/>
      <c r="W8" s="48"/>
      <c r="X8" s="48"/>
      <c r="Y8" s="48"/>
      <c r="Z8" s="52" t="str">
        <f aca="false">IF($A8="",IF(COUNTA(B8:Y8)&gt;0,"Missing source ID",""),IF(COUNTIFS(Sources[Source ID],$A8)&gt;1,"Duplicate source ID",IF(COUNTIFS(Pursuits[Pursuit ID],$B8)&lt;&gt;1,"Pursuit link needs review",IF(AND($H8&lt;&gt;"",OR(NOT(ISNUMBER($H8)),$H8&lt;1,$H8&gt;=DATE(2099,1,1))),"Use a valid response date",""))))</f>
        <v/>
      </c>
      <c r="AA8" s="46" t="str">
        <f aca="false">IF(OR($A8="",$U8=""),"",HYPERLINK($U8,"Open GovTribe"))</f>
        <v/>
      </c>
    </row>
    <row r="9" customFormat="false" ht="27" hidden="false" customHeight="true" outlineLevel="0" collapsed="false">
      <c r="A9" s="48"/>
      <c r="B9" s="48"/>
      <c r="C9" s="48"/>
      <c r="D9" s="48"/>
      <c r="E9" s="48"/>
      <c r="F9" s="48"/>
      <c r="G9" s="48"/>
      <c r="H9" s="49"/>
      <c r="I9" s="50"/>
      <c r="J9" s="48"/>
      <c r="K9" s="48"/>
      <c r="L9" s="49"/>
      <c r="M9" s="49"/>
      <c r="N9" s="48"/>
      <c r="O9" s="51"/>
      <c r="P9" s="51"/>
      <c r="Q9" s="48"/>
      <c r="R9" s="48"/>
      <c r="S9" s="48"/>
      <c r="T9" s="49"/>
      <c r="U9" s="48"/>
      <c r="V9" s="48"/>
      <c r="W9" s="48"/>
      <c r="X9" s="48"/>
      <c r="Y9" s="48"/>
      <c r="Z9" s="52" t="str">
        <f aca="false">IF($A9="",IF(COUNTA(B9:Y9)&gt;0,"Missing source ID",""),IF(COUNTIFS(Sources[Source ID],$A9)&gt;1,"Duplicate source ID",IF(COUNTIFS(Pursuits[Pursuit ID],$B9)&lt;&gt;1,"Pursuit link needs review",IF(AND($H9&lt;&gt;"",OR(NOT(ISNUMBER($H9)),$H9&lt;1,$H9&gt;=DATE(2099,1,1))),"Use a valid response date",""))))</f>
        <v/>
      </c>
      <c r="AA9" s="46" t="str">
        <f aca="false">IF(OR($A9="",$U9=""),"",HYPERLINK($U9,"Open GovTribe"))</f>
        <v/>
      </c>
    </row>
    <row r="10" customFormat="false" ht="27" hidden="false" customHeight="true" outlineLevel="0" collapsed="false">
      <c r="A10" s="48"/>
      <c r="B10" s="48"/>
      <c r="C10" s="48"/>
      <c r="D10" s="48"/>
      <c r="E10" s="48"/>
      <c r="F10" s="48"/>
      <c r="G10" s="48"/>
      <c r="H10" s="49"/>
      <c r="I10" s="50"/>
      <c r="J10" s="48"/>
      <c r="K10" s="48"/>
      <c r="L10" s="49"/>
      <c r="M10" s="49"/>
      <c r="N10" s="48"/>
      <c r="O10" s="51"/>
      <c r="P10" s="51"/>
      <c r="Q10" s="48"/>
      <c r="R10" s="48"/>
      <c r="S10" s="48"/>
      <c r="T10" s="49"/>
      <c r="U10" s="48"/>
      <c r="V10" s="48"/>
      <c r="W10" s="48"/>
      <c r="X10" s="48"/>
      <c r="Y10" s="48"/>
      <c r="Z10" s="52" t="str">
        <f aca="false">IF($A10="",IF(COUNTA(B10:Y10)&gt;0,"Missing source ID",""),IF(COUNTIFS(Sources[Source ID],$A10)&gt;1,"Duplicate source ID",IF(COUNTIFS(Pursuits[Pursuit ID],$B10)&lt;&gt;1,"Pursuit link needs review",IF(AND($H10&lt;&gt;"",OR(NOT(ISNUMBER($H10)),$H10&lt;1,$H10&gt;=DATE(2099,1,1))),"Use a valid response date",""))))</f>
        <v/>
      </c>
      <c r="AA10" s="46" t="str">
        <f aca="false">IF(OR($A10="",$U10=""),"",HYPERLINK($U10,"Open GovTribe"))</f>
        <v/>
      </c>
    </row>
    <row r="11" customFormat="false" ht="27" hidden="false" customHeight="true" outlineLevel="0" collapsed="false">
      <c r="A11" s="48"/>
      <c r="B11" s="48"/>
      <c r="C11" s="48"/>
      <c r="D11" s="48"/>
      <c r="E11" s="48"/>
      <c r="F11" s="48"/>
      <c r="G11" s="48"/>
      <c r="H11" s="49"/>
      <c r="I11" s="50"/>
      <c r="J11" s="48"/>
      <c r="K11" s="48"/>
      <c r="L11" s="49"/>
      <c r="M11" s="49"/>
      <c r="N11" s="48"/>
      <c r="O11" s="51"/>
      <c r="P11" s="51"/>
      <c r="Q11" s="48"/>
      <c r="R11" s="48"/>
      <c r="S11" s="48"/>
      <c r="T11" s="49"/>
      <c r="U11" s="48"/>
      <c r="V11" s="48"/>
      <c r="W11" s="48"/>
      <c r="X11" s="48"/>
      <c r="Y11" s="48"/>
      <c r="Z11" s="52" t="str">
        <f aca="false">IF($A11="",IF(COUNTA(B11:Y11)&gt;0,"Missing source ID",""),IF(COUNTIFS(Sources[Source ID],$A11)&gt;1,"Duplicate source ID",IF(COUNTIFS(Pursuits[Pursuit ID],$B11)&lt;&gt;1,"Pursuit link needs review",IF(AND($H11&lt;&gt;"",OR(NOT(ISNUMBER($H11)),$H11&lt;1,$H11&gt;=DATE(2099,1,1))),"Use a valid response date",""))))</f>
        <v/>
      </c>
      <c r="AA11" s="46" t="str">
        <f aca="false">IF(OR($A11="",$U11=""),"",HYPERLINK($U11,"Open GovTribe"))</f>
        <v/>
      </c>
    </row>
    <row r="12" customFormat="false" ht="27" hidden="false" customHeight="true" outlineLevel="0" collapsed="false">
      <c r="A12" s="48"/>
      <c r="B12" s="48"/>
      <c r="C12" s="48"/>
      <c r="D12" s="48"/>
      <c r="E12" s="48"/>
      <c r="F12" s="48"/>
      <c r="G12" s="48"/>
      <c r="H12" s="49"/>
      <c r="I12" s="50"/>
      <c r="J12" s="48"/>
      <c r="K12" s="48"/>
      <c r="L12" s="49"/>
      <c r="M12" s="49"/>
      <c r="N12" s="48"/>
      <c r="O12" s="51"/>
      <c r="P12" s="51"/>
      <c r="Q12" s="48"/>
      <c r="R12" s="48"/>
      <c r="S12" s="48"/>
      <c r="T12" s="49"/>
      <c r="U12" s="48"/>
      <c r="V12" s="48"/>
      <c r="W12" s="48"/>
      <c r="X12" s="48"/>
      <c r="Y12" s="48"/>
      <c r="Z12" s="52" t="str">
        <f aca="false">IF($A12="",IF(COUNTA(B12:Y12)&gt;0,"Missing source ID",""),IF(COUNTIFS(Sources[Source ID],$A12)&gt;1,"Duplicate source ID",IF(COUNTIFS(Pursuits[Pursuit ID],$B12)&lt;&gt;1,"Pursuit link needs review",IF(AND($H12&lt;&gt;"",OR(NOT(ISNUMBER($H12)),$H12&lt;1,$H12&gt;=DATE(2099,1,1))),"Use a valid response date",""))))</f>
        <v/>
      </c>
      <c r="AA12" s="46" t="str">
        <f aca="false">IF(OR($A12="",$U12=""),"",HYPERLINK($U12,"Open GovTribe"))</f>
        <v/>
      </c>
    </row>
    <row r="13" customFormat="false" ht="27" hidden="false" customHeight="true" outlineLevel="0" collapsed="false">
      <c r="A13" s="48"/>
      <c r="B13" s="48"/>
      <c r="C13" s="48"/>
      <c r="D13" s="48"/>
      <c r="E13" s="48"/>
      <c r="F13" s="48"/>
      <c r="G13" s="48"/>
      <c r="H13" s="49"/>
      <c r="I13" s="50"/>
      <c r="J13" s="48"/>
      <c r="K13" s="48"/>
      <c r="L13" s="49"/>
      <c r="M13" s="49"/>
      <c r="N13" s="48"/>
      <c r="O13" s="51"/>
      <c r="P13" s="51"/>
      <c r="Q13" s="48"/>
      <c r="R13" s="48"/>
      <c r="S13" s="48"/>
      <c r="T13" s="49"/>
      <c r="U13" s="48"/>
      <c r="V13" s="48"/>
      <c r="W13" s="48"/>
      <c r="X13" s="48"/>
      <c r="Y13" s="48"/>
      <c r="Z13" s="52" t="str">
        <f aca="false">IF($A13="",IF(COUNTA(B13:Y13)&gt;0,"Missing source ID",""),IF(COUNTIFS(Sources[Source ID],$A13)&gt;1,"Duplicate source ID",IF(COUNTIFS(Pursuits[Pursuit ID],$B13)&lt;&gt;1,"Pursuit link needs review",IF(AND($H13&lt;&gt;"",OR(NOT(ISNUMBER($H13)),$H13&lt;1,$H13&gt;=DATE(2099,1,1))),"Use a valid response date",""))))</f>
        <v/>
      </c>
      <c r="AA13" s="46" t="str">
        <f aca="false">IF(OR($A13="",$U13=""),"",HYPERLINK($U13,"Open GovTribe"))</f>
        <v/>
      </c>
    </row>
    <row r="14" customFormat="false" ht="27" hidden="false" customHeight="true" outlineLevel="0" collapsed="false">
      <c r="A14" s="48"/>
      <c r="B14" s="48"/>
      <c r="C14" s="48"/>
      <c r="D14" s="48"/>
      <c r="E14" s="48"/>
      <c r="F14" s="48"/>
      <c r="G14" s="48"/>
      <c r="H14" s="49"/>
      <c r="I14" s="50"/>
      <c r="J14" s="48"/>
      <c r="K14" s="48"/>
      <c r="L14" s="49"/>
      <c r="M14" s="49"/>
      <c r="N14" s="48"/>
      <c r="O14" s="51"/>
      <c r="P14" s="51"/>
      <c r="Q14" s="48"/>
      <c r="R14" s="48"/>
      <c r="S14" s="48"/>
      <c r="T14" s="49"/>
      <c r="U14" s="48"/>
      <c r="V14" s="48"/>
      <c r="W14" s="48"/>
      <c r="X14" s="48"/>
      <c r="Y14" s="48"/>
      <c r="Z14" s="52" t="str">
        <f aca="false">IF($A14="",IF(COUNTA(B14:Y14)&gt;0,"Missing source ID",""),IF(COUNTIFS(Sources[Source ID],$A14)&gt;1,"Duplicate source ID",IF(COUNTIFS(Pursuits[Pursuit ID],$B14)&lt;&gt;1,"Pursuit link needs review",IF(AND($H14&lt;&gt;"",OR(NOT(ISNUMBER($H14)),$H14&lt;1,$H14&gt;=DATE(2099,1,1))),"Use a valid response date",""))))</f>
        <v/>
      </c>
      <c r="AA14" s="46" t="str">
        <f aca="false">IF(OR($A14="",$U14=""),"",HYPERLINK($U14,"Open GovTribe"))</f>
        <v/>
      </c>
    </row>
    <row r="15" customFormat="false" ht="27" hidden="false" customHeight="true" outlineLevel="0" collapsed="false">
      <c r="A15" s="48"/>
      <c r="B15" s="48"/>
      <c r="C15" s="48"/>
      <c r="D15" s="48"/>
      <c r="E15" s="48"/>
      <c r="F15" s="48"/>
      <c r="G15" s="48"/>
      <c r="H15" s="49"/>
      <c r="I15" s="50"/>
      <c r="J15" s="48"/>
      <c r="K15" s="48"/>
      <c r="L15" s="49"/>
      <c r="M15" s="49"/>
      <c r="N15" s="48"/>
      <c r="O15" s="51"/>
      <c r="P15" s="51"/>
      <c r="Q15" s="48"/>
      <c r="R15" s="48"/>
      <c r="S15" s="48"/>
      <c r="T15" s="49"/>
      <c r="U15" s="48"/>
      <c r="V15" s="48"/>
      <c r="W15" s="48"/>
      <c r="X15" s="48"/>
      <c r="Y15" s="48"/>
      <c r="Z15" s="52" t="str">
        <f aca="false">IF($A15="",IF(COUNTA(B15:Y15)&gt;0,"Missing source ID",""),IF(COUNTIFS(Sources[Source ID],$A15)&gt;1,"Duplicate source ID",IF(COUNTIFS(Pursuits[Pursuit ID],$B15)&lt;&gt;1,"Pursuit link needs review",IF(AND($H15&lt;&gt;"",OR(NOT(ISNUMBER($H15)),$H15&lt;1,$H15&gt;=DATE(2099,1,1))),"Use a valid response date",""))))</f>
        <v/>
      </c>
      <c r="AA15" s="46" t="str">
        <f aca="false">IF(OR($A15="",$U15=""),"",HYPERLINK($U15,"Open GovTribe"))</f>
        <v/>
      </c>
    </row>
    <row r="16" customFormat="false" ht="27" hidden="false" customHeight="true" outlineLevel="0" collapsed="false">
      <c r="A16" s="48"/>
      <c r="B16" s="48"/>
      <c r="C16" s="48"/>
      <c r="D16" s="48"/>
      <c r="E16" s="48"/>
      <c r="F16" s="48"/>
      <c r="G16" s="48"/>
      <c r="H16" s="49"/>
      <c r="I16" s="50"/>
      <c r="J16" s="48"/>
      <c r="K16" s="48"/>
      <c r="L16" s="49"/>
      <c r="M16" s="49"/>
      <c r="N16" s="48"/>
      <c r="O16" s="51"/>
      <c r="P16" s="51"/>
      <c r="Q16" s="48"/>
      <c r="R16" s="48"/>
      <c r="S16" s="48"/>
      <c r="T16" s="49"/>
      <c r="U16" s="48"/>
      <c r="V16" s="48"/>
      <c r="W16" s="48"/>
      <c r="X16" s="48"/>
      <c r="Y16" s="48"/>
      <c r="Z16" s="52" t="str">
        <f aca="false">IF($A16="",IF(COUNTA(B16:Y16)&gt;0,"Missing source ID",""),IF(COUNTIFS(Sources[Source ID],$A16)&gt;1,"Duplicate source ID",IF(COUNTIFS(Pursuits[Pursuit ID],$B16)&lt;&gt;1,"Pursuit link needs review",IF(AND($H16&lt;&gt;"",OR(NOT(ISNUMBER($H16)),$H16&lt;1,$H16&gt;=DATE(2099,1,1))),"Use a valid response date",""))))</f>
        <v/>
      </c>
      <c r="AA16" s="46" t="str">
        <f aca="false">IF(OR($A16="",$U16=""),"",HYPERLINK($U16,"Open GovTribe"))</f>
        <v/>
      </c>
    </row>
    <row r="17" customFormat="false" ht="27" hidden="false" customHeight="true" outlineLevel="0" collapsed="false">
      <c r="A17" s="48"/>
      <c r="B17" s="48"/>
      <c r="C17" s="48"/>
      <c r="D17" s="48"/>
      <c r="E17" s="48"/>
      <c r="F17" s="48"/>
      <c r="G17" s="48"/>
      <c r="H17" s="49"/>
      <c r="I17" s="50"/>
      <c r="J17" s="48"/>
      <c r="K17" s="48"/>
      <c r="L17" s="49"/>
      <c r="M17" s="49"/>
      <c r="N17" s="48"/>
      <c r="O17" s="51"/>
      <c r="P17" s="51"/>
      <c r="Q17" s="48"/>
      <c r="R17" s="48"/>
      <c r="S17" s="48"/>
      <c r="T17" s="49"/>
      <c r="U17" s="48"/>
      <c r="V17" s="48"/>
      <c r="W17" s="48"/>
      <c r="X17" s="48"/>
      <c r="Y17" s="48"/>
      <c r="Z17" s="52" t="str">
        <f aca="false">IF($A17="",IF(COUNTA(B17:Y17)&gt;0,"Missing source ID",""),IF(COUNTIFS(Sources[Source ID],$A17)&gt;1,"Duplicate source ID",IF(COUNTIFS(Pursuits[Pursuit ID],$B17)&lt;&gt;1,"Pursuit link needs review",IF(AND($H17&lt;&gt;"",OR(NOT(ISNUMBER($H17)),$H17&lt;1,$H17&gt;=DATE(2099,1,1))),"Use a valid response date",""))))</f>
        <v/>
      </c>
      <c r="AA17" s="46" t="str">
        <f aca="false">IF(OR($A17="",$U17=""),"",HYPERLINK($U17,"Open GovTribe"))</f>
        <v/>
      </c>
    </row>
    <row r="18" customFormat="false" ht="27" hidden="false" customHeight="true" outlineLevel="0" collapsed="false">
      <c r="A18" s="48"/>
      <c r="B18" s="48"/>
      <c r="C18" s="48"/>
      <c r="D18" s="48"/>
      <c r="E18" s="48"/>
      <c r="F18" s="48"/>
      <c r="G18" s="48"/>
      <c r="H18" s="49"/>
      <c r="I18" s="50"/>
      <c r="J18" s="48"/>
      <c r="K18" s="48"/>
      <c r="L18" s="49"/>
      <c r="M18" s="49"/>
      <c r="N18" s="48"/>
      <c r="O18" s="51"/>
      <c r="P18" s="51"/>
      <c r="Q18" s="48"/>
      <c r="R18" s="48"/>
      <c r="S18" s="48"/>
      <c r="T18" s="49"/>
      <c r="U18" s="48"/>
      <c r="V18" s="48"/>
      <c r="W18" s="48"/>
      <c r="X18" s="48"/>
      <c r="Y18" s="48"/>
      <c r="Z18" s="52" t="str">
        <f aca="false">IF($A18="",IF(COUNTA(B18:Y18)&gt;0,"Missing source ID",""),IF(COUNTIFS(Sources[Source ID],$A18)&gt;1,"Duplicate source ID",IF(COUNTIFS(Pursuits[Pursuit ID],$B18)&lt;&gt;1,"Pursuit link needs review",IF(AND($H18&lt;&gt;"",OR(NOT(ISNUMBER($H18)),$H18&lt;1,$H18&gt;=DATE(2099,1,1))),"Use a valid response date",""))))</f>
        <v/>
      </c>
      <c r="AA18" s="46" t="str">
        <f aca="false">IF(OR($A18="",$U18=""),"",HYPERLINK($U18,"Open GovTribe"))</f>
        <v/>
      </c>
    </row>
    <row r="19" customFormat="false" ht="27" hidden="false" customHeight="true" outlineLevel="0" collapsed="false">
      <c r="A19" s="48"/>
      <c r="B19" s="48"/>
      <c r="C19" s="48"/>
      <c r="D19" s="48"/>
      <c r="E19" s="48"/>
      <c r="F19" s="48"/>
      <c r="G19" s="48"/>
      <c r="H19" s="49"/>
      <c r="I19" s="50"/>
      <c r="J19" s="48"/>
      <c r="K19" s="48"/>
      <c r="L19" s="49"/>
      <c r="M19" s="49"/>
      <c r="N19" s="48"/>
      <c r="O19" s="51"/>
      <c r="P19" s="51"/>
      <c r="Q19" s="48"/>
      <c r="R19" s="48"/>
      <c r="S19" s="48"/>
      <c r="T19" s="49"/>
      <c r="U19" s="48"/>
      <c r="V19" s="48"/>
      <c r="W19" s="48"/>
      <c r="X19" s="48"/>
      <c r="Y19" s="48"/>
      <c r="Z19" s="52" t="str">
        <f aca="false">IF($A19="",IF(COUNTA(B19:Y19)&gt;0,"Missing source ID",""),IF(COUNTIFS(Sources[Source ID],$A19)&gt;1,"Duplicate source ID",IF(COUNTIFS(Pursuits[Pursuit ID],$B19)&lt;&gt;1,"Pursuit link needs review",IF(AND($H19&lt;&gt;"",OR(NOT(ISNUMBER($H19)),$H19&lt;1,$H19&gt;=DATE(2099,1,1))),"Use a valid response date",""))))</f>
        <v/>
      </c>
      <c r="AA19" s="46" t="str">
        <f aca="false">IF(OR($A19="",$U19=""),"",HYPERLINK($U19,"Open GovTribe"))</f>
        <v/>
      </c>
    </row>
    <row r="20" customFormat="false" ht="27" hidden="false" customHeight="true" outlineLevel="0" collapsed="false">
      <c r="A20" s="48"/>
      <c r="B20" s="48"/>
      <c r="C20" s="48"/>
      <c r="D20" s="48"/>
      <c r="E20" s="48"/>
      <c r="F20" s="48"/>
      <c r="G20" s="48"/>
      <c r="H20" s="49"/>
      <c r="I20" s="50"/>
      <c r="J20" s="48"/>
      <c r="K20" s="48"/>
      <c r="L20" s="49"/>
      <c r="M20" s="49"/>
      <c r="N20" s="48"/>
      <c r="O20" s="51"/>
      <c r="P20" s="51"/>
      <c r="Q20" s="48"/>
      <c r="R20" s="48"/>
      <c r="S20" s="48"/>
      <c r="T20" s="49"/>
      <c r="U20" s="48"/>
      <c r="V20" s="48"/>
      <c r="W20" s="48"/>
      <c r="X20" s="48"/>
      <c r="Y20" s="48"/>
      <c r="Z20" s="52" t="str">
        <f aca="false">IF($A20="",IF(COUNTA(B20:Y20)&gt;0,"Missing source ID",""),IF(COUNTIFS(Sources[Source ID],$A20)&gt;1,"Duplicate source ID",IF(COUNTIFS(Pursuits[Pursuit ID],$B20)&lt;&gt;1,"Pursuit link needs review",IF(AND($H20&lt;&gt;"",OR(NOT(ISNUMBER($H20)),$H20&lt;1,$H20&gt;=DATE(2099,1,1))),"Use a valid response date",""))))</f>
        <v/>
      </c>
      <c r="AA20" s="46" t="str">
        <f aca="false">IF(OR($A20="",$U20=""),"",HYPERLINK($U20,"Open GovTribe"))</f>
        <v/>
      </c>
    </row>
    <row r="21" customFormat="false" ht="27" hidden="false" customHeight="true" outlineLevel="0" collapsed="false">
      <c r="A21" s="48"/>
      <c r="B21" s="48"/>
      <c r="C21" s="48"/>
      <c r="D21" s="48"/>
      <c r="E21" s="48"/>
      <c r="F21" s="48"/>
      <c r="G21" s="48"/>
      <c r="H21" s="49"/>
      <c r="I21" s="50"/>
      <c r="J21" s="48"/>
      <c r="K21" s="48"/>
      <c r="L21" s="49"/>
      <c r="M21" s="49"/>
      <c r="N21" s="48"/>
      <c r="O21" s="51"/>
      <c r="P21" s="51"/>
      <c r="Q21" s="48"/>
      <c r="R21" s="48"/>
      <c r="S21" s="48"/>
      <c r="T21" s="49"/>
      <c r="U21" s="48"/>
      <c r="V21" s="48"/>
      <c r="W21" s="48"/>
      <c r="X21" s="48"/>
      <c r="Y21" s="48"/>
      <c r="Z21" s="52" t="str">
        <f aca="false">IF($A21="",IF(COUNTA(B21:Y21)&gt;0,"Missing source ID",""),IF(COUNTIFS(Sources[Source ID],$A21)&gt;1,"Duplicate source ID",IF(COUNTIFS(Pursuits[Pursuit ID],$B21)&lt;&gt;1,"Pursuit link needs review",IF(AND($H21&lt;&gt;"",OR(NOT(ISNUMBER($H21)),$H21&lt;1,$H21&gt;=DATE(2099,1,1))),"Use a valid response date",""))))</f>
        <v/>
      </c>
      <c r="AA21" s="46" t="str">
        <f aca="false">IF(OR($A21="",$U21=""),"",HYPERLINK($U21,"Open GovTribe"))</f>
        <v/>
      </c>
    </row>
    <row r="22" customFormat="false" ht="27" hidden="false" customHeight="true" outlineLevel="0" collapsed="false">
      <c r="A22" s="48"/>
      <c r="B22" s="48"/>
      <c r="C22" s="48"/>
      <c r="D22" s="48"/>
      <c r="E22" s="48"/>
      <c r="F22" s="48"/>
      <c r="G22" s="48"/>
      <c r="H22" s="49"/>
      <c r="I22" s="50"/>
      <c r="J22" s="48"/>
      <c r="K22" s="48"/>
      <c r="L22" s="49"/>
      <c r="M22" s="49"/>
      <c r="N22" s="48"/>
      <c r="O22" s="51"/>
      <c r="P22" s="51"/>
      <c r="Q22" s="48"/>
      <c r="R22" s="48"/>
      <c r="S22" s="48"/>
      <c r="T22" s="49"/>
      <c r="U22" s="48"/>
      <c r="V22" s="48"/>
      <c r="W22" s="48"/>
      <c r="X22" s="48"/>
      <c r="Y22" s="48"/>
      <c r="Z22" s="52" t="str">
        <f aca="false">IF($A22="",IF(COUNTA(B22:Y22)&gt;0,"Missing source ID",""),IF(COUNTIFS(Sources[Source ID],$A22)&gt;1,"Duplicate source ID",IF(COUNTIFS(Pursuits[Pursuit ID],$B22)&lt;&gt;1,"Pursuit link needs review",IF(AND($H22&lt;&gt;"",OR(NOT(ISNUMBER($H22)),$H22&lt;1,$H22&gt;=DATE(2099,1,1))),"Use a valid response date",""))))</f>
        <v/>
      </c>
      <c r="AA22" s="46" t="str">
        <f aca="false">IF(OR($A22="",$U22=""),"",HYPERLINK($U22,"Open GovTribe"))</f>
        <v/>
      </c>
    </row>
    <row r="23" customFormat="false" ht="27" hidden="false" customHeight="true" outlineLevel="0" collapsed="false">
      <c r="A23" s="48"/>
      <c r="B23" s="48"/>
      <c r="C23" s="48"/>
      <c r="D23" s="48"/>
      <c r="E23" s="48"/>
      <c r="F23" s="48"/>
      <c r="G23" s="48"/>
      <c r="H23" s="49"/>
      <c r="I23" s="50"/>
      <c r="J23" s="48"/>
      <c r="K23" s="48"/>
      <c r="L23" s="49"/>
      <c r="M23" s="49"/>
      <c r="N23" s="48"/>
      <c r="O23" s="51"/>
      <c r="P23" s="51"/>
      <c r="Q23" s="48"/>
      <c r="R23" s="48"/>
      <c r="S23" s="48"/>
      <c r="T23" s="49"/>
      <c r="U23" s="48"/>
      <c r="V23" s="48"/>
      <c r="W23" s="48"/>
      <c r="X23" s="48"/>
      <c r="Y23" s="48"/>
      <c r="Z23" s="52" t="str">
        <f aca="false">IF($A23="",IF(COUNTA(B23:Y23)&gt;0,"Missing source ID",""),IF(COUNTIFS(Sources[Source ID],$A23)&gt;1,"Duplicate source ID",IF(COUNTIFS(Pursuits[Pursuit ID],$B23)&lt;&gt;1,"Pursuit link needs review",IF(AND($H23&lt;&gt;"",OR(NOT(ISNUMBER($H23)),$H23&lt;1,$H23&gt;=DATE(2099,1,1))),"Use a valid response date",""))))</f>
        <v/>
      </c>
      <c r="AA23" s="46" t="str">
        <f aca="false">IF(OR($A23="",$U23=""),"",HYPERLINK($U23,"Open GovTribe"))</f>
        <v/>
      </c>
    </row>
    <row r="24" customFormat="false" ht="27" hidden="false" customHeight="true" outlineLevel="0" collapsed="false">
      <c r="A24" s="48"/>
      <c r="B24" s="48"/>
      <c r="C24" s="48"/>
      <c r="D24" s="48"/>
      <c r="E24" s="48"/>
      <c r="F24" s="48"/>
      <c r="G24" s="48"/>
      <c r="H24" s="49"/>
      <c r="I24" s="50"/>
      <c r="J24" s="48"/>
      <c r="K24" s="48"/>
      <c r="L24" s="49"/>
      <c r="M24" s="49"/>
      <c r="N24" s="48"/>
      <c r="O24" s="51"/>
      <c r="P24" s="51"/>
      <c r="Q24" s="48"/>
      <c r="R24" s="48"/>
      <c r="S24" s="48"/>
      <c r="T24" s="49"/>
      <c r="U24" s="48"/>
      <c r="V24" s="48"/>
      <c r="W24" s="48"/>
      <c r="X24" s="48"/>
      <c r="Y24" s="48"/>
      <c r="Z24" s="52" t="str">
        <f aca="false">IF($A24="",IF(COUNTA(B24:Y24)&gt;0,"Missing source ID",""),IF(COUNTIFS(Sources[Source ID],$A24)&gt;1,"Duplicate source ID",IF(COUNTIFS(Pursuits[Pursuit ID],$B24)&lt;&gt;1,"Pursuit link needs review",IF(AND($H24&lt;&gt;"",OR(NOT(ISNUMBER($H24)),$H24&lt;1,$H24&gt;=DATE(2099,1,1))),"Use a valid response date",""))))</f>
        <v/>
      </c>
      <c r="AA24" s="46" t="str">
        <f aca="false">IF(OR($A24="",$U24=""),"",HYPERLINK($U24,"Open GovTribe"))</f>
        <v/>
      </c>
    </row>
    <row r="25" customFormat="false" ht="27" hidden="false" customHeight="true" outlineLevel="0" collapsed="false">
      <c r="A25" s="48"/>
      <c r="B25" s="48"/>
      <c r="C25" s="48"/>
      <c r="D25" s="48"/>
      <c r="E25" s="48"/>
      <c r="F25" s="48"/>
      <c r="G25" s="48"/>
      <c r="H25" s="49"/>
      <c r="I25" s="50"/>
      <c r="J25" s="48"/>
      <c r="K25" s="48"/>
      <c r="L25" s="49"/>
      <c r="M25" s="49"/>
      <c r="N25" s="48"/>
      <c r="O25" s="51"/>
      <c r="P25" s="51"/>
      <c r="Q25" s="48"/>
      <c r="R25" s="48"/>
      <c r="S25" s="48"/>
      <c r="T25" s="49"/>
      <c r="U25" s="48"/>
      <c r="V25" s="48"/>
      <c r="W25" s="48"/>
      <c r="X25" s="48"/>
      <c r="Y25" s="48"/>
      <c r="Z25" s="52" t="str">
        <f aca="false">IF($A25="",IF(COUNTA(B25:Y25)&gt;0,"Missing source ID",""),IF(COUNTIFS(Sources[Source ID],$A25)&gt;1,"Duplicate source ID",IF(COUNTIFS(Pursuits[Pursuit ID],$B25)&lt;&gt;1,"Pursuit link needs review",IF(AND($H25&lt;&gt;"",OR(NOT(ISNUMBER($H25)),$H25&lt;1,$H25&gt;=DATE(2099,1,1))),"Use a valid response date",""))))</f>
        <v/>
      </c>
      <c r="AA25" s="46" t="str">
        <f aca="false">IF(OR($A25="",$U25=""),"",HYPERLINK($U25,"Open GovTribe"))</f>
        <v/>
      </c>
    </row>
    <row r="26" customFormat="false" ht="27" hidden="false" customHeight="true" outlineLevel="0" collapsed="false">
      <c r="A26" s="48"/>
      <c r="B26" s="48"/>
      <c r="C26" s="48"/>
      <c r="D26" s="48"/>
      <c r="E26" s="48"/>
      <c r="F26" s="48"/>
      <c r="G26" s="48"/>
      <c r="H26" s="49"/>
      <c r="I26" s="50"/>
      <c r="J26" s="48"/>
      <c r="K26" s="48"/>
      <c r="L26" s="49"/>
      <c r="M26" s="49"/>
      <c r="N26" s="48"/>
      <c r="O26" s="51"/>
      <c r="P26" s="51"/>
      <c r="Q26" s="48"/>
      <c r="R26" s="48"/>
      <c r="S26" s="48"/>
      <c r="T26" s="49"/>
      <c r="U26" s="48"/>
      <c r="V26" s="48"/>
      <c r="W26" s="48"/>
      <c r="X26" s="48"/>
      <c r="Y26" s="48"/>
      <c r="Z26" s="52" t="str">
        <f aca="false">IF($A26="",IF(COUNTA(B26:Y26)&gt;0,"Missing source ID",""),IF(COUNTIFS(Sources[Source ID],$A26)&gt;1,"Duplicate source ID",IF(COUNTIFS(Pursuits[Pursuit ID],$B26)&lt;&gt;1,"Pursuit link needs review",IF(AND($H26&lt;&gt;"",OR(NOT(ISNUMBER($H26)),$H26&lt;1,$H26&gt;=DATE(2099,1,1))),"Use a valid response date",""))))</f>
        <v/>
      </c>
      <c r="AA26" s="46" t="str">
        <f aca="false">IF(OR($A26="",$U26=""),"",HYPERLINK($U26,"Open GovTribe"))</f>
        <v/>
      </c>
    </row>
    <row r="27" customFormat="false" ht="27" hidden="false" customHeight="true" outlineLevel="0" collapsed="false">
      <c r="A27" s="48"/>
      <c r="B27" s="48"/>
      <c r="C27" s="48"/>
      <c r="D27" s="48"/>
      <c r="E27" s="48"/>
      <c r="F27" s="48"/>
      <c r="G27" s="48"/>
      <c r="H27" s="49"/>
      <c r="I27" s="50"/>
      <c r="J27" s="48"/>
      <c r="K27" s="48"/>
      <c r="L27" s="49"/>
      <c r="M27" s="49"/>
      <c r="N27" s="48"/>
      <c r="O27" s="51"/>
      <c r="P27" s="51"/>
      <c r="Q27" s="48"/>
      <c r="R27" s="48"/>
      <c r="S27" s="48"/>
      <c r="T27" s="49"/>
      <c r="U27" s="48"/>
      <c r="V27" s="48"/>
      <c r="W27" s="48"/>
      <c r="X27" s="48"/>
      <c r="Y27" s="48"/>
      <c r="Z27" s="52" t="str">
        <f aca="false">IF($A27="",IF(COUNTA(B27:Y27)&gt;0,"Missing source ID",""),IF(COUNTIFS(Sources[Source ID],$A27)&gt;1,"Duplicate source ID",IF(COUNTIFS(Pursuits[Pursuit ID],$B27)&lt;&gt;1,"Pursuit link needs review",IF(AND($H27&lt;&gt;"",OR(NOT(ISNUMBER($H27)),$H27&lt;1,$H27&gt;=DATE(2099,1,1))),"Use a valid response date",""))))</f>
        <v/>
      </c>
      <c r="AA27" s="46" t="str">
        <f aca="false">IF(OR($A27="",$U27=""),"",HYPERLINK($U27,"Open GovTribe"))</f>
        <v/>
      </c>
    </row>
    <row r="33" customFormat="false" ht="23" hidden="false" customHeight="true" outlineLevel="0" collapsed="false">
      <c r="AD33" s="32"/>
      <c r="AE33" s="32"/>
      <c r="AF33" s="32"/>
      <c r="AG33" s="32"/>
      <c r="AH33" s="32"/>
      <c r="AI33" s="32"/>
      <c r="AJ33" s="32"/>
    </row>
    <row r="34" customFormat="false" ht="23" hidden="false" customHeight="true" outlineLevel="0" collapsed="false">
      <c r="AD34" s="53" t="s">
        <v>30</v>
      </c>
      <c r="AE34" s="32"/>
      <c r="AF34" s="32"/>
      <c r="AG34" s="32"/>
      <c r="AH34" s="32"/>
      <c r="AI34" s="32"/>
      <c r="AJ34" s="32"/>
    </row>
    <row r="35" customFormat="false" ht="23" hidden="false" customHeight="true" outlineLevel="0" collapsed="false">
      <c r="AD35" s="32"/>
      <c r="AE35" s="32"/>
      <c r="AF35" s="32"/>
      <c r="AG35" s="32"/>
      <c r="AH35" s="32"/>
      <c r="AI35" s="32"/>
      <c r="AJ35" s="32"/>
    </row>
    <row r="36" customFormat="false" ht="23" hidden="false" customHeight="true" outlineLevel="0" collapsed="false">
      <c r="AD36" s="32" t="s">
        <v>104</v>
      </c>
      <c r="AE36" s="39" t="n">
        <v>14</v>
      </c>
      <c r="AF36" s="32"/>
      <c r="AG36" s="32"/>
      <c r="AH36" s="32"/>
      <c r="AI36" s="32"/>
      <c r="AJ36" s="32"/>
    </row>
    <row r="37" customFormat="false" ht="23" hidden="false" customHeight="true" outlineLevel="0" collapsed="false">
      <c r="AD37" s="32"/>
      <c r="AE37" s="32"/>
      <c r="AF37" s="32"/>
      <c r="AG37" s="32"/>
      <c r="AH37" s="32"/>
      <c r="AI37" s="32"/>
      <c r="AJ37" s="32"/>
    </row>
    <row r="38" customFormat="false" ht="23" hidden="false" customHeight="true" outlineLevel="0" collapsed="false">
      <c r="AD38" s="32"/>
      <c r="AE38" s="32"/>
      <c r="AF38" s="32"/>
      <c r="AG38" s="32"/>
      <c r="AH38" s="32"/>
      <c r="AI38" s="32"/>
      <c r="AJ38" s="32"/>
    </row>
    <row r="39" customFormat="false" ht="23" hidden="false" customHeight="true" outlineLevel="0" collapsed="false">
      <c r="AD39" s="54" t="s">
        <v>18</v>
      </c>
      <c r="AE39" s="54" t="s">
        <v>60</v>
      </c>
      <c r="AF39" s="54" t="s">
        <v>70</v>
      </c>
      <c r="AG39" s="55" t="s">
        <v>105</v>
      </c>
      <c r="AH39" s="55" t="s">
        <v>105</v>
      </c>
      <c r="AI39" s="55" t="s">
        <v>105</v>
      </c>
      <c r="AJ39" s="55" t="s">
        <v>105</v>
      </c>
    </row>
    <row r="40" customFormat="false" ht="23" hidden="false" customHeight="true" outlineLevel="0" collapsed="false">
      <c r="AD40" s="39" t="s">
        <v>106</v>
      </c>
      <c r="AE40" s="39" t="n">
        <v>1</v>
      </c>
      <c r="AF40" s="41" t="str">
        <f aca="false">IF(AD40="","Add a stage label",IF(COUNTIFS(StageMap[Stage],AD40)&lt;&gt;1,"Use a unique label",IF(OR(COUNT(AE40)&lt;&gt;1,AND(AE40&lt;&gt;0,AE40&lt;&gt;1)),"Use 0 or 1","")))</f>
        <v/>
      </c>
      <c r="AG40" s="55" t="s">
        <v>105</v>
      </c>
      <c r="AH40" s="55" t="s">
        <v>105</v>
      </c>
      <c r="AI40" s="55" t="s">
        <v>105</v>
      </c>
      <c r="AJ40" s="55" t="s">
        <v>105</v>
      </c>
    </row>
    <row r="41" customFormat="false" ht="23" hidden="false" customHeight="true" outlineLevel="0" collapsed="false">
      <c r="AD41" s="39" t="s">
        <v>107</v>
      </c>
      <c r="AE41" s="39" t="n">
        <v>1</v>
      </c>
      <c r="AF41" s="41" t="str">
        <f aca="false">IF(AD41="","Add a stage label",IF(COUNTIFS(StageMap[Stage],AD41)&lt;&gt;1,"Use a unique label",IF(OR(COUNT(AE41)&lt;&gt;1,AND(AE41&lt;&gt;0,AE41&lt;&gt;1)),"Use 0 or 1","")))</f>
        <v/>
      </c>
      <c r="AG41" s="55" t="s">
        <v>105</v>
      </c>
      <c r="AH41" s="55" t="s">
        <v>105</v>
      </c>
      <c r="AI41" s="55" t="s">
        <v>105</v>
      </c>
      <c r="AJ41" s="55" t="s">
        <v>105</v>
      </c>
    </row>
    <row r="42" customFormat="false" ht="23" hidden="false" customHeight="true" outlineLevel="0" collapsed="false">
      <c r="AD42" s="39" t="s">
        <v>108</v>
      </c>
      <c r="AE42" s="39" t="n">
        <v>1</v>
      </c>
      <c r="AF42" s="41" t="str">
        <f aca="false">IF(AD42="","Add a stage label",IF(COUNTIFS(StageMap[Stage],AD42)&lt;&gt;1,"Use a unique label",IF(OR(COUNT(AE42)&lt;&gt;1,AND(AE42&lt;&gt;0,AE42&lt;&gt;1)),"Use 0 or 1","")))</f>
        <v/>
      </c>
      <c r="AG42" s="32"/>
      <c r="AH42" s="32"/>
      <c r="AI42" s="32"/>
      <c r="AJ42" s="32"/>
    </row>
    <row r="43" customFormat="false" ht="23" hidden="false" customHeight="true" outlineLevel="0" collapsed="false">
      <c r="AD43" s="39" t="s">
        <v>109</v>
      </c>
      <c r="AE43" s="39" t="n">
        <v>1</v>
      </c>
      <c r="AF43" s="41" t="str">
        <f aca="false">IF(AD43="","Add a stage label",IF(COUNTIFS(StageMap[Stage],AD43)&lt;&gt;1,"Use a unique label",IF(OR(COUNT(AE43)&lt;&gt;1,AND(AE43&lt;&gt;0,AE43&lt;&gt;1)),"Use 0 or 1","")))</f>
        <v/>
      </c>
      <c r="AG43" s="32"/>
      <c r="AH43" s="32"/>
      <c r="AI43" s="32"/>
      <c r="AJ43" s="32"/>
    </row>
    <row r="44" customFormat="false" ht="23" hidden="false" customHeight="true" outlineLevel="0" collapsed="false">
      <c r="AD44" s="39" t="s">
        <v>110</v>
      </c>
      <c r="AE44" s="39" t="n">
        <v>1</v>
      </c>
      <c r="AF44" s="41" t="str">
        <f aca="false">IF(AD44="","Add a stage label",IF(COUNTIFS(StageMap[Stage],AD44)&lt;&gt;1,"Use a unique label",IF(OR(COUNT(AE44)&lt;&gt;1,AND(AE44&lt;&gt;0,AE44&lt;&gt;1)),"Use 0 or 1","")))</f>
        <v/>
      </c>
      <c r="AG44" s="32"/>
      <c r="AH44" s="32"/>
      <c r="AI44" s="32"/>
      <c r="AJ44" s="32"/>
    </row>
    <row r="45" customFormat="false" ht="23" hidden="false" customHeight="true" outlineLevel="0" collapsed="false">
      <c r="AD45" s="39" t="s">
        <v>111</v>
      </c>
      <c r="AE45" s="39" t="n">
        <v>0</v>
      </c>
      <c r="AF45" s="41" t="str">
        <f aca="false">IF(AD45="","Add a stage label",IF(COUNTIFS(StageMap[Stage],AD45)&lt;&gt;1,"Use a unique label",IF(OR(COUNT(AE45)&lt;&gt;1,AND(AE45&lt;&gt;0,AE45&lt;&gt;1)),"Use 0 or 1","")))</f>
        <v/>
      </c>
      <c r="AG45" s="32"/>
      <c r="AH45" s="32"/>
      <c r="AI45" s="32"/>
      <c r="AJ45" s="32"/>
    </row>
    <row r="46" customFormat="false" ht="23" hidden="false" customHeight="true" outlineLevel="0" collapsed="false">
      <c r="AD46" s="39" t="s">
        <v>112</v>
      </c>
      <c r="AE46" s="39" t="n">
        <v>0</v>
      </c>
      <c r="AF46" s="41" t="str">
        <f aca="false">IF(AD46="","Add a stage label",IF(COUNTIFS(StageMap[Stage],AD46)&lt;&gt;1,"Use a unique label",IF(OR(COUNT(AE46)&lt;&gt;1,AND(AE46&lt;&gt;0,AE46&lt;&gt;1)),"Use 0 or 1","")))</f>
        <v/>
      </c>
      <c r="AG46" s="32"/>
      <c r="AH46" s="32"/>
      <c r="AI46" s="32"/>
      <c r="AJ46" s="32"/>
    </row>
    <row r="47" customFormat="false" ht="23" hidden="false" customHeight="true" outlineLevel="0" collapsed="false">
      <c r="AD47" s="39" t="s">
        <v>113</v>
      </c>
      <c r="AE47" s="39" t="n">
        <v>0</v>
      </c>
      <c r="AF47" s="41" t="str">
        <f aca="false">IF(AD47="","Add a stage label",IF(COUNTIFS(StageMap[Stage],AD47)&lt;&gt;1,"Use a unique label",IF(OR(COUNT(AE47)&lt;&gt;1,AND(AE47&lt;&gt;0,AE47&lt;&gt;1)),"Use 0 or 1","")))</f>
        <v/>
      </c>
      <c r="AG47" s="32"/>
      <c r="AH47" s="32"/>
      <c r="AI47" s="32"/>
      <c r="AJ47" s="32"/>
    </row>
    <row r="48" customFormat="false" ht="23" hidden="false" customHeight="true" outlineLevel="0" collapsed="false">
      <c r="AD48" s="32"/>
      <c r="AE48" s="32"/>
      <c r="AF48" s="32"/>
      <c r="AG48" s="32"/>
      <c r="AH48" s="32"/>
      <c r="AI48" s="32"/>
      <c r="AJ48" s="32"/>
    </row>
    <row r="49" customFormat="false" ht="23" hidden="false" customHeight="true" outlineLevel="0" collapsed="false">
      <c r="AD49" s="32"/>
      <c r="AE49" s="32"/>
      <c r="AF49" s="32"/>
      <c r="AG49" s="32"/>
      <c r="AH49" s="32"/>
      <c r="AI49" s="32"/>
      <c r="AJ49" s="32"/>
    </row>
    <row r="50" customFormat="false" ht="23" hidden="false" customHeight="true" outlineLevel="0" collapsed="false">
      <c r="AD50" s="54" t="s">
        <v>25</v>
      </c>
      <c r="AE50" s="54" t="s">
        <v>114</v>
      </c>
      <c r="AF50" s="54" t="s">
        <v>70</v>
      </c>
      <c r="AG50" s="55" t="s">
        <v>115</v>
      </c>
      <c r="AH50" s="55" t="s">
        <v>115</v>
      </c>
      <c r="AI50" s="55" t="s">
        <v>115</v>
      </c>
      <c r="AJ50" s="55" t="s">
        <v>115</v>
      </c>
    </row>
    <row r="51" customFormat="false" ht="23" hidden="false" customHeight="true" outlineLevel="0" collapsed="false">
      <c r="AD51" s="39" t="s">
        <v>116</v>
      </c>
      <c r="AE51" s="39" t="n">
        <v>0</v>
      </c>
      <c r="AF51" s="41" t="str">
        <f aca="false">IF(AD51="","Add a status label",IF(COUNTIFS(WorkStatuses[Status],AD51)&lt;&gt;1,"Use a unique label",IF(OR(COUNT(AE51)&lt;&gt;1,AND(AE51&lt;&gt;0,AE51&lt;&gt;1)),"Use 0 or 1","")))</f>
        <v/>
      </c>
      <c r="AG51" s="55" t="s">
        <v>115</v>
      </c>
      <c r="AH51" s="55" t="s">
        <v>115</v>
      </c>
      <c r="AI51" s="55" t="s">
        <v>115</v>
      </c>
      <c r="AJ51" s="55" t="s">
        <v>115</v>
      </c>
    </row>
    <row r="52" customFormat="false" ht="23" hidden="false" customHeight="true" outlineLevel="0" collapsed="false">
      <c r="AD52" s="39" t="s">
        <v>117</v>
      </c>
      <c r="AE52" s="39" t="n">
        <v>0</v>
      </c>
      <c r="AF52" s="41" t="str">
        <f aca="false">IF(AD52="","Add a status label",IF(COUNTIFS(WorkStatuses[Status],AD52)&lt;&gt;1,"Use a unique label",IF(OR(COUNT(AE52)&lt;&gt;1,AND(AE52&lt;&gt;0,AE52&lt;&gt;1)),"Use 0 or 1","")))</f>
        <v/>
      </c>
      <c r="AG52" s="55" t="s">
        <v>115</v>
      </c>
      <c r="AH52" s="55" t="s">
        <v>115</v>
      </c>
      <c r="AI52" s="55" t="s">
        <v>115</v>
      </c>
      <c r="AJ52" s="55" t="s">
        <v>115</v>
      </c>
    </row>
    <row r="53" customFormat="false" ht="23" hidden="false" customHeight="true" outlineLevel="0" collapsed="false">
      <c r="AD53" s="39" t="s">
        <v>118</v>
      </c>
      <c r="AE53" s="39" t="n">
        <v>0</v>
      </c>
      <c r="AF53" s="41" t="str">
        <f aca="false">IF(AD53="","Add a status label",IF(COUNTIFS(WorkStatuses[Status],AD53)&lt;&gt;1,"Use a unique label",IF(OR(COUNT(AE53)&lt;&gt;1,AND(AE53&lt;&gt;0,AE53&lt;&gt;1)),"Use 0 or 1","")))</f>
        <v/>
      </c>
      <c r="AG53" s="55" t="s">
        <v>115</v>
      </c>
      <c r="AH53" s="55" t="s">
        <v>115</v>
      </c>
      <c r="AI53" s="55" t="s">
        <v>115</v>
      </c>
      <c r="AJ53" s="55" t="s">
        <v>115</v>
      </c>
    </row>
    <row r="54" customFormat="false" ht="23" hidden="false" customHeight="true" outlineLevel="0" collapsed="false">
      <c r="AD54" s="39" t="s">
        <v>114</v>
      </c>
      <c r="AE54" s="39" t="n">
        <v>1</v>
      </c>
      <c r="AF54" s="41" t="str">
        <f aca="false">IF(AD54="","Add a status label",IF(COUNTIFS(WorkStatuses[Status],AD54)&lt;&gt;1,"Use a unique label",IF(OR(COUNT(AE54)&lt;&gt;1,AND(AE54&lt;&gt;0,AE54&lt;&gt;1)),"Use 0 or 1","")))</f>
        <v/>
      </c>
      <c r="AG54" s="32"/>
      <c r="AH54" s="32"/>
      <c r="AI54" s="32"/>
      <c r="AJ54" s="32"/>
    </row>
    <row r="55" customFormat="false" ht="23" hidden="false" customHeight="true" outlineLevel="0" collapsed="false">
      <c r="AD55" s="32"/>
      <c r="AE55" s="32"/>
      <c r="AF55" s="32"/>
      <c r="AG55" s="32"/>
      <c r="AH55" s="32"/>
      <c r="AI55" s="32"/>
      <c r="AJ55" s="32"/>
    </row>
    <row r="56" customFormat="false" ht="23" hidden="false" customHeight="true" outlineLevel="0" collapsed="false">
      <c r="AD56" s="55" t="s">
        <v>119</v>
      </c>
      <c r="AE56" s="55" t="s">
        <v>119</v>
      </c>
      <c r="AF56" s="55" t="s">
        <v>119</v>
      </c>
      <c r="AG56" s="55" t="s">
        <v>119</v>
      </c>
      <c r="AH56" s="55" t="s">
        <v>119</v>
      </c>
      <c r="AI56" s="55" t="s">
        <v>119</v>
      </c>
      <c r="AJ56" s="55" t="s">
        <v>119</v>
      </c>
    </row>
    <row r="57" customFormat="false" ht="23" hidden="false" customHeight="true" outlineLevel="0" collapsed="false">
      <c r="AD57" s="55" t="s">
        <v>119</v>
      </c>
      <c r="AE57" s="55" t="s">
        <v>119</v>
      </c>
      <c r="AF57" s="55" t="s">
        <v>119</v>
      </c>
      <c r="AG57" s="55" t="s">
        <v>119</v>
      </c>
      <c r="AH57" s="55" t="s">
        <v>119</v>
      </c>
      <c r="AI57" s="55" t="s">
        <v>119</v>
      </c>
      <c r="AJ57" s="55" t="s">
        <v>119</v>
      </c>
    </row>
    <row r="58" customFormat="false" ht="23" hidden="false" customHeight="true" outlineLevel="0" collapsed="false">
      <c r="AD58" s="32"/>
      <c r="AE58" s="32"/>
      <c r="AF58" s="32"/>
      <c r="AG58" s="32"/>
      <c r="AH58" s="32"/>
      <c r="AI58" s="32"/>
      <c r="AJ58" s="32"/>
    </row>
    <row r="59" customFormat="false" ht="23" hidden="false" customHeight="true" outlineLevel="0" collapsed="false">
      <c r="AD59" s="55" t="s">
        <v>120</v>
      </c>
      <c r="AE59" s="55" t="s">
        <v>120</v>
      </c>
      <c r="AF59" s="55" t="s">
        <v>120</v>
      </c>
      <c r="AG59" s="55" t="s">
        <v>120</v>
      </c>
      <c r="AH59" s="55" t="s">
        <v>120</v>
      </c>
      <c r="AI59" s="55" t="s">
        <v>120</v>
      </c>
      <c r="AJ59" s="55" t="s">
        <v>120</v>
      </c>
    </row>
    <row r="60" customFormat="false" ht="23" hidden="false" customHeight="true" outlineLevel="0" collapsed="false">
      <c r="AD60" s="55" t="s">
        <v>120</v>
      </c>
      <c r="AE60" s="55" t="s">
        <v>120</v>
      </c>
      <c r="AF60" s="55" t="s">
        <v>120</v>
      </c>
      <c r="AG60" s="55" t="s">
        <v>120</v>
      </c>
      <c r="AH60" s="55" t="s">
        <v>120</v>
      </c>
      <c r="AI60" s="55" t="s">
        <v>120</v>
      </c>
      <c r="AJ60" s="55" t="s">
        <v>120</v>
      </c>
    </row>
    <row r="61" customFormat="false" ht="23" hidden="false" customHeight="true" outlineLevel="0" collapsed="false">
      <c r="AD61" s="55" t="s">
        <v>120</v>
      </c>
      <c r="AE61" s="55" t="s">
        <v>120</v>
      </c>
      <c r="AF61" s="55" t="s">
        <v>120</v>
      </c>
      <c r="AG61" s="55" t="s">
        <v>120</v>
      </c>
      <c r="AH61" s="55" t="s">
        <v>120</v>
      </c>
      <c r="AI61" s="55" t="s">
        <v>120</v>
      </c>
      <c r="AJ61" s="55" t="s">
        <v>120</v>
      </c>
    </row>
    <row r="62" customFormat="false" ht="23" hidden="false" customHeight="true" outlineLevel="0" collapsed="false">
      <c r="AD62" s="32"/>
      <c r="AE62" s="32"/>
      <c r="AF62" s="32"/>
      <c r="AG62" s="32"/>
      <c r="AH62" s="32"/>
      <c r="AI62" s="32"/>
      <c r="AJ62" s="32"/>
    </row>
    <row r="63" customFormat="false" ht="23" hidden="false" customHeight="true" outlineLevel="0" collapsed="false">
      <c r="AD63" s="55" t="s">
        <v>121</v>
      </c>
      <c r="AE63" s="55" t="s">
        <v>121</v>
      </c>
      <c r="AF63" s="55" t="s">
        <v>121</v>
      </c>
      <c r="AG63" s="55" t="s">
        <v>121</v>
      </c>
      <c r="AH63" s="55" t="s">
        <v>121</v>
      </c>
      <c r="AI63" s="55" t="s">
        <v>121</v>
      </c>
      <c r="AJ63" s="55" t="s">
        <v>121</v>
      </c>
    </row>
    <row r="64" customFormat="false" ht="23" hidden="false" customHeight="true" outlineLevel="0" collapsed="false">
      <c r="AD64" s="55" t="s">
        <v>121</v>
      </c>
      <c r="AE64" s="55" t="s">
        <v>121</v>
      </c>
      <c r="AF64" s="55" t="s">
        <v>121</v>
      </c>
      <c r="AG64" s="55" t="s">
        <v>121</v>
      </c>
      <c r="AH64" s="55" t="s">
        <v>121</v>
      </c>
      <c r="AI64" s="55" t="s">
        <v>121</v>
      </c>
      <c r="AJ64" s="55" t="s">
        <v>121</v>
      </c>
    </row>
    <row r="65" customFormat="false" ht="23" hidden="false" customHeight="true" outlineLevel="0" collapsed="false">
      <c r="AD65" s="55" t="s">
        <v>121</v>
      </c>
      <c r="AE65" s="55" t="s">
        <v>121</v>
      </c>
      <c r="AF65" s="55" t="s">
        <v>121</v>
      </c>
      <c r="AG65" s="55" t="s">
        <v>121</v>
      </c>
      <c r="AH65" s="55" t="s">
        <v>121</v>
      </c>
      <c r="AI65" s="55" t="s">
        <v>121</v>
      </c>
      <c r="AJ65" s="55" t="s">
        <v>121</v>
      </c>
    </row>
    <row r="66" customFormat="false" ht="23" hidden="false" customHeight="true" outlineLevel="0" collapsed="false">
      <c r="AD66" s="32"/>
      <c r="AE66" s="32"/>
      <c r="AF66" s="32"/>
      <c r="AG66" s="32"/>
      <c r="AH66" s="32"/>
      <c r="AI66" s="32"/>
      <c r="AJ66" s="32"/>
    </row>
    <row r="67" customFormat="false" ht="23" hidden="false" customHeight="true" outlineLevel="0" collapsed="false">
      <c r="AD67" s="55" t="s">
        <v>122</v>
      </c>
      <c r="AE67" s="55" t="s">
        <v>122</v>
      </c>
      <c r="AF67" s="55" t="s">
        <v>122</v>
      </c>
      <c r="AG67" s="55" t="s">
        <v>122</v>
      </c>
      <c r="AH67" s="55" t="s">
        <v>122</v>
      </c>
      <c r="AI67" s="55" t="s">
        <v>122</v>
      </c>
      <c r="AJ67" s="55" t="s">
        <v>122</v>
      </c>
    </row>
    <row r="68" customFormat="false" ht="23" hidden="false" customHeight="true" outlineLevel="0" collapsed="false">
      <c r="AD68" s="55" t="s">
        <v>122</v>
      </c>
      <c r="AE68" s="55" t="s">
        <v>122</v>
      </c>
      <c r="AF68" s="55" t="s">
        <v>122</v>
      </c>
      <c r="AG68" s="55" t="s">
        <v>122</v>
      </c>
      <c r="AH68" s="55" t="s">
        <v>122</v>
      </c>
      <c r="AI68" s="55" t="s">
        <v>122</v>
      </c>
      <c r="AJ68" s="55" t="s">
        <v>122</v>
      </c>
    </row>
    <row r="69" customFormat="false" ht="23" hidden="false" customHeight="true" outlineLevel="0" collapsed="false">
      <c r="AD69" s="55" t="s">
        <v>122</v>
      </c>
      <c r="AE69" s="55" t="s">
        <v>122</v>
      </c>
      <c r="AF69" s="55" t="s">
        <v>122</v>
      </c>
      <c r="AG69" s="55" t="s">
        <v>122</v>
      </c>
      <c r="AH69" s="55" t="s">
        <v>122</v>
      </c>
      <c r="AI69" s="55" t="s">
        <v>122</v>
      </c>
      <c r="AJ69" s="55" t="s">
        <v>122</v>
      </c>
    </row>
    <row r="70" customFormat="false" ht="23" hidden="false" customHeight="true" outlineLevel="0" collapsed="false">
      <c r="AD70" s="32"/>
      <c r="AE70" s="32"/>
      <c r="AF70" s="32"/>
      <c r="AG70" s="32"/>
      <c r="AH70" s="32"/>
      <c r="AI70" s="32"/>
      <c r="AJ70" s="32"/>
    </row>
  </sheetData>
  <mergeCells count="8">
    <mergeCell ref="A2:B2"/>
    <mergeCell ref="C4:F4"/>
    <mergeCell ref="AG39:AJ41"/>
    <mergeCell ref="AG50:AJ53"/>
    <mergeCell ref="AD56:AJ57"/>
    <mergeCell ref="AD59:AJ61"/>
    <mergeCell ref="AD63:AJ65"/>
    <mergeCell ref="AD67:AJ69"/>
  </mergeCells>
  <conditionalFormatting sqref="AF40:AF47">
    <cfRule type="expression" priority="2" aboveAverage="0" equalAverage="0" bottom="0" percent="0" rank="0" text="" dxfId="68">
      <formula>LEN(AF40)&gt;0</formula>
    </cfRule>
  </conditionalFormatting>
  <conditionalFormatting sqref="AF51:AF54">
    <cfRule type="expression" priority="3" aboveAverage="0" equalAverage="0" bottom="0" percent="0" rank="0" text="" dxfId="69">
      <formula>LEN(AF51)&gt;0</formula>
    </cfRule>
  </conditionalFormatting>
  <conditionalFormatting sqref="X8:X27">
    <cfRule type="expression" priority="4" aboveAverage="0" equalAverage="0" bottom="0" percent="0" rank="0" text="" dxfId="70">
      <formula>LEN(X8)&gt;0</formula>
    </cfRule>
  </conditionalFormatting>
  <conditionalFormatting sqref="Z8:Z27">
    <cfRule type="expression" priority="5" aboveAverage="0" equalAverage="0" bottom="0" percent="0" rank="0" text="" dxfId="71">
      <formula>LEN(Z8)&gt;0</formula>
    </cfRule>
  </conditionalFormatting>
  <dataValidations count="3">
    <dataValidation type="whole" allowBlank="1" showErrorMessage="1" errorStyle="stop" errorTitle="Check this input" error="Use a valid value for this field." sqref="AE40:AE47" operator="between">
      <formula1>0</formula1>
      <formula2>1</formula2>
    </dataValidation>
    <dataValidation type="whole" allowBlank="1" showErrorMessage="1" errorStyle="stop" errorTitle="Check this input" error="Use a valid value for this field." sqref="AE51:AE54" operator="between">
      <formula1>0</formula1>
      <formula2>1</formula2>
    </dataValidation>
    <dataValidation type="whole" allowBlank="1" showErrorMessage="1" errorStyle="stop" errorTitle="Check this input" error="Use a valid value for this field." sqref="AE36" operator="between">
      <formula1>1</formula1>
      <formula2>365</formula2>
    </dataValidation>
  </dataValidations>
  <hyperlinks>
    <hyperlink ref="H4" location="'Source Data'!AD34" display="Settings"/>
  </hyperlinks>
  <printOptions horizontalCentered="1" gridLines="0" headings="0"/>
  <pageMargins left="0.25" right="0.25" top="0.25" bottom="0.35" header="0.1" footer="0.12"/>
  <pageSetup paperSize="1" orientation="landscape" fitToWidth="1" fitToHeight="0" pageOrder="downThenOver"/>
  <headerFooter>
    <oddHeader>&amp;L&amp;"Arial,Bold"&amp;11Source Data</oddHeader>
    <oddFooter>&amp;LSource Data&amp;RPage &amp;P of &amp;N</oddFooter>
  </headerFooter>
  <tableParts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