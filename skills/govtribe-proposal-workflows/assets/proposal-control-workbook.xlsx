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2"/>
  </bookViews>
  <sheets>
    <sheet name="Start Here" sheetId="1" state="visible" r:id="rId3"/>
    <sheet name="Opportunity Setup" sheetId="2" state="visible" r:id="rId4"/>
    <sheet name="Dashboard" sheetId="3" state="visible" r:id="rId5"/>
    <sheet name="Requirement Matrix" sheetId="4" state="visible" r:id="rId6"/>
    <sheet name="Evaluation Crosswalk" sheetId="5" state="visible" r:id="rId7"/>
    <sheet name="Submission Checklist" sheetId="6" state="visible" r:id="rId8"/>
    <sheet name="Pricing &amp; Deliverables" sheetId="7" state="visible" r:id="rId9"/>
    <sheet name="Questions-Risks" sheetId="8" state="visible" r:id="rId10"/>
    <sheet name="Amendment Log" sheetId="9" state="visible" r:id="rId11"/>
    <sheet name="Sources" sheetId="10" state="visible" r:id="rId12"/>
    <sheet name="Lists" sheetId="11" state="hidden" r:id="rId13"/>
  </sheets>
  <definedNames>
    <definedName function="false" hidden="false" localSheetId="8" name="_xlnm.Print_Area" vbProcedure="false">'Amendment Log'!$A$6:$D$14,'Amendment Log'!$E$6:$F$14</definedName>
    <definedName function="false" hidden="false" localSheetId="8" name="_xlnm.Print_Titles" vbProcedure="false">'Amendment Log'!$A:$A,'Amendment Log'!$6:$6</definedName>
    <definedName function="false" hidden="false" localSheetId="2" name="_xlnm.Print_Area" vbProcedure="false">Dashboard!$A$1:$L$40</definedName>
    <definedName function="false" hidden="false" localSheetId="4" name="_xlnm.Print_Area" vbProcedure="false">'Evaluation Crosswalk'!$A$7:$D$15,'Evaluation Crosswalk'!$E$7:$I$15</definedName>
    <definedName function="false" hidden="false" localSheetId="4" name="_xlnm.Print_Titles" vbProcedure="false">'Evaluation Crosswalk'!$A:$A,'Evaluation Crosswalk'!$7:$7</definedName>
    <definedName function="false" hidden="false" localSheetId="1" name="_xlnm.Print_Area" vbProcedure="false">'Opportunity Setup'!$A$1:$F$27</definedName>
    <definedName function="false" hidden="false" localSheetId="6" name="_xlnm.Print_Area" vbProcedure="false">'Pricing &amp; Deliverables'!$A$6:$E$14,'Pricing &amp; Deliverables'!$F$6:$L$14</definedName>
    <definedName function="false" hidden="false" localSheetId="6" name="_xlnm.Print_Titles" vbProcedure="false">'Pricing &amp; Deliverables'!$A:$A,'Pricing &amp; Deliverables'!$6:$6</definedName>
    <definedName function="false" hidden="false" localSheetId="7" name="_xlnm.Print_Area" vbProcedure="false">'Questions-Risks'!$A$6:$C$14,'Questions-Risks'!$D$6:$G$14</definedName>
    <definedName function="false" hidden="false" localSheetId="7" name="_xlnm.Print_Titles" vbProcedure="false">'Questions-Risks'!$A:$A,'Questions-Risks'!$6:$6</definedName>
    <definedName function="false" hidden="false" localSheetId="3" name="_xlnm.Print_Area" vbProcedure="false">'Requirement Matrix'!$A$7:$C$15,'Requirement Matrix'!$D$7:$G$15,'Requirement Matrix'!$H$7:$M$15</definedName>
    <definedName function="false" hidden="false" localSheetId="3" name="_xlnm.Print_Titles" vbProcedure="false">'Requirement Matrix'!$A:$A,'Requirement Matrix'!$7:$7</definedName>
    <definedName function="false" hidden="false" localSheetId="9" name="_xlnm.Print_Area" vbProcedure="false">Sources!$A$5:$D$13</definedName>
    <definedName function="false" hidden="false" localSheetId="9" name="_xlnm.Print_Titles" vbProcedure="false">Sources!$A:$A,Sources!$5:$5</definedName>
    <definedName function="false" hidden="false" localSheetId="0" name="_xlnm.Print_Area" vbProcedure="false">'Start Here'!$A$1:$F$27</definedName>
    <definedName function="false" hidden="false" localSheetId="5" name="_xlnm.Print_Area" vbProcedure="false">'Submission Checklist'!$A$6:$D$14,'Submission Checklist'!$E$6:$G$14</definedName>
    <definedName function="false" hidden="false" localSheetId="5" name="_xlnm.Print_Titles" vbProcedure="false">'Submission Checklist'!$A:$A,'Submission Checklist'!$6:$6</definedName>
    <definedName function="false" hidden="false" name="ComplianceStatuses" vbProcedure="false">Lists!$A$2:$A$4</definedName>
    <definedName function="false" hidden="false" name="PrintEndAmendmentLog" vbProcedure="false">14</definedName>
    <definedName function="false" hidden="false" name="PrintEndEvaluationCrosswalk" vbProcedure="false">15</definedName>
    <definedName function="false" hidden="false" name="PrintEndPricingDeliverables" vbProcedure="false">14</definedName>
    <definedName function="false" hidden="false" name="PrintEndQuestionsRisks" vbProcedure="false">14</definedName>
    <definedName function="false" hidden="false" name="PrintEndRequirementMatrix" vbProcedure="false">15</definedName>
    <definedName function="false" hidden="false" name="PrintEndSources" vbProcedure="false">13</definedName>
    <definedName function="false" hidden="false" name="PrintEndSubmissionChecklist" vbProcedure="false">14</definedName>
    <definedName function="false" hidden="false" name="ProposalVolumes" vbProcedure="false">Lists!$D$2:$D$4</definedName>
    <definedName function="false" hidden="false" name="RequirementLevels" vbProcedure="false">Lists!$C$2:$C$3</definedName>
    <definedName function="false" hidden="false" name="WorkProgress" vbProcedure="false">Lists!$B$2:$B$5</definedName>
    <definedName function="false" hidden="false" localSheetId="3" name="_xlnm.Print_Titles" vbProcedure="false">'Requirement Matrix'!$7:$7,'Requirement Matrix'!$A:$A</definedName>
    <definedName function="false" hidden="false" localSheetId="4" name="_xlnm.Print_Titles" vbProcedure="false">'Evaluation Crosswalk'!$7:$7,'Evaluation Crosswalk'!$A:$A</definedName>
    <definedName function="false" hidden="false" localSheetId="5" name="_xlnm.Print_Titles" vbProcedure="false">'Submission Checklist'!$6:$6,'Submission Checklist'!$A:$A</definedName>
    <definedName function="false" hidden="false" localSheetId="6" name="_xlnm.Print_Titles" vbProcedure="false">'Pricing &amp; Deliverables'!$6:$6,'Pricing &amp; Deliverables'!$A:$A</definedName>
    <definedName function="false" hidden="false" localSheetId="7" name="_xlnm.Print_Titles" vbProcedure="false">'Questions-Risks'!$6:$6,'Questions-Risks'!$A:$A</definedName>
    <definedName function="false" hidden="false" localSheetId="8" name="_xlnm.Print_Titles" vbProcedure="false">'Amendment Log'!$6:$6,'Amendment Log'!$A:$A</definedName>
    <definedName function="false" hidden="false" localSheetId="9" name="_xlnm.Print_Titles" vbProcedure="false">Sources!$5:$5,Sources!$A:$A</definedName>
  </definedNames>
  <calcPr iterateCount="100" refMode="A1" iterate="false" iterateDelta="0.001"/>
  <extLst>
    <ext uri="{7626C862-2A13-11E5-B345-FEFF819CDC9F}">
      <ns2:extCalcPr stringRefSyntax="CalcA1ExcelA1"/>
    </ext>
  </extLst>
</workbook>
</file>

<file path=xl/comments2.xml><?xml version="1.0" encoding="utf-8"?>
<comments xmlns="http://schemas.openxmlformats.org/spreadsheetml/2006/main" xmlns:xdr="http://schemas.openxmlformats.org/drawingml/2006/spreadsheetDrawing">
  <authors>
    <author>OpenAI</author>
  </authors>
  <commentList>
    <comment ref="B5" authorId="0">
      <text>
        <r>
          <rPr>
            <sz val="10"/>
            <rFont val="Arial"/>
            <family val="2"/>
          </rPr>
          <t xml:space="preserve">Name the pursuit the same way the team refers to it internally.</t>
        </r>
      </text>
    </comment>
    <comment ref="B6" authorId="0">
      <text>
        <r>
          <rPr>
            <sz val="10"/>
            <rFont val="Arial"/>
            <family val="2"/>
          </rPr>
          <t xml:space="preserve">Use the latest solicitation number or amendment combination if appropriate.</t>
        </r>
      </text>
    </comment>
    <comment ref="B7" authorId="0">
      <text>
        <r>
          <rPr>
            <sz val="10"/>
            <rFont val="Arial"/>
            <family val="2"/>
          </rPr>
          <t xml:space="preserve">Record the precise buying office to support buyer-specific capture workflows.</t>
        </r>
      </text>
    </comment>
    <comment ref="B9" authorId="0">
      <text>
        <r>
          <rPr>
            <sz val="10"/>
            <rFont val="Arial"/>
            <family val="2"/>
          </rPr>
          <t xml:space="preserve">Add NAICS, PSC, or any key classification that affects fit or teaming.</t>
        </r>
      </text>
    </comment>
    <comment ref="B12" authorId="0">
      <text>
        <r>
          <rPr>
            <sz val="10"/>
            <rFont val="Arial"/>
            <family val="2"/>
          </rPr>
          <t xml:space="preserve">Enter the exact deadline and time zone from the latest solicitation update.</t>
        </r>
      </text>
    </comment>
    <comment ref="B13" authorId="0">
      <text>
        <r>
          <rPr>
            <sz val="10"/>
            <rFont val="Arial"/>
            <family val="2"/>
          </rPr>
          <t xml:space="preserve">Example: PIEE / SAM.gov / email / procurement portal / oral presentation.</t>
        </r>
      </text>
    </comment>
    <comment ref="B19" authorId="0">
      <text>
        <r>
          <rPr>
            <sz val="10"/>
            <rFont val="Arial"/>
            <family val="2"/>
          </rPr>
          <t xml:space="preserve">Paste the public opportunity link or internal GovTribe URL.</t>
        </r>
      </text>
    </comment>
    <comment ref="B24" authorId="0">
      <text>
        <r>
          <rPr>
            <sz val="10"/>
            <rFont val="Arial"/>
            <family val="2"/>
          </rPr>
          <t xml:space="preserve">If there is no page limit, note 'None stated' instead of leaving it blank.</t>
        </r>
      </text>
    </comment>
  </commentList>
</comments>
</file>

<file path=xl/comments4.xml><?xml version="1.0" encoding="utf-8"?>
<comments xmlns="http://schemas.openxmlformats.org/spreadsheetml/2006/main" xmlns:xdr="http://schemas.openxmlformats.org/drawingml/2006/spreadsheetDrawing">
  <authors>
    <author>OpenAI</author>
  </authors>
  <commentList>
    <comment ref="E7" authorId="0">
      <text>
        <r>
          <rPr>
            <sz val="10"/>
            <rFont val="Arial"/>
            <family val="2"/>
          </rPr>
          <t xml:space="preserve">Record the exact source location, e.g., L.3.2 p.47 or PWS 5.1.3 para 2.</t>
        </r>
      </text>
    </comment>
    <comment ref="F7" authorId="0">
      <text>
        <r>
          <rPr>
            <sz val="10"/>
            <rFont val="Arial"/>
            <family val="2"/>
          </rPr>
          <t xml:space="preserve">Paste the requirement in the customer's language. Avoid combining unrelated requirements in one row.</t>
        </r>
      </text>
    </comment>
    <comment ref="G7" authorId="0">
      <text>
        <r>
          <rPr>
            <sz val="10"/>
            <rFont val="Arial"/>
            <family val="2"/>
          </rPr>
          <t xml:space="preserve">Explain what the team must do in the proposal or solution to address the requirement.</t>
        </r>
      </text>
    </comment>
    <comment ref="H7" authorId="0">
      <text>
        <r>
          <rPr>
            <sz val="10"/>
            <rFont val="Arial"/>
            <family val="2"/>
          </rPr>
          <t xml:space="preserve">Select the proposal volume or part where the answer will appear.</t>
        </r>
      </text>
    </comment>
    <comment ref="I7" authorId="0">
      <text>
        <r>
          <rPr>
            <sz val="10"/>
            <rFont val="Arial"/>
            <family val="2"/>
          </rPr>
          <t xml:space="preserve">Use the proposal outline / storyboard section number that will carry the answer.</t>
        </r>
      </text>
    </comment>
    <comment ref="O7" authorId="0">
      <text>
        <r>
          <rPr>
            <sz val="10"/>
            <rFont val="Arial"/>
            <family val="2"/>
          </rPr>
          <t xml:space="preserve">Capture evaluator focus, discriminators, or proof points signaled by Section M.</t>
        </r>
      </text>
    </comment>
    <comment ref="P7" authorId="0">
      <text>
        <r>
          <rPr>
            <sz val="10"/>
            <rFont val="Arial"/>
            <family val="2"/>
          </rPr>
          <t xml:space="preserve">Update after production with the actual final location so reviewers can spot-check.</t>
        </r>
      </text>
    </comment>
    <comment ref="T7" authorId="0">
      <text>
        <r>
          <rPr>
            <sz val="10"/>
            <rFont val="Arial"/>
            <family val="2"/>
          </rPr>
          <t xml:space="preserve">Use a plain text URL for the source document, portal, amendment, or Q&amp;A post.</t>
        </r>
      </text>
    </comment>
    <comment ref="U7" authorId="0">
      <text>
        <r>
          <rPr>
            <sz val="10"/>
            <rFont val="Arial"/>
            <family val="2"/>
          </rPr>
          <t xml:space="preserve">Derived flag based on posture, ownership, and final location.</t>
        </r>
      </text>
    </comment>
  </commentList>
</comments>
</file>

<file path=xl/comments5.xml><?xml version="1.0" encoding="utf-8"?>
<comments xmlns="http://schemas.openxmlformats.org/spreadsheetml/2006/main" xmlns:xdr="http://schemas.openxmlformats.org/drawingml/2006/spreadsheetDrawing">
  <authors>
    <author>OpenAI</author>
  </authors>
  <commentList>
    <comment ref="B7" authorId="0">
      <text>
        <r>
          <rPr>
            <sz val="10"/>
            <rFont val="Arial"/>
            <family val="2"/>
          </rPr>
          <t xml:space="preserve">Record the exact Section M reference or equivalent evaluation text.</t>
        </r>
      </text>
    </comment>
    <comment ref="D7" authorId="0">
      <text>
        <r>
          <rPr>
            <sz val="10"/>
            <rFont val="Arial"/>
            <family val="2"/>
          </rPr>
          <t xml:space="preserve">Use the stated relative importance when the RFP provides it; otherwise choose Not Stated.</t>
        </r>
      </text>
    </comment>
    <comment ref="F7" authorId="0">
      <text>
        <r>
          <rPr>
            <sz val="10"/>
            <rFont val="Arial"/>
            <family val="2"/>
          </rPr>
          <t xml:space="preserve">List the linked requirement IDs so reviewers can test whether every factor is backed by evidence.</t>
        </r>
      </text>
    </comment>
    <comment ref="J7" authorId="0">
      <text>
        <r>
          <rPr>
            <sz val="10"/>
            <rFont val="Arial"/>
            <family val="2"/>
          </rPr>
          <t xml:space="preserve">Capture hot buttons, proof points, and discriminators to emphasize during reviews.</t>
        </r>
      </text>
    </comment>
  </commentList>
</comments>
</file>

<file path=xl/sharedStrings.xml><?xml version="1.0" encoding="utf-8"?>
<sst xmlns="http://schemas.openxmlformats.org/spreadsheetml/2006/main" count="514" uniqueCount="153">
  <si>
    <t xml:space="preserve">Proposal compliance
and control</t>
  </si>
  <si>
    <t xml:space="preserve">Logo here</t>
  </si>
  <si>
    <t xml:space="preserve">Reusable master</t>
  </si>
  <si>
    <t xml:space="preserve">Begin on Opportunity Setup, then add the actual requirements and sources. Empty rows do not count as completed work.</t>
  </si>
  <si>
    <t xml:space="preserve">Keep the response traceable</t>
  </si>
  <si>
    <t xml:space="preserve">1. Extract</t>
  </si>
  <si>
    <t xml:space="preserve">Give each discrete instruction an ID, exact source wording and citation. Keep the current amended wording in the matrix.</t>
  </si>
  <si>
    <t xml:space="preserve">2. Plan</t>
  </si>
  <si>
    <t xml:space="preserve">Record the writing action, intended volume/section and evidence needed. Optional owner fields are grouped to the right.</t>
  </si>
  <si>
    <t xml:space="preserve">3. Verify</t>
  </si>
  <si>
    <t xml:space="preserve">Record reviewed evidence and the final file/location before selecting Pass or Complete. Planning notes are not evidence.</t>
  </si>
  <si>
    <t xml:space="preserve">4. Update</t>
  </si>
  <si>
    <t xml:space="preserve">Use the same work-progress values across tabs. Log source changes and confirm affected requirements and submission files.</t>
  </si>
  <si>
    <t xml:space="preserve">5. Extend</t>
  </si>
  <si>
    <t xml:space="preserve">Use up to 300 prepared rows per control table. Keep IDs stable. Refresh print areas whenever rows are added or removed. Extend table/formula ranges for larger sets.</t>
  </si>
  <si>
    <t xml:space="preserve">Editable input</t>
  </si>
  <si>
    <t xml:space="preserve">Source-backed value</t>
  </si>
  <si>
    <t xml:space="preserve">Calculated control</t>
  </si>
  <si>
    <t xml:space="preserve">Before printing or exporting PDF, use Page Layout &gt; Print Area to include the last populated row in every existing panel. Keep repeated IDs and column headers.</t>
  </si>
  <si>
    <t xml:space="preserve">Use actual source ratings in the evaluation crosswalk. Internal compliance is Pass, Fail or Unresolved; work progress is tracked separately.</t>
  </si>
  <si>
    <t xml:space="preserve">Opportunity setup</t>
  </si>
  <si>
    <t xml:space="preserve">Company</t>
  </si>
  <si>
    <t xml:space="preserve">Source-local deadline (ISO)</t>
  </si>
  <si>
    <t xml:space="preserve">Buyer</t>
  </si>
  <si>
    <t xml:space="preserve">Project</t>
  </si>
  <si>
    <t xml:space="preserve">Solicitation</t>
  </si>
  <si>
    <t xml:space="preserve">As of / source cutoff</t>
  </si>
  <si>
    <t xml:space="preserve">Proposal due date</t>
  </si>
  <si>
    <t xml:space="preserve">Due time (source local)</t>
  </si>
  <si>
    <t xml:space="preserve">Time zone</t>
  </si>
  <si>
    <t xml:space="preserve">Submission channel</t>
  </si>
  <si>
    <t xml:space="preserve">Controlling deadline source</t>
  </si>
  <si>
    <t xml:space="preserve">Contract type</t>
  </si>
  <si>
    <t xml:space="preserve">Tour dates</t>
  </si>
  <si>
    <t xml:space="preserve">Performance end</t>
  </si>
  <si>
    <t xml:space="preserve">UTC offset</t>
  </si>
  <si>
    <t xml:space="preserve">Response volumes</t>
  </si>
  <si>
    <t xml:space="preserve">Volume</t>
  </si>
  <si>
    <t xml:space="preserve">Title</t>
  </si>
  <si>
    <t xml:space="preserve">Internal milestone</t>
  </si>
  <si>
    <t xml:space="preserve">Milestone</t>
  </si>
  <si>
    <t xml:space="preserve">Date</t>
  </si>
  <si>
    <t xml:space="preserve">Add the actual buyer instructions and source cutoff before populating the controls.</t>
  </si>
  <si>
    <t xml:space="preserve">Proposal control dashboard</t>
  </si>
  <si>
    <t xml:space="preserve">New proposal</t>
  </si>
  <si>
    <t xml:space="preserve">Populate Opportunity Setup and the source requirements to begin.</t>
  </si>
  <si>
    <t xml:space="preserve">Proposal deadline</t>
  </si>
  <si>
    <t xml:space="preserve">Source-local time</t>
  </si>
  <si>
    <t xml:space="preserve">Active requirements</t>
  </si>
  <si>
    <t xml:space="preserve">Compliance unresolved</t>
  </si>
  <si>
    <t xml:space="preserve">Compliance failed</t>
  </si>
  <si>
    <t xml:space="preserve">Work unfinished</t>
  </si>
  <si>
    <t xml:space="preserve">Final file missing</t>
  </si>
  <si>
    <t xml:space="preserve">Control errors</t>
  </si>
  <si>
    <t xml:space="preserve">Submission unfinished</t>
  </si>
  <si>
    <t xml:space="preserve">Open questions / risks</t>
  </si>
  <si>
    <t xml:space="preserve">Amendment actions open</t>
  </si>
  <si>
    <t xml:space="preserve">Evidence and ownership</t>
  </si>
  <si>
    <t xml:space="preserve">Work progress</t>
  </si>
  <si>
    <t xml:space="preserve">Mandatory requirements</t>
  </si>
  <si>
    <t xml:space="preserve">Not started</t>
  </si>
  <si>
    <t xml:space="preserve">Evaluated requirements</t>
  </si>
  <si>
    <t xml:space="preserve">In progress</t>
  </si>
  <si>
    <t xml:space="preserve">No owner assigned</t>
  </si>
  <si>
    <t xml:space="preserve">In review</t>
  </si>
  <si>
    <t xml:space="preserve">Reviewed evidence missing</t>
  </si>
  <si>
    <t xml:space="preserve">Complete</t>
  </si>
  <si>
    <t xml:space="preserve">Final location missing</t>
  </si>
  <si>
    <t xml:space="preserve">Requirement Matrix</t>
  </si>
  <si>
    <t xml:space="preserve">Populate from the actual solicitation and company inputs. Empty rows are not active controls.</t>
  </si>
  <si>
    <t xml:space="preserve">Req ID</t>
  </si>
  <si>
    <t xml:space="preserve">Verbatim Requirement</t>
  </si>
  <si>
    <t xml:space="preserve">Source Citation</t>
  </si>
  <si>
    <t xml:space="preserve">Proposal Action / Interpretation</t>
  </si>
  <si>
    <t xml:space="preserve">Proposal Volume</t>
  </si>
  <si>
    <t xml:space="preserve">Proposal Outline Ref</t>
  </si>
  <si>
    <t xml:space="preserve">Evidence / Artifact Needed</t>
  </si>
  <si>
    <t xml:space="preserve">Compliance Posture</t>
  </si>
  <si>
    <t xml:space="preserve">Draft Status</t>
  </si>
  <si>
    <t xml:space="preserve">Evidence Reviewed</t>
  </si>
  <si>
    <t xml:space="preserve">Final Proposal Location</t>
  </si>
  <si>
    <t xml:space="preserve">Final Page / File</t>
  </si>
  <si>
    <t xml:space="preserve">Control Flag</t>
  </si>
  <si>
    <t xml:space="preserve">Source Area</t>
  </si>
  <si>
    <t xml:space="preserve">Requirement Category</t>
  </si>
  <si>
    <t xml:space="preserve">Requirement Level</t>
  </si>
  <si>
    <t xml:space="preserve">Owner</t>
  </si>
  <si>
    <t xml:space="preserve">Support Owner(s)</t>
  </si>
  <si>
    <t xml:space="preserve">Evaluator Focus / Discriminator</t>
  </si>
  <si>
    <t xml:space="preserve">Amendment / Q&amp;A Impact</t>
  </si>
  <si>
    <t xml:space="preserve">Notes / Assumptions</t>
  </si>
  <si>
    <t xml:space="preserve">Source URL</t>
  </si>
  <si>
    <t xml:space="preserve">Source ID</t>
  </si>
  <si>
    <t xml:space="preserve">Classification</t>
  </si>
  <si>
    <t xml:space="preserve">Evaluation Crosswalk</t>
  </si>
  <si>
    <t xml:space="preserve">Eval ID</t>
  </si>
  <si>
    <t xml:space="preserve">Factor / Subfactor</t>
  </si>
  <si>
    <t xml:space="preserve">Evaluator Focus</t>
  </si>
  <si>
    <t xml:space="preserve">Related Req IDs</t>
  </si>
  <si>
    <t xml:space="preserve">Proposal Section</t>
  </si>
  <si>
    <t xml:space="preserve">Evidence / Discriminators</t>
  </si>
  <si>
    <t xml:space="preserve">Review Status</t>
  </si>
  <si>
    <t xml:space="preserve">Relative Importance</t>
  </si>
  <si>
    <t xml:space="preserve">Lead Owner</t>
  </si>
  <si>
    <t xml:space="preserve">Submission Checklist</t>
  </si>
  <si>
    <t xml:space="preserve">Check ID</t>
  </si>
  <si>
    <t xml:space="preserve">Control Item</t>
  </si>
  <si>
    <t xml:space="preserve">Due / Verify By</t>
  </si>
  <si>
    <t xml:space="preserve">Status</t>
  </si>
  <si>
    <t xml:space="preserve">Evidence / Location</t>
  </si>
  <si>
    <t xml:space="preserve">Category</t>
  </si>
  <si>
    <t xml:space="preserve">Why it matters</t>
  </si>
  <si>
    <t xml:space="preserve">Notes</t>
  </si>
  <si>
    <t xml:space="preserve">Pricing &amp; Deliverables</t>
  </si>
  <si>
    <t xml:space="preserve">Item ID</t>
  </si>
  <si>
    <t xml:space="preserve">Description</t>
  </si>
  <si>
    <t xml:space="preserve">Related Requirement IDs</t>
  </si>
  <si>
    <t xml:space="preserve">Price / Proposal Location</t>
  </si>
  <si>
    <t xml:space="preserve">Item Type</t>
  </si>
  <si>
    <t xml:space="preserve">Questions-Risks</t>
  </si>
  <si>
    <t xml:space="preserve">Issue / Decision</t>
  </si>
  <si>
    <t xml:space="preserve">Resolution Path</t>
  </si>
  <si>
    <t xml:space="preserve">Impacted Req IDs</t>
  </si>
  <si>
    <t xml:space="preserve">Due Date</t>
  </si>
  <si>
    <t xml:space="preserve">Resolution / Notes</t>
  </si>
  <si>
    <t xml:space="preserve">Type</t>
  </si>
  <si>
    <t xml:space="preserve">Priority</t>
  </si>
  <si>
    <t xml:space="preserve">Need Customer Q&amp;A?</t>
  </si>
  <si>
    <t xml:space="preserve">Amendment Log</t>
  </si>
  <si>
    <t xml:space="preserve">Amendment ID</t>
  </si>
  <si>
    <t xml:space="preserve">Summary of Change / Clarification</t>
  </si>
  <si>
    <t xml:space="preserve">Action Needed</t>
  </si>
  <si>
    <t xml:space="preserve">Impacted Sections</t>
  </si>
  <si>
    <t xml:space="preserve">Change Type</t>
  </si>
  <si>
    <t xml:space="preserve">Sources</t>
  </si>
  <si>
    <t xml:space="preserve">Source Type</t>
  </si>
  <si>
    <t xml:space="preserve">Short Name</t>
  </si>
  <si>
    <t xml:space="preserve">What it supports</t>
  </si>
  <si>
    <t xml:space="preserve">Key Takeaway / Notes</t>
  </si>
  <si>
    <t xml:space="preserve">SHA-256</t>
  </si>
  <si>
    <t xml:space="preserve">Source date</t>
  </si>
  <si>
    <t xml:space="preserve">Retrieved date</t>
  </si>
  <si>
    <t xml:space="preserve">Compliance</t>
  </si>
  <si>
    <t xml:space="preserve">Requirement level</t>
  </si>
  <si>
    <t xml:space="preserve">Volumes</t>
  </si>
  <si>
    <t xml:space="preserve">Pass</t>
  </si>
  <si>
    <t xml:space="preserve">Mandatory</t>
  </si>
  <si>
    <t xml:space="preserve">I</t>
  </si>
  <si>
    <t xml:space="preserve">Fail</t>
  </si>
  <si>
    <t xml:space="preserve">Optional</t>
  </si>
  <si>
    <t xml:space="preserve">II</t>
  </si>
  <si>
    <t xml:space="preserve">Unresolved</t>
  </si>
  <si>
    <t xml:space="preserve">I and II</t>
  </si>
</sst>
</file>

<file path=xl/styles.xml><?xml version="1.0" encoding="utf-8"?>
<styleSheet xmlns="http://schemas.openxmlformats.org/spreadsheetml/2006/main">
  <numFmts count="3">
    <numFmt numFmtId="164" formatCode="General"/>
    <numFmt numFmtId="165" formatCode="mmm\ d&quot;, &quot;yyyy"/>
    <numFmt numFmtId="166" formatCode="h:mm\ AM/PM"/>
  </numFmts>
  <fonts count="27">
    <font>
      <sz val="10"/>
      <name val="Arial"/>
      <family val="2"/>
    </font>
    <font>
      <sz val="10"/>
      <name val="Arial"/>
      <family val="0"/>
    </font>
    <font>
      <sz val="10"/>
      <name val="Arial"/>
      <family val="0"/>
    </font>
    <font>
      <sz val="10"/>
      <name val="Arial"/>
      <family val="0"/>
    </font>
    <font>
      <sz val="11"/>
      <color theme="1"/>
      <name val="Calibri"/>
      <family val="0"/>
      <charset val="1"/>
    </font>
    <font>
      <b val="true"/>
      <sz val="25"/>
      <color rgb="FF1B283F"/>
      <name val="Arial"/>
      <family val="0"/>
      <charset val="1"/>
    </font>
    <font>
      <sz val="13"/>
      <color rgb="FF617181"/>
      <name val="Arial"/>
      <family val="0"/>
      <charset val="1"/>
    </font>
    <font>
      <sz val="11"/>
      <color rgb="FF27313D"/>
      <name val="Arial"/>
      <family val="0"/>
      <charset val="1"/>
    </font>
    <font>
      <b val="true"/>
      <sz val="14"/>
      <color rgb="FF236D79"/>
      <name val="Arial"/>
      <family val="0"/>
      <charset val="1"/>
    </font>
    <font>
      <sz val="11"/>
      <color rgb="FF617181"/>
      <name val="Arial"/>
      <family val="0"/>
      <charset val="1"/>
    </font>
    <font>
      <b val="true"/>
      <sz val="15"/>
      <color rgb="FF1B283F"/>
      <name val="Arial"/>
      <family val="0"/>
      <charset val="1"/>
    </font>
    <font>
      <b val="true"/>
      <sz val="12"/>
      <color rgb="FF1B283F"/>
      <name val="Arial"/>
      <family val="0"/>
      <charset val="1"/>
    </font>
    <font>
      <sz val="10"/>
      <color rgb="FF27313D"/>
      <name val="Arial"/>
      <family val="0"/>
      <charset val="1"/>
    </font>
    <font>
      <sz val="10"/>
      <color rgb="FF246857"/>
      <name val="Arial"/>
      <family val="0"/>
      <charset val="1"/>
    </font>
    <font>
      <sz val="10"/>
      <color rgb="FF617181"/>
      <name val="Arial"/>
      <family val="0"/>
      <charset val="1"/>
    </font>
    <font>
      <sz val="11"/>
      <color rgb="FF246857"/>
      <name val="Arial"/>
      <family val="0"/>
      <charset val="1"/>
    </font>
    <font>
      <b val="true"/>
      <sz val="14"/>
      <color rgb="FF1B283F"/>
      <name val="Arial"/>
      <family val="0"/>
      <charset val="1"/>
    </font>
    <font>
      <b val="true"/>
      <sz val="27"/>
      <color rgb="FF1B283F"/>
      <name val="Arial"/>
      <family val="0"/>
      <charset val="1"/>
    </font>
    <font>
      <b val="true"/>
      <sz val="11"/>
      <color rgb="FF1B283F"/>
      <name val="Arial"/>
      <family val="0"/>
      <charset val="1"/>
    </font>
    <font>
      <b val="true"/>
      <sz val="13"/>
      <color rgb="FF1B283F"/>
      <name val="Arial"/>
      <family val="0"/>
      <charset val="1"/>
    </font>
    <font>
      <b val="true"/>
      <sz val="11"/>
      <color rgb="FF536372"/>
      <name val="Arial"/>
      <family val="0"/>
      <charset val="1"/>
    </font>
    <font>
      <b val="true"/>
      <sz val="30"/>
      <color rgb="FF536372"/>
      <name val="Arial"/>
      <family val="0"/>
      <charset val="1"/>
    </font>
    <font>
      <b val="true"/>
      <sz val="12"/>
      <color rgb="FF8C501C"/>
      <name val="Arial"/>
      <family val="0"/>
      <charset val="1"/>
    </font>
    <font>
      <b val="true"/>
      <sz val="11"/>
      <color rgb="FF27313D"/>
      <name val="Arial"/>
      <family val="0"/>
      <charset val="1"/>
    </font>
    <font>
      <b val="true"/>
      <sz val="24"/>
      <color rgb="FF1B283F"/>
      <name val="Arial"/>
      <family val="0"/>
      <charset val="1"/>
    </font>
    <font>
      <b val="true"/>
      <sz val="11"/>
      <color rgb="FFFFFFFF"/>
      <name val="Arial"/>
      <family val="0"/>
      <charset val="1"/>
    </font>
    <font>
      <b val="true"/>
      <sz val="10"/>
      <color rgb="FF1B283F"/>
      <name val="Arial"/>
      <family val="0"/>
      <charset val="1"/>
    </font>
  </fonts>
  <fills count="9">
    <fill>
      <patternFill patternType="none"/>
    </fill>
    <fill>
      <patternFill patternType="gray125"/>
    </fill>
    <fill>
      <patternFill patternType="solid">
        <fgColor rgb="FFF2F5F7"/>
        <bgColor rgb="FFF3F5F7"/>
      </patternFill>
    </fill>
    <fill>
      <patternFill patternType="solid">
        <fgColor rgb="FFEDF5FB"/>
        <bgColor rgb="FFEBF3FA"/>
      </patternFill>
    </fill>
    <fill>
      <patternFill patternType="solid">
        <fgColor rgb="FFF0F4F3"/>
        <bgColor rgb="FFF2F5F7"/>
      </patternFill>
    </fill>
    <fill>
      <patternFill patternType="solid">
        <fgColor rgb="FFF3F5F7"/>
        <bgColor rgb="FFF2F5F7"/>
      </patternFill>
    </fill>
    <fill>
      <patternFill patternType="solid">
        <fgColor rgb="FFFFFFFF"/>
        <bgColor rgb="FFFFF6EB"/>
      </patternFill>
    </fill>
    <fill>
      <patternFill patternType="solid">
        <fgColor rgb="FFFFF6EB"/>
        <bgColor rgb="FFFFF3E5"/>
      </patternFill>
    </fill>
    <fill>
      <patternFill patternType="solid">
        <fgColor rgb="FF1B283F"/>
        <bgColor rgb="FF27313D"/>
      </patternFill>
    </fill>
  </fills>
  <borders count="2">
    <border diagonalUp="false" diagonalDown="false">
      <left/>
      <right/>
      <top/>
      <bottom/>
      <diagonal/>
    </border>
    <border diagonalUp="false" diagonalDown="false">
      <left/>
      <right/>
      <top style="medium">
        <color rgb="FFC6D0D9"/>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4" fontId="6" fillId="2"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general" vertical="center" textRotation="0" wrapText="true" indent="0" shrinkToFit="false"/>
      <protection locked="true" hidden="false"/>
    </xf>
    <xf numFmtId="164" fontId="9" fillId="0" borderId="0" xfId="20" applyFont="true" applyBorder="true" applyAlignment="true" applyProtection="false">
      <alignment horizontal="general" vertical="center" textRotation="0" wrapText="true" indent="0" shrinkToFit="false"/>
      <protection locked="true" hidden="false"/>
    </xf>
    <xf numFmtId="164" fontId="10" fillId="2" borderId="0" xfId="20" applyFont="true" applyBorder="true" applyAlignment="true" applyProtection="false">
      <alignment horizontal="general" vertical="center" textRotation="0" wrapText="true" indent="0" shrinkToFit="false"/>
      <protection locked="true" hidden="false"/>
    </xf>
    <xf numFmtId="164" fontId="11" fillId="0" borderId="0" xfId="20" applyFont="true" applyBorder="true" applyAlignment="true" applyProtection="false">
      <alignment horizontal="general" vertical="center" textRotation="0" wrapText="true" indent="0" shrinkToFit="false"/>
      <protection locked="true" hidden="false"/>
    </xf>
    <xf numFmtId="164" fontId="12" fillId="3" borderId="0" xfId="20" applyFont="true" applyBorder="true" applyAlignment="true" applyProtection="false">
      <alignment horizontal="general" vertical="center" textRotation="0" wrapText="true" indent="0" shrinkToFit="false"/>
      <protection locked="true" hidden="false"/>
    </xf>
    <xf numFmtId="164" fontId="13" fillId="2" borderId="0" xfId="20" applyFont="true" applyBorder="true" applyAlignment="true" applyProtection="false">
      <alignment horizontal="general" vertical="center" textRotation="0" wrapText="true" indent="0" shrinkToFit="false"/>
      <protection locked="true" hidden="false"/>
    </xf>
    <xf numFmtId="164" fontId="12" fillId="4" borderId="0" xfId="20" applyFont="true" applyBorder="true" applyAlignment="true" applyProtection="false">
      <alignment horizontal="general" vertical="center" textRotation="0" wrapText="true" indent="0" shrinkToFit="false"/>
      <protection locked="true" hidden="false"/>
    </xf>
    <xf numFmtId="164" fontId="14" fillId="0" borderId="0" xfId="20" applyFont="true" applyBorder="true" applyAlignment="true" applyProtection="false">
      <alignment horizontal="general" vertical="center" textRotation="0" wrapText="true" indent="0" shrinkToFit="false"/>
      <protection locked="true" hidden="false"/>
    </xf>
    <xf numFmtId="164" fontId="15" fillId="3" borderId="0" xfId="20" applyFont="true" applyBorder="true" applyAlignment="true" applyProtection="false">
      <alignment horizontal="general" vertical="center" textRotation="0" wrapText="true" indent="0" shrinkToFit="false"/>
      <protection locked="true" hidden="false"/>
    </xf>
    <xf numFmtId="165" fontId="15" fillId="3" borderId="0" xfId="20" applyFont="true" applyBorder="true" applyAlignment="true" applyProtection="false">
      <alignment horizontal="general" vertical="center" textRotation="0" wrapText="true" indent="0" shrinkToFit="false"/>
      <protection locked="true" hidden="false"/>
    </xf>
    <xf numFmtId="166" fontId="15" fillId="3" borderId="0" xfId="20" applyFont="true" applyBorder="true" applyAlignment="true" applyProtection="false">
      <alignment horizontal="general" vertical="center" textRotation="0" wrapText="true" indent="0" shrinkToFit="false"/>
      <protection locked="true" hidden="false"/>
    </xf>
    <xf numFmtId="164" fontId="16" fillId="2" borderId="0" xfId="20" applyFont="true" applyBorder="true" applyAlignment="true" applyProtection="false">
      <alignment horizontal="general" vertical="center" textRotation="0" wrapText="true" indent="0" shrinkToFit="false"/>
      <protection locked="true" hidden="false"/>
    </xf>
    <xf numFmtId="164" fontId="7" fillId="3" borderId="0" xfId="20" applyFont="true" applyBorder="true" applyAlignment="true" applyProtection="false">
      <alignment horizontal="general" vertical="center" textRotation="0" wrapText="true" indent="0" shrinkToFit="false"/>
      <protection locked="true" hidden="false"/>
    </xf>
    <xf numFmtId="164" fontId="17" fillId="0" borderId="0" xfId="20" applyFont="true" applyBorder="true" applyAlignment="true" applyProtection="false">
      <alignment horizontal="general" vertical="center" textRotation="0" wrapText="true" indent="0" shrinkToFit="false"/>
      <protection locked="true" hidden="false"/>
    </xf>
    <xf numFmtId="164" fontId="18" fillId="0" borderId="0" xfId="20" applyFont="true" applyBorder="true" applyAlignment="true" applyProtection="false">
      <alignment horizontal="general" vertical="center" textRotation="0" wrapText="true" indent="0" shrinkToFit="false"/>
      <protection locked="true" hidden="false"/>
    </xf>
    <xf numFmtId="165" fontId="19" fillId="2" borderId="0" xfId="20" applyFont="true" applyBorder="true" applyAlignment="true" applyProtection="false">
      <alignment horizontal="general" vertical="center" textRotation="0" wrapText="true" indent="0" shrinkToFit="false"/>
      <protection locked="true" hidden="false"/>
    </xf>
    <xf numFmtId="166" fontId="19" fillId="2" borderId="0" xfId="20" applyFont="true" applyBorder="true" applyAlignment="true" applyProtection="false">
      <alignment horizontal="general" vertical="center" textRotation="0" wrapText="true" indent="0" shrinkToFit="false"/>
      <protection locked="true" hidden="false"/>
    </xf>
    <xf numFmtId="164" fontId="19" fillId="2" borderId="0" xfId="20" applyFont="true" applyBorder="true" applyAlignment="true" applyProtection="false">
      <alignment horizontal="general" vertical="center" textRotation="0" wrapText="true" indent="0" shrinkToFit="false"/>
      <protection locked="true" hidden="false"/>
    </xf>
    <xf numFmtId="164" fontId="20" fillId="5" borderId="1" xfId="20" applyFont="true" applyBorder="true" applyAlignment="true" applyProtection="false">
      <alignment horizontal="general" vertical="center" textRotation="0" wrapText="true" indent="0" shrinkToFit="false"/>
      <protection locked="true" hidden="false"/>
    </xf>
    <xf numFmtId="164" fontId="7" fillId="6" borderId="0" xfId="20" applyFont="true" applyBorder="true" applyAlignment="true" applyProtection="false">
      <alignment horizontal="general" vertical="center" textRotation="0" wrapText="true" indent="0" shrinkToFit="false"/>
      <protection locked="true" hidden="false"/>
    </xf>
    <xf numFmtId="164" fontId="21" fillId="5" borderId="0" xfId="20" applyFont="true" applyBorder="true" applyAlignment="true" applyProtection="false">
      <alignment horizontal="left" vertical="center" textRotation="0" wrapText="true" indent="0" shrinkToFit="false"/>
      <protection locked="true" hidden="false"/>
    </xf>
    <xf numFmtId="164" fontId="22" fillId="7" borderId="0" xfId="20" applyFont="true" applyBorder="true" applyAlignment="true" applyProtection="false">
      <alignment horizontal="general" vertical="center" textRotation="0" wrapText="true" indent="0" shrinkToFit="false"/>
      <protection locked="true" hidden="false"/>
    </xf>
    <xf numFmtId="164" fontId="19" fillId="0" borderId="0" xfId="20" applyFont="true" applyBorder="true" applyAlignment="true" applyProtection="false">
      <alignment horizontal="general" vertical="center" textRotation="0" wrapText="true" indent="0" shrinkToFit="false"/>
      <protection locked="true" hidden="false"/>
    </xf>
    <xf numFmtId="164" fontId="23" fillId="0" borderId="0" xfId="20" applyFont="true" applyBorder="true" applyAlignment="true" applyProtection="false">
      <alignment horizontal="general" vertical="center" textRotation="0" wrapText="true" indent="0" shrinkToFit="false"/>
      <protection locked="true" hidden="false"/>
    </xf>
    <xf numFmtId="164" fontId="24" fillId="0" borderId="0" xfId="20" applyFont="true" applyBorder="true" applyAlignment="true" applyProtection="false">
      <alignment horizontal="general" vertical="center" textRotation="0" wrapText="true" indent="0" shrinkToFit="false"/>
      <protection locked="true" hidden="false"/>
    </xf>
    <xf numFmtId="164" fontId="7" fillId="0" borderId="0" xfId="20" applyFont="true" applyBorder="true" applyAlignment="true" applyProtection="false">
      <alignment horizontal="general" vertical="top" textRotation="0" wrapText="true" indent="0" shrinkToFit="false"/>
      <protection locked="true" hidden="false"/>
    </xf>
    <xf numFmtId="164" fontId="25" fillId="8" borderId="0" xfId="20" applyFont="true" applyBorder="true" applyAlignment="true" applyProtection="false">
      <alignment horizontal="general" vertical="center" textRotation="0" wrapText="true" indent="0" shrinkToFit="false"/>
      <protection locked="true" hidden="false"/>
    </xf>
    <xf numFmtId="164" fontId="26" fillId="6" borderId="0" xfId="20" applyFont="true" applyBorder="true" applyAlignment="true" applyProtection="false">
      <alignment horizontal="general" vertical="top" textRotation="0" wrapText="true" indent="0" shrinkToFit="false"/>
      <protection locked="true" hidden="false"/>
    </xf>
    <xf numFmtId="164" fontId="15" fillId="6" borderId="0" xfId="20" applyFont="true" applyBorder="true" applyAlignment="true" applyProtection="false">
      <alignment horizontal="general" vertical="top" textRotation="0" wrapText="true" indent="0" shrinkToFit="false"/>
      <protection locked="true" hidden="false"/>
    </xf>
    <xf numFmtId="164" fontId="7" fillId="6" borderId="0" xfId="20" applyFont="true" applyBorder="true" applyAlignment="true" applyProtection="false">
      <alignment horizontal="general" vertical="top" textRotation="0" wrapText="true" indent="0" shrinkToFit="false"/>
      <protection locked="true" hidden="false"/>
    </xf>
    <xf numFmtId="164" fontId="7" fillId="3"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top" textRotation="0" wrapText="true" indent="0" shrinkToFit="false"/>
      <protection locked="true" hidden="false"/>
    </xf>
    <xf numFmtId="164" fontId="26" fillId="2" borderId="0" xfId="20" applyFont="true" applyBorder="true" applyAlignment="true" applyProtection="false">
      <alignment horizontal="general" vertical="top" textRotation="0" wrapText="true" indent="0" shrinkToFit="false"/>
      <protection locked="true" hidden="false"/>
    </xf>
    <xf numFmtId="164" fontId="15" fillId="2"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true" applyProtection="false">
      <alignment horizontal="general" vertical="top" textRotation="0" wrapText="true" indent="0" shrinkToFit="false"/>
      <protection locked="true" hidden="false"/>
    </xf>
    <xf numFmtId="164" fontId="15" fillId="0" borderId="0" xfId="20" applyFont="true" applyBorder="true" applyAlignment="true" applyProtection="false">
      <alignment horizontal="general" vertical="top" textRotation="0" wrapText="true" indent="0" shrinkToFit="false"/>
      <protection locked="true" hidden="false"/>
    </xf>
    <xf numFmtId="165" fontId="7" fillId="6" borderId="0" xfId="20" applyFont="true" applyBorder="true" applyAlignment="true" applyProtection="false">
      <alignment horizontal="general" vertical="top" textRotation="0" wrapText="true" indent="0" shrinkToFit="false"/>
      <protection locked="true" hidden="false"/>
    </xf>
    <xf numFmtId="165" fontId="7" fillId="2" borderId="0" xfId="20" applyFont="true" applyBorder="true" applyAlignment="true" applyProtection="false">
      <alignment horizontal="general" vertical="top" textRotation="0" wrapText="true" indent="0" shrinkToFit="false"/>
      <protection locked="true" hidden="false"/>
    </xf>
    <xf numFmtId="165" fontId="7" fillId="0" borderId="0" xfId="20" applyFont="true" applyBorder="true" applyAlignment="true" applyProtection="false">
      <alignment horizontal="general" vertical="top" textRotation="0" wrapText="tru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6">
    <dxf>
      <fill>
        <patternFill>
          <bgColor rgb="FFFCE4D6"/>
        </patternFill>
      </fill>
    </dxf>
    <dxf>
      <fill>
        <patternFill>
          <bgColor rgb="FFE2F0D9"/>
        </patternFill>
      </fill>
    </dxf>
    <dxf>
      <font>
        <color rgb="FF24597D"/>
      </font>
      <fill>
        <patternFill>
          <bgColor rgb="FFEBF3FA"/>
        </patternFill>
      </fill>
    </dxf>
    <dxf>
      <font>
        <color rgb="FF24597D"/>
      </font>
      <fill>
        <patternFill>
          <bgColor rgb="FFEBF3FA"/>
        </patternFill>
      </fill>
      <border diagonalUp="false" diagonalDown="false">
        <left/>
        <right/>
        <top style="medium">
          <color rgb="FF4F7F9F"/>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973F39"/>
      </font>
      <fill>
        <patternFill>
          <bgColor rgb="FFFBECEB"/>
        </patternFill>
      </fill>
    </dxf>
    <dxf>
      <font>
        <color rgb="FF973F39"/>
      </font>
      <fill>
        <patternFill>
          <bgColor rgb="FFFBECEB"/>
        </patternFill>
      </fill>
      <border diagonalUp="false" diagonalDown="false">
        <left/>
        <right/>
        <top style="medium">
          <color rgb="FFC26760"/>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color rgb="FF875315"/>
      </font>
      <fill>
        <patternFill>
          <bgColor rgb="FFFFF4E1"/>
        </patternFill>
      </fill>
    </dxf>
    <dxf>
      <font>
        <color rgb="FF875315"/>
      </font>
      <fill>
        <patternFill>
          <bgColor rgb="FFFFF4E1"/>
        </patternFill>
      </fill>
      <border diagonalUp="false" diagonalDown="false">
        <left/>
        <right/>
        <top style="medium">
          <color rgb="FFC68C36"/>
        </top>
        <bottom/>
        <diagonal/>
      </border>
    </dxf>
    <dxf>
      <font>
        <b val="1"/>
        <color rgb="FF8C501C"/>
      </font>
    </dxf>
    <dxf>
      <fill>
        <patternFill patternType="solid">
          <fgColor rgb="FF1B283F"/>
          <bgColor rgb="FF000000"/>
        </patternFill>
      </fill>
    </dxf>
    <dxf>
      <fill>
        <patternFill patternType="solid">
          <fgColor rgb="FFF2F5F7"/>
          <bgColor rgb="FF000000"/>
        </patternFill>
      </fill>
    </dxf>
    <dxf>
      <fill>
        <patternFill patternType="solid">
          <fgColor rgb="FFFFFFFF"/>
          <bgColor rgb="FF000000"/>
        </patternFill>
      </fill>
    </dxf>
    <dxf>
      <fill>
        <patternFill patternType="solid">
          <bgColor rgb="FF000000"/>
        </patternFill>
      </fill>
    </dxf>
    <dxf>
      <fill>
        <patternFill patternType="solid">
          <fgColor rgb="FF246857"/>
          <bgColor rgb="FF000000"/>
        </patternFill>
      </fill>
    </dxf>
    <dxf>
      <fill>
        <patternFill patternType="solid">
          <fgColor rgb="FF27313D"/>
          <bgColor rgb="FF000000"/>
        </patternFill>
      </fill>
    </dxf>
    <dxf>
      <fill>
        <patternFill patternType="solid">
          <fgColor rgb="FFEDF5FB"/>
          <bgColor rgb="FF000000"/>
        </patternFill>
      </fill>
    </dxf>
    <dxf>
      <fill>
        <patternFill patternType="solid">
          <fgColor rgb="FFF0F4F3"/>
          <bgColor rgb="FF000000"/>
        </patternFill>
      </fill>
    </dxf>
    <dxf>
      <fill>
        <patternFill>
          <bgColor rgb="FFFFF2CC"/>
        </patternFill>
      </fill>
    </dxf>
    <dxf>
      <fill>
        <patternFill>
          <bgColor rgb="FFF4CCCC"/>
        </patternFill>
      </fill>
    </dxf>
    <dxf>
      <fill>
        <patternFill>
          <bgColor rgb="FFE7E6E6"/>
        </patternFill>
      </fill>
    </dxf>
    <dxf>
      <fill>
        <patternFill>
          <bgColor rgb="FFD9EAF7"/>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8C501C"/>
      </font>
      <fill>
        <patternFill>
          <bgColor rgb="FFFFF3E5"/>
        </patternFill>
      </fill>
    </dxf>
    <dxf>
      <font>
        <color rgb="FF9B3333"/>
      </font>
      <fill>
        <patternFill>
          <bgColor rgb="FFFBEAEA"/>
        </patternFill>
      </fill>
    </dxf>
    <dxf>
      <font>
        <color rgb="FF276649"/>
      </font>
      <fill>
        <patternFill>
          <bgColor rgb="FFE9F2ED"/>
        </patternFill>
      </fill>
    </dxf>
    <dxf>
      <font>
        <color rgb="FF315F82"/>
      </font>
      <fill>
        <patternFill>
          <bgColor rgb="FFEAF2F8"/>
        </patternFill>
      </fill>
    </dxf>
    <dxf>
      <font>
        <color rgb="FF625480"/>
      </font>
      <fill>
        <patternFill>
          <bgColor rgb="FFF0ECF7"/>
        </patternFill>
      </fill>
    </dxf>
    <dxf>
      <font>
        <color rgb="FF276649"/>
      </font>
      <fill>
        <patternFill>
          <bgColor rgb="FFE9F2ED"/>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69" type="wholeTable"/>
      <tableStyleElement dxfId="70" type="firstColumnStripe"/>
      <tableStyleElement dxfId="71" type="firstRowStripe"/>
      <tableStyleElement dxfId="72" type="lastColumn"/>
      <tableStyleElement dxfId="73" type="firstColumn"/>
      <tableStyleElement dxfId="74" type="headerRow"/>
      <tableStyleElement dxfId="75" type="totalRow"/>
    </tableStyle>
  </tableStyles>
  <colors>
    <indexedColors>
      <rgbColor rgb="FF000000"/>
      <rgbColor rgb="FFFFFFFF"/>
      <rgbColor rgb="FFFF0000"/>
      <rgbColor rgb="FF00FF00"/>
      <rgbColor rgb="FF0000FF"/>
      <rgbColor rgb="FFFFF3E5"/>
      <rgbColor rgb="FFFF00FF"/>
      <rgbColor rgb="FFEDF5FB"/>
      <rgbColor rgb="FF800000"/>
      <rgbColor rgb="FF276649"/>
      <rgbColor rgb="FF000080"/>
      <rgbColor rgb="FF875315"/>
      <rgbColor rgb="FF800080"/>
      <rgbColor rgb="FF236D79"/>
      <rgbColor rgb="FFE7E6E6"/>
      <rgbColor rgb="FF4F7F9F"/>
      <rgbColor rgb="FFE9F2ED"/>
      <rgbColor rgb="FF9B3333"/>
      <rgbColor rgb="FFFFF2CC"/>
      <rgbColor rgb="FFD9EAF7"/>
      <rgbColor rgb="FF660066"/>
      <rgbColor rgb="FFC26760"/>
      <rgbColor rgb="FF315F82"/>
      <rgbColor rgb="FFC6D0D9"/>
      <rgbColor rgb="FF000080"/>
      <rgbColor rgb="FFFF00FF"/>
      <rgbColor rgb="FFFFF6EB"/>
      <rgbColor rgb="FFF2F5F7"/>
      <rgbColor rgb="FF800080"/>
      <rgbColor rgb="FF800000"/>
      <rgbColor rgb="FF246857"/>
      <rgbColor rgb="FF0000FF"/>
      <rgbColor rgb="FFF3F5F7"/>
      <rgbColor rgb="FFEAF2F8"/>
      <rgbColor rgb="FFE2F0D9"/>
      <rgbColor rgb="FFFFF4E1"/>
      <rgbColor rgb="FF95B3D7"/>
      <rgbColor rgb="FFFCE4D6"/>
      <rgbColor rgb="FFF0ECF7"/>
      <rgbColor rgb="FFF4CCCC"/>
      <rgbColor rgb="FF4F81BD"/>
      <rgbColor rgb="FFEBF3FA"/>
      <rgbColor rgb="FFF0F4F3"/>
      <rgbColor rgb="FFFBEAEA"/>
      <rgbColor rgb="FFC68C36"/>
      <rgbColor rgb="FFFF6600"/>
      <rgbColor rgb="FF617181"/>
      <rgbColor rgb="FFFBECEB"/>
      <rgbColor rgb="FF1B283F"/>
      <rgbColor rgb="FF536372"/>
      <rgbColor rgb="FF003300"/>
      <rgbColor rgb="FF625480"/>
      <rgbColor rgb="FF8C501C"/>
      <rgbColor rgb="FF973F39"/>
      <rgbColor rgb="FF24597D"/>
      <rgbColor rgb="FF273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304920</xdr:colOff>
      <xdr:row>10</xdr:row>
      <xdr:rowOff>47520</xdr:rowOff>
    </xdr:from>
    <xdr:to>
      <xdr:col>2</xdr:col>
      <xdr:colOff>514080</xdr:colOff>
      <xdr:row>10</xdr:row>
      <xdr:rowOff>256680</xdr:rowOff>
    </xdr:to>
    <xdr:pic>
      <xdr:nvPicPr>
        <xdr:cNvPr id="1" name="b38a14f3-4d82-4c27-86b7-3ea9c1595db7"/>
        <xdr:cNvPicPr/>
      </xdr:nvPicPr>
      <xdr:blipFill>
        <a:blip r:embed="rId1"/>
        <a:stretch/>
      </xdr:blipFill>
      <xdr:spPr>
        <a:xfrm>
          <a:off x="1776960" y="1800000"/>
          <a:ext cx="209160" cy="209160"/>
        </a:xfrm>
        <a:prstGeom prst="rect">
          <a:avLst/>
        </a:prstGeom>
        <a:noFill/>
        <a:ln w="0">
          <a:noFill/>
        </a:ln>
      </xdr:spPr>
    </xdr:pic>
    <xdr:clientData/>
  </xdr:twoCellAnchor>
  <xdr:twoCellAnchor editAs="oneCell">
    <xdr:from>
      <xdr:col>6</xdr:col>
      <xdr:colOff>609480</xdr:colOff>
      <xdr:row>10</xdr:row>
      <xdr:rowOff>47520</xdr:rowOff>
    </xdr:from>
    <xdr:to>
      <xdr:col>6</xdr:col>
      <xdr:colOff>818640</xdr:colOff>
      <xdr:row>10</xdr:row>
      <xdr:rowOff>256680</xdr:rowOff>
    </xdr:to>
    <xdr:pic>
      <xdr:nvPicPr>
        <xdr:cNvPr id="2" name="4e15aa55-6c13-4e8a-8e5c-7dbf7a289715"/>
        <xdr:cNvPicPr/>
      </xdr:nvPicPr>
      <xdr:blipFill>
        <a:blip r:embed="rId2"/>
        <a:stretch/>
      </xdr:blipFill>
      <xdr:spPr>
        <a:xfrm>
          <a:off x="4179960" y="1800000"/>
          <a:ext cx="209160" cy="209160"/>
        </a:xfrm>
        <a:prstGeom prst="rect">
          <a:avLst/>
        </a:prstGeom>
        <a:noFill/>
        <a:ln w="0">
          <a:noFill/>
        </a:ln>
      </xdr:spPr>
    </xdr:pic>
    <xdr:clientData/>
  </xdr:twoCellAnchor>
  <xdr:twoCellAnchor editAs="oneCell">
    <xdr:from>
      <xdr:col>10</xdr:col>
      <xdr:colOff>304920</xdr:colOff>
      <xdr:row>10</xdr:row>
      <xdr:rowOff>47520</xdr:rowOff>
    </xdr:from>
    <xdr:to>
      <xdr:col>10</xdr:col>
      <xdr:colOff>514080</xdr:colOff>
      <xdr:row>10</xdr:row>
      <xdr:rowOff>256680</xdr:rowOff>
    </xdr:to>
    <xdr:pic>
      <xdr:nvPicPr>
        <xdr:cNvPr id="3" name="1f74c8ec-cede-4e99-85e9-175548c7431c"/>
        <xdr:cNvPicPr/>
      </xdr:nvPicPr>
      <xdr:blipFill>
        <a:blip r:embed="rId3"/>
        <a:stretch/>
      </xdr:blipFill>
      <xdr:spPr>
        <a:xfrm>
          <a:off x="6569280" y="1800000"/>
          <a:ext cx="209160" cy="209160"/>
        </a:xfrm>
        <a:prstGeom prst="rect">
          <a:avLst/>
        </a:prstGeom>
        <a:noFill/>
        <a:ln w="0">
          <a:noFill/>
        </a:ln>
      </xdr:spPr>
    </xdr:pic>
    <xdr:clientData/>
  </xdr:twoCellAnchor>
  <xdr:twoCellAnchor editAs="oneCell">
    <xdr:from>
      <xdr:col>2</xdr:col>
      <xdr:colOff>304920</xdr:colOff>
      <xdr:row>15</xdr:row>
      <xdr:rowOff>47520</xdr:rowOff>
    </xdr:from>
    <xdr:to>
      <xdr:col>2</xdr:col>
      <xdr:colOff>514080</xdr:colOff>
      <xdr:row>15</xdr:row>
      <xdr:rowOff>256680</xdr:rowOff>
    </xdr:to>
    <xdr:pic>
      <xdr:nvPicPr>
        <xdr:cNvPr id="4" name="e766d938-9766-4c8d-8b75-dfd1b7eb4ce5"/>
        <xdr:cNvPicPr/>
      </xdr:nvPicPr>
      <xdr:blipFill>
        <a:blip r:embed="rId4"/>
        <a:stretch/>
      </xdr:blipFill>
      <xdr:spPr>
        <a:xfrm>
          <a:off x="1776960" y="2752560"/>
          <a:ext cx="209160" cy="209160"/>
        </a:xfrm>
        <a:prstGeom prst="rect">
          <a:avLst/>
        </a:prstGeom>
        <a:noFill/>
        <a:ln w="0">
          <a:noFill/>
        </a:ln>
      </xdr:spPr>
    </xdr:pic>
    <xdr:clientData/>
  </xdr:twoCellAnchor>
  <xdr:twoCellAnchor editAs="oneCell">
    <xdr:from>
      <xdr:col>6</xdr:col>
      <xdr:colOff>609480</xdr:colOff>
      <xdr:row>15</xdr:row>
      <xdr:rowOff>47520</xdr:rowOff>
    </xdr:from>
    <xdr:to>
      <xdr:col>6</xdr:col>
      <xdr:colOff>818640</xdr:colOff>
      <xdr:row>15</xdr:row>
      <xdr:rowOff>256680</xdr:rowOff>
    </xdr:to>
    <xdr:pic>
      <xdr:nvPicPr>
        <xdr:cNvPr id="5" name="c42a8443-1bef-423c-8426-f09b5781d1d6"/>
        <xdr:cNvPicPr/>
      </xdr:nvPicPr>
      <xdr:blipFill>
        <a:blip r:embed="rId5"/>
        <a:stretch/>
      </xdr:blipFill>
      <xdr:spPr>
        <a:xfrm>
          <a:off x="4179960" y="2752560"/>
          <a:ext cx="209160" cy="209160"/>
        </a:xfrm>
        <a:prstGeom prst="rect">
          <a:avLst/>
        </a:prstGeom>
        <a:noFill/>
        <a:ln w="0">
          <a:noFill/>
        </a:ln>
      </xdr:spPr>
    </xdr:pic>
    <xdr:clientData/>
  </xdr:twoCellAnchor>
  <xdr:twoCellAnchor editAs="oneCell">
    <xdr:from>
      <xdr:col>10</xdr:col>
      <xdr:colOff>304920</xdr:colOff>
      <xdr:row>15</xdr:row>
      <xdr:rowOff>47520</xdr:rowOff>
    </xdr:from>
    <xdr:to>
      <xdr:col>10</xdr:col>
      <xdr:colOff>514080</xdr:colOff>
      <xdr:row>15</xdr:row>
      <xdr:rowOff>256680</xdr:rowOff>
    </xdr:to>
    <xdr:pic>
      <xdr:nvPicPr>
        <xdr:cNvPr id="6" name="175c69e4-a308-4fc1-adb7-61fc2f9d4006"/>
        <xdr:cNvPicPr/>
      </xdr:nvPicPr>
      <xdr:blipFill>
        <a:blip r:embed="rId6"/>
        <a:stretch/>
      </xdr:blipFill>
      <xdr:spPr>
        <a:xfrm>
          <a:off x="6569280" y="2752560"/>
          <a:ext cx="209160" cy="209160"/>
        </a:xfrm>
        <a:prstGeom prst="rect">
          <a:avLst/>
        </a:prstGeom>
        <a:noFill/>
        <a:ln w="0">
          <a:noFill/>
        </a:ln>
      </xdr:spPr>
    </xdr:pic>
    <xdr:clientData/>
  </xdr:twoCellAnchor>
  <xdr:twoCellAnchor editAs="oneCell">
    <xdr:from>
      <xdr:col>2</xdr:col>
      <xdr:colOff>304920</xdr:colOff>
      <xdr:row>20</xdr:row>
      <xdr:rowOff>47520</xdr:rowOff>
    </xdr:from>
    <xdr:to>
      <xdr:col>2</xdr:col>
      <xdr:colOff>514080</xdr:colOff>
      <xdr:row>20</xdr:row>
      <xdr:rowOff>256680</xdr:rowOff>
    </xdr:to>
    <xdr:pic>
      <xdr:nvPicPr>
        <xdr:cNvPr id="7" name="ae2e95fe-d976-44ce-9055-145fcc08a3b2"/>
        <xdr:cNvPicPr/>
      </xdr:nvPicPr>
      <xdr:blipFill>
        <a:blip r:embed="rId7"/>
        <a:stretch/>
      </xdr:blipFill>
      <xdr:spPr>
        <a:xfrm>
          <a:off x="1776960" y="3705120"/>
          <a:ext cx="209160" cy="209160"/>
        </a:xfrm>
        <a:prstGeom prst="rect">
          <a:avLst/>
        </a:prstGeom>
        <a:noFill/>
        <a:ln w="0">
          <a:noFill/>
        </a:ln>
      </xdr:spPr>
    </xdr:pic>
    <xdr:clientData/>
  </xdr:twoCellAnchor>
  <xdr:twoCellAnchor editAs="oneCell">
    <xdr:from>
      <xdr:col>6</xdr:col>
      <xdr:colOff>609480</xdr:colOff>
      <xdr:row>20</xdr:row>
      <xdr:rowOff>47520</xdr:rowOff>
    </xdr:from>
    <xdr:to>
      <xdr:col>6</xdr:col>
      <xdr:colOff>818640</xdr:colOff>
      <xdr:row>20</xdr:row>
      <xdr:rowOff>256680</xdr:rowOff>
    </xdr:to>
    <xdr:pic>
      <xdr:nvPicPr>
        <xdr:cNvPr id="8" name="ad190ae0-b3f9-460d-a919-60adb7f1e8e6"/>
        <xdr:cNvPicPr/>
      </xdr:nvPicPr>
      <xdr:blipFill>
        <a:blip r:embed="rId8"/>
        <a:stretch/>
      </xdr:blipFill>
      <xdr:spPr>
        <a:xfrm>
          <a:off x="4179960" y="3705120"/>
          <a:ext cx="209160" cy="209160"/>
        </a:xfrm>
        <a:prstGeom prst="rect">
          <a:avLst/>
        </a:prstGeom>
        <a:noFill/>
        <a:ln w="0">
          <a:noFill/>
        </a:ln>
      </xdr:spPr>
    </xdr:pic>
    <xdr:clientData/>
  </xdr:twoCellAnchor>
  <xdr:twoCellAnchor editAs="oneCell">
    <xdr:from>
      <xdr:col>10</xdr:col>
      <xdr:colOff>304920</xdr:colOff>
      <xdr:row>20</xdr:row>
      <xdr:rowOff>47520</xdr:rowOff>
    </xdr:from>
    <xdr:to>
      <xdr:col>10</xdr:col>
      <xdr:colOff>514080</xdr:colOff>
      <xdr:row>20</xdr:row>
      <xdr:rowOff>256680</xdr:rowOff>
    </xdr:to>
    <xdr:pic>
      <xdr:nvPicPr>
        <xdr:cNvPr id="9" name="2a137882-1cde-4d41-8a2e-ab15cc544311"/>
        <xdr:cNvPicPr/>
      </xdr:nvPicPr>
      <xdr:blipFill>
        <a:blip r:embed="rId9"/>
        <a:stretch/>
      </xdr:blipFill>
      <xdr:spPr>
        <a:xfrm>
          <a:off x="6569280" y="3705120"/>
          <a:ext cx="209160" cy="209160"/>
        </a:xfrm>
        <a:prstGeom prst="rect">
          <a:avLst/>
        </a:prstGeom>
        <a:noFill/>
        <a:ln w="0">
          <a:noFill/>
        </a:ln>
      </xdr:spPr>
    </xdr:pic>
    <xdr:clientData/>
  </xdr:twoCellAnchor>
</xdr:wsDr>
</file>

<file path=xl/tables/table1.xml><?xml version="1.0" encoding="utf-8"?>
<table xmlns="http://schemas.openxmlformats.org/spreadsheetml/2006/main" id="1" name="ControlsAmendmentLog" displayName="ControlsAmendmentLog" ref="A6:J307" headerRowCount="1" totalsRowCount="0" totalsRowShown="0">
  <autoFilter ref="A6:J307"/>
  <tableColumns count="10">
    <tableColumn id="1" name="Amendment ID"/>
    <tableColumn id="2" name="Date"/>
    <tableColumn id="3" name="Summary of Change / Clarification"/>
    <tableColumn id="4" name="Impacted Req IDs"/>
    <tableColumn id="5" name="Action Needed"/>
    <tableColumn id="6" name="Status"/>
    <tableColumn id="7" name="Impacted Sections"/>
    <tableColumn id="8" name="Change Type"/>
    <tableColumn id="9" name="Owner"/>
    <tableColumn id="10" name="Source URL"/>
  </tableColumns>
  <tableStyleInfo name="TableStyleMedium2" showFirstColumn="0" showLastColumn="0" showRowStripes="1" showColumnStripes="0"/>
</table>
</file>

<file path=xl/tables/table2.xml><?xml version="1.0" encoding="utf-8"?>
<table xmlns="http://schemas.openxmlformats.org/spreadsheetml/2006/main" id="2" name="ControlsEvaluationCrosswalk" displayName="ControlsEvaluationCrosswalk" ref="A7:L307" headerRowCount="1" totalsRowCount="0" totalsRowShown="0">
  <autoFilter ref="A7:L307"/>
  <tableColumns count="12">
    <tableColumn id="1" name="Eval ID"/>
    <tableColumn id="2" name="Factor / Subfactor"/>
    <tableColumn id="3" name="Evaluator Focus"/>
    <tableColumn id="4" name="Source Citation"/>
    <tableColumn id="5" name="Related Req IDs"/>
    <tableColumn id="6" name="Proposal Volume"/>
    <tableColumn id="7" name="Proposal Section"/>
    <tableColumn id="8" name="Evidence / Discriminators"/>
    <tableColumn id="9" name="Review Status"/>
    <tableColumn id="10" name="Relative Importance"/>
    <tableColumn id="11" name="Lead Owner"/>
    <tableColumn id="12" name="Source URL"/>
  </tableColumns>
  <tableStyleInfo name="TableStyleMedium2" showFirstColumn="0" showLastColumn="0" showRowStripes="1" showColumnStripes="0"/>
</table>
</file>

<file path=xl/tables/table3.xml><?xml version="1.0" encoding="utf-8"?>
<table xmlns="http://schemas.openxmlformats.org/spreadsheetml/2006/main" id="3" name="ControlsPricingDeliverables" displayName="ControlsPricingDeliverables" ref="A6:L307" headerRowCount="1" totalsRowCount="0" totalsRowShown="0">
  <autoFilter ref="A6:L307"/>
  <tableColumns count="12">
    <tableColumn id="1" name="Item ID"/>
    <tableColumn id="2" name="Description"/>
    <tableColumn id="3" name="Related Requirement IDs"/>
    <tableColumn id="4" name="Price / Proposal Location"/>
    <tableColumn id="5" name="Status"/>
    <tableColumn id="6" name="Notes"/>
    <tableColumn id="7" name="Source Citation"/>
    <tableColumn id="8" name="Item Type"/>
    <tableColumn id="9" name="Owner"/>
    <tableColumn id="10" name="Source URL"/>
    <tableColumn id="11" name="Evidence Reviewed"/>
    <tableColumn id="12" name="Control Flag"/>
  </tableColumns>
  <tableStyleInfo name="TableStyleMedium2" showFirstColumn="0" showLastColumn="0" showRowStripes="1" showColumnStripes="0"/>
</table>
</file>

<file path=xl/tables/table4.xml><?xml version="1.0" encoding="utf-8"?>
<table xmlns="http://schemas.openxmlformats.org/spreadsheetml/2006/main" id="4" name="ControlsQuestionsRisks" displayName="ControlsQuestionsRisks" ref="A6:L307" headerRowCount="1" totalsRowCount="0" totalsRowShown="0">
  <autoFilter ref="A6:L307"/>
  <tableColumns count="12">
    <tableColumn id="1" name="Item ID"/>
    <tableColumn id="2" name="Issue / Decision"/>
    <tableColumn id="3" name="Resolution Path"/>
    <tableColumn id="4" name="Impacted Req IDs"/>
    <tableColumn id="5" name="Due Date"/>
    <tableColumn id="6" name="Status"/>
    <tableColumn id="7" name="Resolution / Notes"/>
    <tableColumn id="8" name="Type"/>
    <tableColumn id="9" name="Priority"/>
    <tableColumn id="10" name="Owner"/>
    <tableColumn id="11" name="Need Customer Q&amp;A?"/>
    <tableColumn id="12" name="Control Flag"/>
  </tableColumns>
  <tableStyleInfo name="TableStyleMedium2" showFirstColumn="0" showLastColumn="0" showRowStripes="1" showColumnStripes="0"/>
</table>
</file>

<file path=xl/tables/table5.xml><?xml version="1.0" encoding="utf-8"?>
<table xmlns="http://schemas.openxmlformats.org/spreadsheetml/2006/main" id="5" name="ControlsRequirementMatrix" displayName="ControlsRequirementMatrix" ref="A7:X307" headerRowCount="1" totalsRowCount="0" totalsRowShown="0">
  <autoFilter ref="A7:X307"/>
  <tableColumns count="24">
    <tableColumn id="1" name="Req ID"/>
    <tableColumn id="2" name="Verbatim Requirement"/>
    <tableColumn id="3" name="Source Citation"/>
    <tableColumn id="4" name="Proposal Action / Interpretation"/>
    <tableColumn id="5" name="Proposal Volume"/>
    <tableColumn id="6" name="Proposal Outline Ref"/>
    <tableColumn id="7" name="Evidence / Artifact Needed"/>
    <tableColumn id="8" name="Compliance Posture"/>
    <tableColumn id="9" name="Draft Status"/>
    <tableColumn id="10" name="Evidence Reviewed"/>
    <tableColumn id="11" name="Final Proposal Location"/>
    <tableColumn id="12" name="Final Page / File"/>
    <tableColumn id="13" name="Control Flag"/>
    <tableColumn id="14" name="Source Area"/>
    <tableColumn id="15" name="Requirement Category"/>
    <tableColumn id="16" name="Requirement Level"/>
    <tableColumn id="17" name="Owner"/>
    <tableColumn id="18" name="Support Owner(s)"/>
    <tableColumn id="19" name="Evaluator Focus / Discriminator"/>
    <tableColumn id="20" name="Amendment / Q&amp;A Impact"/>
    <tableColumn id="21" name="Notes / Assumptions"/>
    <tableColumn id="22" name="Source URL"/>
    <tableColumn id="23" name="Source ID"/>
    <tableColumn id="24" name="Classification"/>
  </tableColumns>
  <tableStyleInfo name="TableStyleMedium2" showFirstColumn="0" showLastColumn="0" showRowStripes="1" showColumnStripes="0"/>
</table>
</file>

<file path=xl/tables/table6.xml><?xml version="1.0" encoding="utf-8"?>
<table xmlns="http://schemas.openxmlformats.org/spreadsheetml/2006/main" id="6" name="ControlsSources" displayName="ControlsSources" ref="A5:J13" headerRowCount="1" totalsRowCount="0" totalsRowShown="0">
  <autoFilter ref="A5:J13"/>
  <tableColumns count="10">
    <tableColumn id="1" name="Source Type"/>
    <tableColumn id="2" name="Short Name"/>
    <tableColumn id="3" name="What it supports"/>
    <tableColumn id="4" name="Key Takeaway / Notes"/>
    <tableColumn id="5" name="Source URL"/>
    <tableColumn id="6" name="Source ID"/>
    <tableColumn id="7" name="Classification"/>
    <tableColumn id="8" name="SHA-256"/>
    <tableColumn id="9" name="Source date"/>
    <tableColumn id="10" name="Retrieved date"/>
  </tableColumns>
  <tableStyleInfo name="TableStyleMedium2" showFirstColumn="0" showLastColumn="0" showRowStripes="1" showColumnStripes="0"/>
</table>
</file>

<file path=xl/tables/table7.xml><?xml version="1.0" encoding="utf-8"?>
<table xmlns="http://schemas.openxmlformats.org/spreadsheetml/2006/main" id="7" name="ControlsSubmissionChecklist" displayName="ControlsSubmissionChecklist" ref="A6:K307" headerRowCount="1" totalsRowCount="0" totalsRowShown="0">
  <autoFilter ref="A6:K307"/>
  <tableColumns count="11">
    <tableColumn id="1" name="Check ID"/>
    <tableColumn id="2" name="Control Item"/>
    <tableColumn id="3" name="Due / Verify By"/>
    <tableColumn id="4" name="Status"/>
    <tableColumn id="5" name="Evidence / Location"/>
    <tableColumn id="6" name="Source Citation"/>
    <tableColumn id="7" name="Control Flag"/>
    <tableColumn id="8" name="Category"/>
    <tableColumn id="9" name="Why it matters"/>
    <tableColumn id="10" name="Owner"/>
    <tableColumn id="11" name="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sheetPr filterMode="false">
    <tabColor rgb="FF1B283F"/>
    <pageSetUpPr fitToPage="true"/>
  </sheetPr>
  <dimension ref="A1:F31"/>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5" min="2" style="0" width="12.78"/>
    <col collapsed="false" customWidth="true" hidden="false" outlineLevel="0" max="6" min="6" style="0" width="16.67"/>
    <col collapsed="false" customWidth="true" hidden="false" outlineLevel="0" max="7" min="7" style="0" width="18"/>
  </cols>
  <sheetData>
    <row r="1" customFormat="false" ht="25" hidden="false" customHeight="true" outlineLevel="0" collapsed="false">
      <c r="A1" s="1" t="s">
        <v>0</v>
      </c>
      <c r="B1" s="1" t="s">
        <v>0</v>
      </c>
      <c r="C1" s="1" t="s">
        <v>0</v>
      </c>
      <c r="D1" s="1" t="s">
        <v>0</v>
      </c>
      <c r="E1" s="2" t="s">
        <v>1</v>
      </c>
      <c r="F1" s="2" t="s">
        <v>1</v>
      </c>
    </row>
    <row r="2" customFormat="false" ht="25" hidden="false" customHeight="true" outlineLevel="0" collapsed="false">
      <c r="A2" s="1" t="s">
        <v>0</v>
      </c>
      <c r="B2" s="1" t="s">
        <v>0</v>
      </c>
      <c r="C2" s="1" t="s">
        <v>0</v>
      </c>
      <c r="D2" s="1" t="s">
        <v>0</v>
      </c>
      <c r="E2" s="2" t="s">
        <v>1</v>
      </c>
      <c r="F2" s="2" t="s">
        <v>1</v>
      </c>
    </row>
    <row r="3" customFormat="false" ht="25" hidden="false" customHeight="true" outlineLevel="0" collapsed="false">
      <c r="A3" s="3"/>
      <c r="B3" s="3"/>
      <c r="C3" s="3"/>
      <c r="D3" s="3"/>
      <c r="E3" s="2" t="s">
        <v>1</v>
      </c>
      <c r="F3" s="2" t="s">
        <v>1</v>
      </c>
    </row>
    <row r="4" customFormat="false" ht="25" hidden="false" customHeight="true" outlineLevel="0" collapsed="false">
      <c r="A4" s="4" t="s">
        <v>2</v>
      </c>
      <c r="B4" s="4" t="s">
        <v>2</v>
      </c>
      <c r="C4" s="4" t="s">
        <v>2</v>
      </c>
      <c r="D4" s="4" t="s">
        <v>2</v>
      </c>
      <c r="E4" s="4" t="s">
        <v>2</v>
      </c>
      <c r="F4" s="4" t="s">
        <v>2</v>
      </c>
    </row>
    <row r="5" customFormat="false" ht="25" hidden="false" customHeight="true" outlineLevel="0" collapsed="false">
      <c r="A5" s="5" t="s">
        <v>3</v>
      </c>
      <c r="B5" s="5" t="s">
        <v>3</v>
      </c>
      <c r="C5" s="5" t="s">
        <v>3</v>
      </c>
      <c r="D5" s="5" t="s">
        <v>3</v>
      </c>
      <c r="E5" s="5" t="s">
        <v>3</v>
      </c>
      <c r="F5" s="5" t="s">
        <v>3</v>
      </c>
    </row>
    <row r="6" customFormat="false" ht="25" hidden="false" customHeight="true" outlineLevel="0" collapsed="false">
      <c r="A6" s="5" t="s">
        <v>3</v>
      </c>
      <c r="B6" s="5" t="s">
        <v>3</v>
      </c>
      <c r="C6" s="5" t="s">
        <v>3</v>
      </c>
      <c r="D6" s="5" t="s">
        <v>3</v>
      </c>
      <c r="E6" s="5" t="s">
        <v>3</v>
      </c>
      <c r="F6" s="5" t="s">
        <v>3</v>
      </c>
    </row>
    <row r="7" customFormat="false" ht="25" hidden="false" customHeight="true" outlineLevel="0" collapsed="false">
      <c r="A7" s="3"/>
      <c r="B7" s="3"/>
      <c r="C7" s="3"/>
      <c r="D7" s="3"/>
      <c r="E7" s="3"/>
      <c r="F7" s="3"/>
    </row>
    <row r="8" customFormat="false" ht="25" hidden="false" customHeight="true" outlineLevel="0" collapsed="false">
      <c r="A8" s="6" t="s">
        <v>4</v>
      </c>
      <c r="B8" s="6" t="s">
        <v>4</v>
      </c>
      <c r="C8" s="6" t="s">
        <v>4</v>
      </c>
      <c r="D8" s="6" t="s">
        <v>4</v>
      </c>
      <c r="E8" s="6" t="s">
        <v>4</v>
      </c>
      <c r="F8" s="6" t="s">
        <v>4</v>
      </c>
    </row>
    <row r="9" customFormat="false" ht="25" hidden="false" customHeight="true" outlineLevel="0" collapsed="false">
      <c r="A9" s="3"/>
      <c r="B9" s="3"/>
      <c r="C9" s="3"/>
      <c r="D9" s="3"/>
      <c r="E9" s="3"/>
      <c r="F9" s="3"/>
    </row>
    <row r="10" customFormat="false" ht="25" hidden="false" customHeight="true" outlineLevel="0" collapsed="false">
      <c r="A10" s="7" t="s">
        <v>5</v>
      </c>
      <c r="B10" s="3" t="s">
        <v>6</v>
      </c>
      <c r="C10" s="3" t="s">
        <v>6</v>
      </c>
      <c r="D10" s="3" t="s">
        <v>6</v>
      </c>
      <c r="E10" s="3" t="s">
        <v>6</v>
      </c>
      <c r="F10" s="3" t="s">
        <v>6</v>
      </c>
    </row>
    <row r="11" customFormat="false" ht="25" hidden="false" customHeight="true" outlineLevel="0" collapsed="false">
      <c r="A11" s="7" t="s">
        <v>5</v>
      </c>
      <c r="B11" s="3" t="s">
        <v>6</v>
      </c>
      <c r="C11" s="3" t="s">
        <v>6</v>
      </c>
      <c r="D11" s="3" t="s">
        <v>6</v>
      </c>
      <c r="E11" s="3" t="s">
        <v>6</v>
      </c>
      <c r="F11" s="3" t="s">
        <v>6</v>
      </c>
    </row>
    <row r="12" customFormat="false" ht="25" hidden="false" customHeight="true" outlineLevel="0" collapsed="false">
      <c r="A12" s="7" t="s">
        <v>7</v>
      </c>
      <c r="B12" s="3" t="s">
        <v>8</v>
      </c>
      <c r="C12" s="3" t="s">
        <v>8</v>
      </c>
      <c r="D12" s="3" t="s">
        <v>8</v>
      </c>
      <c r="E12" s="3" t="s">
        <v>8</v>
      </c>
      <c r="F12" s="3" t="s">
        <v>8</v>
      </c>
    </row>
    <row r="13" customFormat="false" ht="25" hidden="false" customHeight="true" outlineLevel="0" collapsed="false">
      <c r="A13" s="7" t="s">
        <v>7</v>
      </c>
      <c r="B13" s="3" t="s">
        <v>8</v>
      </c>
      <c r="C13" s="3" t="s">
        <v>8</v>
      </c>
      <c r="D13" s="3" t="s">
        <v>8</v>
      </c>
      <c r="E13" s="3" t="s">
        <v>8</v>
      </c>
      <c r="F13" s="3" t="s">
        <v>8</v>
      </c>
    </row>
    <row r="14" customFormat="false" ht="25" hidden="false" customHeight="true" outlineLevel="0" collapsed="false">
      <c r="A14" s="7" t="s">
        <v>9</v>
      </c>
      <c r="B14" s="3" t="s">
        <v>10</v>
      </c>
      <c r="C14" s="3" t="s">
        <v>10</v>
      </c>
      <c r="D14" s="3" t="s">
        <v>10</v>
      </c>
      <c r="E14" s="3" t="s">
        <v>10</v>
      </c>
      <c r="F14" s="3" t="s">
        <v>10</v>
      </c>
    </row>
    <row r="15" customFormat="false" ht="25" hidden="false" customHeight="true" outlineLevel="0" collapsed="false">
      <c r="A15" s="7" t="s">
        <v>9</v>
      </c>
      <c r="B15" s="3" t="s">
        <v>10</v>
      </c>
      <c r="C15" s="3" t="s">
        <v>10</v>
      </c>
      <c r="D15" s="3" t="s">
        <v>10</v>
      </c>
      <c r="E15" s="3" t="s">
        <v>10</v>
      </c>
      <c r="F15" s="3" t="s">
        <v>10</v>
      </c>
    </row>
    <row r="16" customFormat="false" ht="25" hidden="false" customHeight="true" outlineLevel="0" collapsed="false">
      <c r="A16" s="7" t="s">
        <v>11</v>
      </c>
      <c r="B16" s="3" t="s">
        <v>12</v>
      </c>
      <c r="C16" s="3" t="s">
        <v>12</v>
      </c>
      <c r="D16" s="3" t="s">
        <v>12</v>
      </c>
      <c r="E16" s="3" t="s">
        <v>12</v>
      </c>
      <c r="F16" s="3" t="s">
        <v>12</v>
      </c>
    </row>
    <row r="17" customFormat="false" ht="25" hidden="false" customHeight="true" outlineLevel="0" collapsed="false">
      <c r="A17" s="7" t="s">
        <v>11</v>
      </c>
      <c r="B17" s="3" t="s">
        <v>12</v>
      </c>
      <c r="C17" s="3" t="s">
        <v>12</v>
      </c>
      <c r="D17" s="3" t="s">
        <v>12</v>
      </c>
      <c r="E17" s="3" t="s">
        <v>12</v>
      </c>
      <c r="F17" s="3" t="s">
        <v>12</v>
      </c>
    </row>
    <row r="18" customFormat="false" ht="25" hidden="false" customHeight="true" outlineLevel="0" collapsed="false">
      <c r="A18" s="7" t="s">
        <v>13</v>
      </c>
      <c r="B18" s="3" t="s">
        <v>14</v>
      </c>
      <c r="C18" s="3" t="s">
        <v>14</v>
      </c>
      <c r="D18" s="3" t="s">
        <v>14</v>
      </c>
      <c r="E18" s="3" t="s">
        <v>14</v>
      </c>
      <c r="F18" s="3" t="s">
        <v>14</v>
      </c>
    </row>
    <row r="19" customFormat="false" ht="25" hidden="false" customHeight="true" outlineLevel="0" collapsed="false">
      <c r="A19" s="7" t="s">
        <v>13</v>
      </c>
      <c r="B19" s="3" t="s">
        <v>14</v>
      </c>
      <c r="C19" s="3" t="s">
        <v>14</v>
      </c>
      <c r="D19" s="3" t="s">
        <v>14</v>
      </c>
      <c r="E19" s="3" t="s">
        <v>14</v>
      </c>
      <c r="F19" s="3" t="s">
        <v>14</v>
      </c>
    </row>
    <row r="20" customFormat="false" ht="25" hidden="false" customHeight="true" outlineLevel="0" collapsed="false">
      <c r="A20" s="3"/>
      <c r="B20" s="3"/>
      <c r="C20" s="3"/>
      <c r="D20" s="3"/>
      <c r="E20" s="3"/>
      <c r="F20" s="3"/>
    </row>
    <row r="21" customFormat="false" ht="25" hidden="false" customHeight="true" outlineLevel="0" collapsed="false">
      <c r="A21" s="8" t="s">
        <v>15</v>
      </c>
      <c r="B21" s="8" t="s">
        <v>15</v>
      </c>
      <c r="C21" s="9" t="s">
        <v>16</v>
      </c>
      <c r="D21" s="9" t="s">
        <v>16</v>
      </c>
      <c r="E21" s="10" t="s">
        <v>17</v>
      </c>
      <c r="F21" s="10" t="s">
        <v>17</v>
      </c>
    </row>
    <row r="22" customFormat="false" ht="25" hidden="false" customHeight="true" outlineLevel="0" collapsed="false">
      <c r="A22" s="3"/>
      <c r="B22" s="3"/>
      <c r="C22" s="3"/>
      <c r="D22" s="3"/>
      <c r="E22" s="3"/>
      <c r="F22" s="3"/>
    </row>
    <row r="23" customFormat="false" ht="25" hidden="false" customHeight="true" outlineLevel="0" collapsed="false">
      <c r="A23" s="11" t="s">
        <v>18</v>
      </c>
      <c r="B23" s="11" t="s">
        <v>18</v>
      </c>
      <c r="C23" s="11" t="s">
        <v>18</v>
      </c>
      <c r="D23" s="11" t="s">
        <v>18</v>
      </c>
      <c r="E23" s="11" t="s">
        <v>18</v>
      </c>
      <c r="F23" s="11" t="s">
        <v>18</v>
      </c>
    </row>
    <row r="24" customFormat="false" ht="25" hidden="false" customHeight="true" outlineLevel="0" collapsed="false">
      <c r="A24" s="11" t="s">
        <v>18</v>
      </c>
      <c r="B24" s="11" t="s">
        <v>18</v>
      </c>
      <c r="C24" s="11" t="s">
        <v>18</v>
      </c>
      <c r="D24" s="11" t="s">
        <v>18</v>
      </c>
      <c r="E24" s="11" t="s">
        <v>18</v>
      </c>
      <c r="F24" s="11" t="s">
        <v>18</v>
      </c>
    </row>
    <row r="25" customFormat="false" ht="25" hidden="false" customHeight="true" outlineLevel="0" collapsed="false">
      <c r="A25" s="3"/>
      <c r="B25" s="3"/>
      <c r="C25" s="3"/>
      <c r="D25" s="3"/>
      <c r="E25" s="3"/>
      <c r="F25" s="3"/>
    </row>
    <row r="26" customFormat="false" ht="25" hidden="false" customHeight="true" outlineLevel="0" collapsed="false">
      <c r="A26" s="11" t="s">
        <v>19</v>
      </c>
      <c r="B26" s="11" t="s">
        <v>19</v>
      </c>
      <c r="C26" s="11" t="s">
        <v>19</v>
      </c>
      <c r="D26" s="11" t="s">
        <v>19</v>
      </c>
      <c r="E26" s="11" t="s">
        <v>19</v>
      </c>
      <c r="F26" s="11" t="s">
        <v>19</v>
      </c>
    </row>
    <row r="27" customFormat="false" ht="25" hidden="false" customHeight="true" outlineLevel="0" collapsed="false">
      <c r="A27" s="11" t="s">
        <v>19</v>
      </c>
      <c r="B27" s="11" t="s">
        <v>19</v>
      </c>
      <c r="C27" s="11" t="s">
        <v>19</v>
      </c>
      <c r="D27" s="11" t="s">
        <v>19</v>
      </c>
      <c r="E27" s="11" t="s">
        <v>19</v>
      </c>
      <c r="F27" s="11" t="s">
        <v>19</v>
      </c>
    </row>
    <row r="28" customFormat="false" ht="25" hidden="false" customHeight="true" outlineLevel="0" collapsed="false">
      <c r="A28" s="3"/>
      <c r="B28" s="3"/>
      <c r="C28" s="3"/>
      <c r="D28" s="3"/>
      <c r="E28" s="3"/>
      <c r="F28" s="3"/>
    </row>
    <row r="29" customFormat="false" ht="25" hidden="false" customHeight="true" outlineLevel="0" collapsed="false">
      <c r="A29" s="3"/>
      <c r="B29" s="3"/>
      <c r="C29" s="3"/>
      <c r="D29" s="3"/>
      <c r="E29" s="3"/>
      <c r="F29" s="3"/>
    </row>
    <row r="30" customFormat="false" ht="24" hidden="false" customHeight="true" outlineLevel="0" collapsed="false"/>
    <row r="31" customFormat="false" ht="24" hidden="false" customHeight="true" outlineLevel="0" collapsed="false"/>
  </sheetData>
  <mergeCells count="20">
    <mergeCell ref="A1:D2"/>
    <mergeCell ref="E1:F3"/>
    <mergeCell ref="A4:F4"/>
    <mergeCell ref="A5:F6"/>
    <mergeCell ref="A8:F8"/>
    <mergeCell ref="A10:A11"/>
    <mergeCell ref="B10:F11"/>
    <mergeCell ref="A12:A13"/>
    <mergeCell ref="B12:F13"/>
    <mergeCell ref="A14:A15"/>
    <mergeCell ref="B14:F15"/>
    <mergeCell ref="A16:A17"/>
    <mergeCell ref="B16:F17"/>
    <mergeCell ref="A18:A19"/>
    <mergeCell ref="B18:F19"/>
    <mergeCell ref="A21:B21"/>
    <mergeCell ref="C21:D21"/>
    <mergeCell ref="E21:F21"/>
    <mergeCell ref="A23:F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&amp;L&amp;"Calibri"&amp;11&amp;K000000Start Here&amp;R&amp;"Calibri"&amp;11&amp;K000000Page &amp;P of &amp;N</oddFooter>
  </headerFooter>
</worksheet>
</file>

<file path=xl/worksheets/sheet2.xml><?xml version="1.0" encoding="utf-8"?>
<worksheet xmlns="http://schemas.openxmlformats.org/spreadsheetml/2006/main" xmlns:r="http://schemas.openxmlformats.org/officeDocument/2006/relationships">
  <sheetPr filterMode="false">
    <tabColor rgb="FF236D79"/>
    <pageSetUpPr fitToPage="true"/>
  </sheetPr>
  <dimension ref="A1:H36"/>
  <sheetViews>
    <sheetView showFormulas="false" showGridLines="false" showRowColHeaders="true" showZeros="true" rightToLeft="false" tabSelected="0"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1"/>
  <cols>
    <col collapsed="false" customWidth="true" hidden="false" outlineLevel="0" max="1" min="1" style="0" width="18.89"/>
    <col collapsed="false" customWidth="true" hidden="false" outlineLevel="0" max="2" min="2" style="0" width="12.78"/>
    <col collapsed="false" customWidth="true" hidden="false" outlineLevel="0" max="3" min="3" style="0" width="11.67"/>
    <col collapsed="false" customWidth="true" hidden="false" outlineLevel="0" max="4" min="4" style="0" width="8.89"/>
    <col collapsed="false" customWidth="true" hidden="false" outlineLevel="0" max="5" min="5" style="0" width="11.67"/>
    <col collapsed="false" customWidth="true" hidden="false" outlineLevel="0" max="6" min="6" style="0" width="18.89"/>
    <col collapsed="false" customWidth="true" hidden="true" outlineLevel="1" max="7" min="7" style="0" width="18"/>
    <col collapsed="false" customWidth="true" hidden="true" outlineLevel="1" max="8" min="8" style="0" width="14"/>
    <col collapsed="false" customWidth="true" hidden="false" outlineLevel="0" max="9" min="9" style="0" width="26"/>
  </cols>
  <sheetData>
    <row r="1" customFormat="false" ht="30" hidden="false" customHeight="true" outlineLevel="0" collapsed="false">
      <c r="A1" s="1" t="s">
        <v>20</v>
      </c>
      <c r="B1" s="1" t="s">
        <v>20</v>
      </c>
      <c r="C1" s="1" t="s">
        <v>20</v>
      </c>
      <c r="D1" s="1" t="s">
        <v>20</v>
      </c>
      <c r="E1" s="1" t="s">
        <v>20</v>
      </c>
      <c r="F1" s="1" t="s">
        <v>20</v>
      </c>
    </row>
    <row r="2" customFormat="false" ht="30" hidden="false" customHeight="true" outlineLevel="0" collapsed="false">
      <c r="A2" s="1" t="s">
        <v>20</v>
      </c>
      <c r="B2" s="1" t="s">
        <v>20</v>
      </c>
      <c r="C2" s="1" t="s">
        <v>20</v>
      </c>
      <c r="D2" s="1" t="s">
        <v>20</v>
      </c>
      <c r="E2" s="1" t="s">
        <v>20</v>
      </c>
      <c r="F2" s="1" t="s">
        <v>20</v>
      </c>
    </row>
    <row r="3" customFormat="false" ht="30" hidden="false" customHeight="true" outlineLevel="0" collapsed="false">
      <c r="A3" s="3"/>
      <c r="B3" s="3"/>
      <c r="C3" s="3"/>
      <c r="D3" s="3"/>
      <c r="E3" s="3"/>
      <c r="F3" s="3"/>
    </row>
    <row r="4" customFormat="false" ht="30" hidden="false" customHeight="true" outlineLevel="0" collapsed="false">
      <c r="A4" s="3" t="s">
        <v>21</v>
      </c>
      <c r="B4" s="12"/>
      <c r="C4" s="12"/>
      <c r="D4" s="12"/>
      <c r="E4" s="12"/>
      <c r="F4" s="12"/>
      <c r="H4" s="0" t="s">
        <v>22</v>
      </c>
    </row>
    <row r="5" customFormat="false" ht="30" hidden="false" customHeight="true" outlineLevel="0" collapsed="false">
      <c r="A5" s="3" t="s">
        <v>23</v>
      </c>
      <c r="B5" s="12"/>
      <c r="C5" s="12"/>
      <c r="D5" s="12"/>
      <c r="E5" s="12"/>
      <c r="F5" s="12"/>
      <c r="H5" s="0" t="str">
        <f aca="false">IF(OR(B9="",B10="",B17=""),"",TEXT(B9,"yyyy-mm-dd")&amp;"T"&amp;TEXT(B10,"hh:mm:ss")&amp;B17)</f>
        <v/>
      </c>
    </row>
    <row r="6" customFormat="false" ht="30" hidden="false" customHeight="true" outlineLevel="0" collapsed="false">
      <c r="A6" s="3" t="s">
        <v>24</v>
      </c>
      <c r="B6" s="12"/>
      <c r="C6" s="12"/>
      <c r="D6" s="12"/>
      <c r="E6" s="12"/>
      <c r="F6" s="12"/>
    </row>
    <row r="7" customFormat="false" ht="30" hidden="false" customHeight="true" outlineLevel="0" collapsed="false">
      <c r="A7" s="3" t="s">
        <v>25</v>
      </c>
      <c r="B7" s="12"/>
      <c r="C7" s="12"/>
      <c r="D7" s="12"/>
      <c r="E7" s="12"/>
      <c r="F7" s="12"/>
    </row>
    <row r="8" customFormat="false" ht="30" hidden="false" customHeight="true" outlineLevel="0" collapsed="false">
      <c r="A8" s="3" t="s">
        <v>26</v>
      </c>
      <c r="B8" s="13"/>
      <c r="C8" s="13"/>
      <c r="D8" s="13"/>
      <c r="E8" s="13"/>
      <c r="F8" s="13"/>
    </row>
    <row r="9" customFormat="false" ht="30" hidden="false" customHeight="true" outlineLevel="0" collapsed="false">
      <c r="A9" s="3" t="s">
        <v>27</v>
      </c>
      <c r="B9" s="13"/>
      <c r="C9" s="13"/>
      <c r="D9" s="13"/>
      <c r="E9" s="13"/>
      <c r="F9" s="13"/>
    </row>
    <row r="10" customFormat="false" ht="30" hidden="false" customHeight="true" outlineLevel="0" collapsed="false">
      <c r="A10" s="3" t="s">
        <v>28</v>
      </c>
      <c r="B10" s="14"/>
      <c r="C10" s="14"/>
      <c r="D10" s="14"/>
      <c r="E10" s="14"/>
      <c r="F10" s="14"/>
    </row>
    <row r="11" customFormat="false" ht="30" hidden="false" customHeight="true" outlineLevel="0" collapsed="false">
      <c r="A11" s="3" t="s">
        <v>29</v>
      </c>
      <c r="B11" s="12"/>
      <c r="C11" s="12"/>
      <c r="D11" s="12"/>
      <c r="E11" s="12"/>
      <c r="F11" s="12"/>
    </row>
    <row r="12" customFormat="false" ht="30" hidden="false" customHeight="true" outlineLevel="0" collapsed="false">
      <c r="A12" s="3" t="s">
        <v>30</v>
      </c>
      <c r="B12" s="12"/>
      <c r="C12" s="12"/>
      <c r="D12" s="12"/>
      <c r="E12" s="12"/>
      <c r="F12" s="12"/>
    </row>
    <row r="13" customFormat="false" ht="30" hidden="false" customHeight="true" outlineLevel="0" collapsed="false">
      <c r="A13" s="3" t="s">
        <v>31</v>
      </c>
      <c r="B13" s="12"/>
      <c r="C13" s="12"/>
      <c r="D13" s="12"/>
      <c r="E13" s="12"/>
      <c r="F13" s="12"/>
    </row>
    <row r="14" customFormat="false" ht="30" hidden="false" customHeight="true" outlineLevel="0" collapsed="false">
      <c r="A14" s="3" t="s">
        <v>32</v>
      </c>
      <c r="B14" s="12"/>
      <c r="C14" s="12"/>
      <c r="D14" s="12"/>
      <c r="E14" s="12"/>
      <c r="F14" s="12"/>
    </row>
    <row r="15" customFormat="false" ht="30" hidden="false" customHeight="true" outlineLevel="0" collapsed="false">
      <c r="A15" s="3" t="s">
        <v>33</v>
      </c>
      <c r="B15" s="12"/>
      <c r="C15" s="12"/>
      <c r="D15" s="12"/>
      <c r="E15" s="12"/>
      <c r="F15" s="12"/>
    </row>
    <row r="16" customFormat="false" ht="30" hidden="false" customHeight="true" outlineLevel="0" collapsed="false">
      <c r="A16" s="3" t="s">
        <v>34</v>
      </c>
      <c r="B16" s="13"/>
      <c r="C16" s="13"/>
      <c r="D16" s="13"/>
      <c r="E16" s="13"/>
      <c r="F16" s="13"/>
    </row>
    <row r="17" customFormat="false" ht="30" hidden="false" customHeight="true" outlineLevel="0" collapsed="false">
      <c r="A17" s="3" t="s">
        <v>35</v>
      </c>
      <c r="B17" s="12"/>
      <c r="C17" s="12"/>
      <c r="D17" s="12"/>
      <c r="E17" s="12"/>
      <c r="F17" s="12"/>
    </row>
    <row r="18" customFormat="false" ht="30" hidden="false" customHeight="true" outlineLevel="0" collapsed="false">
      <c r="A18" s="15" t="s">
        <v>36</v>
      </c>
      <c r="B18" s="15" t="s">
        <v>36</v>
      </c>
      <c r="C18" s="15" t="s">
        <v>36</v>
      </c>
      <c r="D18" s="15" t="s">
        <v>36</v>
      </c>
      <c r="E18" s="15" t="s">
        <v>36</v>
      </c>
      <c r="F18" s="15" t="s">
        <v>36</v>
      </c>
    </row>
    <row r="19" customFormat="false" ht="30" hidden="false" customHeight="true" outlineLevel="0" collapsed="false">
      <c r="A19" s="3" t="s">
        <v>37</v>
      </c>
      <c r="B19" s="3" t="s">
        <v>38</v>
      </c>
      <c r="C19" s="3"/>
      <c r="D19" s="3"/>
      <c r="E19" s="3"/>
      <c r="F19" s="3"/>
    </row>
    <row r="20" customFormat="false" ht="30" hidden="false" customHeight="true" outlineLevel="0" collapsed="false">
      <c r="A20" s="3"/>
      <c r="B20" s="12"/>
      <c r="C20" s="12"/>
      <c r="D20" s="12"/>
      <c r="E20" s="12"/>
      <c r="F20" s="12"/>
    </row>
    <row r="21" customFormat="false" ht="30" hidden="false" customHeight="true" outlineLevel="0" collapsed="false">
      <c r="A21" s="3"/>
      <c r="B21" s="12"/>
      <c r="C21" s="12"/>
      <c r="D21" s="12"/>
      <c r="E21" s="12"/>
      <c r="F21" s="12"/>
    </row>
    <row r="22" customFormat="false" ht="30" hidden="false" customHeight="true" outlineLevel="0" collapsed="false">
      <c r="A22" s="3"/>
      <c r="B22" s="3"/>
      <c r="C22" s="3"/>
      <c r="D22" s="3"/>
      <c r="E22" s="3"/>
      <c r="F22" s="3"/>
    </row>
    <row r="23" customFormat="false" ht="30" hidden="false" customHeight="true" outlineLevel="0" collapsed="false">
      <c r="A23" s="15" t="s">
        <v>39</v>
      </c>
      <c r="B23" s="15" t="s">
        <v>39</v>
      </c>
      <c r="C23" s="15" t="s">
        <v>39</v>
      </c>
      <c r="D23" s="15" t="s">
        <v>39</v>
      </c>
      <c r="E23" s="15" t="s">
        <v>39</v>
      </c>
      <c r="F23" s="15" t="s">
        <v>39</v>
      </c>
    </row>
    <row r="24" customFormat="false" ht="30" hidden="false" customHeight="true" outlineLevel="0" collapsed="false">
      <c r="A24" s="3" t="s">
        <v>40</v>
      </c>
      <c r="B24" s="16"/>
      <c r="C24" s="16"/>
      <c r="D24" s="16"/>
      <c r="E24" s="3" t="s">
        <v>41</v>
      </c>
      <c r="F24" s="16"/>
    </row>
    <row r="25" customFormat="false" ht="30" hidden="false" customHeight="true" outlineLevel="0" collapsed="false">
      <c r="A25" s="3"/>
      <c r="B25" s="3"/>
      <c r="C25" s="3"/>
      <c r="D25" s="3"/>
      <c r="E25" s="3"/>
      <c r="F25" s="3"/>
    </row>
    <row r="26" customFormat="false" ht="30" hidden="false" customHeight="true" outlineLevel="0" collapsed="false">
      <c r="A26" s="11" t="s">
        <v>42</v>
      </c>
      <c r="B26" s="11" t="s">
        <v>42</v>
      </c>
      <c r="C26" s="11" t="s">
        <v>42</v>
      </c>
      <c r="D26" s="11" t="s">
        <v>42</v>
      </c>
      <c r="E26" s="11" t="s">
        <v>42</v>
      </c>
      <c r="F26" s="11" t="s">
        <v>42</v>
      </c>
    </row>
    <row r="27" customFormat="false" ht="30" hidden="false" customHeight="true" outlineLevel="0" collapsed="false">
      <c r="A27" s="11" t="s">
        <v>42</v>
      </c>
      <c r="B27" s="11" t="s">
        <v>42</v>
      </c>
      <c r="C27" s="11" t="s">
        <v>42</v>
      </c>
      <c r="D27" s="11" t="s">
        <v>42</v>
      </c>
      <c r="E27" s="11" t="s">
        <v>42</v>
      </c>
      <c r="F27" s="11" t="s">
        <v>42</v>
      </c>
    </row>
    <row r="28" customFormat="false" ht="30" hidden="false" customHeight="true" outlineLevel="0" collapsed="false">
      <c r="A28" s="3"/>
      <c r="B28" s="3"/>
      <c r="C28" s="3"/>
      <c r="D28" s="3"/>
      <c r="E28" s="3"/>
      <c r="F28" s="3"/>
    </row>
    <row r="29" customFormat="false" ht="30" hidden="false" customHeight="true" outlineLevel="0" collapsed="false">
      <c r="A29" s="3"/>
      <c r="B29" s="3"/>
      <c r="C29" s="3"/>
      <c r="D29" s="3"/>
      <c r="E29" s="3"/>
      <c r="F29" s="3"/>
    </row>
    <row r="30" customFormat="false" ht="30" hidden="false" customHeight="true" outlineLevel="0" collapsed="false">
      <c r="A30" s="3"/>
      <c r="B30" s="3"/>
      <c r="C30" s="3"/>
      <c r="D30" s="3"/>
      <c r="E30" s="3"/>
      <c r="F30" s="3"/>
    </row>
    <row r="31" customFormat="false" ht="24" hidden="false" customHeight="true" outlineLevel="0" collapsed="false"/>
    <row r="32" customFormat="false" ht="24" hidden="false" customHeight="true" outlineLevel="0" collapsed="false"/>
    <row r="33" customFormat="false" ht="24" hidden="false" customHeight="true" outlineLevel="0" collapsed="false"/>
    <row r="34" customFormat="false" ht="24" hidden="false" customHeight="true" outlineLevel="0" collapsed="false"/>
    <row r="35" customFormat="false" ht="24" hidden="false" customHeight="true" outlineLevel="0" collapsed="false"/>
    <row r="36" customFormat="false" ht="24" hidden="false" customHeight="true" outlineLevel="0" collapsed="false"/>
  </sheetData>
  <mergeCells count="22">
    <mergeCell ref="A1:F2"/>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A18:F18"/>
    <mergeCell ref="B19:F19"/>
    <mergeCell ref="B20:F20"/>
    <mergeCell ref="B21:F21"/>
    <mergeCell ref="A23:F23"/>
    <mergeCell ref="B24:D24"/>
    <mergeCell ref="A26:F27"/>
  </mergeCells>
  <printOptions headings="false" gridLines="false" gridLinesSet="true" horizontalCentered="true" verticalCentered="false"/>
  <pageMargins left="0.35" right="0.35" top="0.35" bottom="0.4" header="0.511811023622047" footer="0.15"/>
  <pageSetup paperSize="1" scale="100" fitToWidth="1" fitToHeight="1" pageOrder="downThenOver" orientation="portrait" blackAndWhite="false" draft="false" cellComments="none" horizontalDpi="300" verticalDpi="300" copies="1"/>
  <headerFooter differentFirst="false" differentOddEven="false">
    <oddHeader/>
    <oddFooter>&amp;L&amp;"Calibri"&amp;11&amp;K000000Opportunity Setup&amp;R&amp;"Calibri"&amp;11&amp;K000000Page &amp;P of &amp;N</oddFooter>
  </headerFooter>
  <legacyDrawing r:id="rId2"/>
</worksheet>
</file>

<file path=xl/worksheets/sheet3.xml><?xml version="1.0" encoding="utf-8"?>
<worksheet xmlns="http://schemas.openxmlformats.org/spreadsheetml/2006/main" xmlns:r="http://schemas.openxmlformats.org/officeDocument/2006/relationships">
  <sheetPr filterMode="false">
    <tabColor rgb="FF1B283F"/>
    <pageSetUpPr fitToPage="true"/>
  </sheetPr>
  <dimension ref="A1:L43"/>
  <sheetViews>
    <sheetView showFormulas="false" showGridLines="false" showRowColHeaders="true" showZeros="true" rightToLeft="false" tabSelected="1"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10.44"/>
    <col collapsed="false" customWidth="true" hidden="false" outlineLevel="0" max="4" min="4" style="0" width="2.67"/>
    <col collapsed="false" customWidth="true" hidden="false" outlineLevel="0" max="6" min="5" style="0" width="8.34"/>
    <col collapsed="false" customWidth="true" hidden="false" outlineLevel="0" max="7" min="7" style="0" width="14.67"/>
    <col collapsed="false" customWidth="true" hidden="false" outlineLevel="0" max="8" min="8" style="0" width="2.67"/>
    <col collapsed="false" customWidth="true" hidden="false" outlineLevel="0" max="11" min="9" style="0" width="10.44"/>
    <col collapsed="false" customWidth="true" hidden="false" outlineLevel="0" max="12" min="12" style="0" width="4.67"/>
  </cols>
  <sheetData>
    <row r="1" customFormat="false" ht="22" hidden="false" customHeight="true" outlineLevel="0" collapsed="false">
      <c r="A1" s="17" t="s">
        <v>43</v>
      </c>
      <c r="B1" s="17" t="s">
        <v>43</v>
      </c>
      <c r="C1" s="17" t="s">
        <v>43</v>
      </c>
      <c r="D1" s="17" t="s">
        <v>43</v>
      </c>
      <c r="E1" s="17" t="s">
        <v>43</v>
      </c>
      <c r="F1" s="17" t="s">
        <v>43</v>
      </c>
      <c r="G1" s="17" t="s">
        <v>43</v>
      </c>
      <c r="H1" s="17" t="s">
        <v>43</v>
      </c>
      <c r="I1" s="17" t="s">
        <v>43</v>
      </c>
      <c r="J1" s="17" t="s">
        <v>43</v>
      </c>
      <c r="K1" s="17" t="s">
        <v>43</v>
      </c>
      <c r="L1" s="17" t="s">
        <v>43</v>
      </c>
    </row>
    <row r="2" customFormat="false" ht="22" hidden="false" customHeight="true" outlineLevel="0" collapsed="false">
      <c r="A2" s="17" t="s">
        <v>43</v>
      </c>
      <c r="B2" s="17" t="s">
        <v>43</v>
      </c>
      <c r="C2" s="17" t="s">
        <v>43</v>
      </c>
      <c r="D2" s="17" t="s">
        <v>43</v>
      </c>
      <c r="E2" s="17" t="s">
        <v>43</v>
      </c>
      <c r="F2" s="17" t="s">
        <v>43</v>
      </c>
      <c r="G2" s="17" t="s">
        <v>43</v>
      </c>
      <c r="H2" s="17" t="s">
        <v>43</v>
      </c>
      <c r="I2" s="17" t="s">
        <v>43</v>
      </c>
      <c r="J2" s="17" t="s">
        <v>43</v>
      </c>
      <c r="K2" s="17" t="s">
        <v>43</v>
      </c>
      <c r="L2" s="17" t="s">
        <v>43</v>
      </c>
    </row>
    <row r="3" customFormat="false" ht="14" hidden="false" customHeight="true" outlineLevel="0" collapsed="false">
      <c r="A3" s="4" t="str">
        <f aca="false">IF('Opportunity Setup'!B6="","New proposal",'Opportunity Setup'!B6)</f>
        <v>New proposal</v>
      </c>
      <c r="B3" s="4" t="s">
        <v>44</v>
      </c>
      <c r="C3" s="4" t="s">
        <v>44</v>
      </c>
      <c r="D3" s="4" t="s">
        <v>44</v>
      </c>
      <c r="E3" s="4" t="s">
        <v>44</v>
      </c>
      <c r="F3" s="4" t="s">
        <v>44</v>
      </c>
      <c r="G3" s="4" t="s">
        <v>44</v>
      </c>
      <c r="H3" s="4" t="s">
        <v>44</v>
      </c>
      <c r="I3" s="4" t="s">
        <v>44</v>
      </c>
      <c r="J3" s="4" t="s">
        <v>44</v>
      </c>
      <c r="K3" s="4" t="s">
        <v>44</v>
      </c>
      <c r="L3" s="4" t="s">
        <v>44</v>
      </c>
    </row>
    <row r="4" customFormat="false" ht="14" hidden="false" customHeight="true" outlineLevel="0" collapsed="false">
      <c r="A4" s="5" t="str">
        <f aca="false">IF('Opportunity Setup'!B7="","Populate Opportunity Setup and the source requirements to begin.",'Opportunity Setup'!B4&amp;" / "&amp;'Opportunity Setup'!B5&amp;" / "&amp;'Opportunity Setup'!B7)</f>
        <v>Populate Opportunity Setup and the source requirements to begin.</v>
      </c>
      <c r="B4" s="5" t="s">
        <v>45</v>
      </c>
      <c r="C4" s="5" t="s">
        <v>45</v>
      </c>
      <c r="D4" s="5" t="s">
        <v>45</v>
      </c>
      <c r="E4" s="5" t="s">
        <v>45</v>
      </c>
      <c r="F4" s="5" t="s">
        <v>45</v>
      </c>
      <c r="G4" s="5" t="s">
        <v>45</v>
      </c>
      <c r="H4" s="5" t="s">
        <v>45</v>
      </c>
      <c r="I4" s="5" t="s">
        <v>45</v>
      </c>
      <c r="J4" s="5" t="s">
        <v>45</v>
      </c>
      <c r="K4" s="5" t="s">
        <v>45</v>
      </c>
      <c r="L4" s="5" t="s">
        <v>45</v>
      </c>
    </row>
    <row r="5" customFormat="false" ht="8" hidden="false" customHeight="true" outlineLevel="0" collapsed="false">
      <c r="A5" s="3"/>
      <c r="B5" s="3"/>
      <c r="C5" s="3"/>
      <c r="D5" s="3"/>
      <c r="E5" s="3"/>
      <c r="F5" s="3"/>
      <c r="G5" s="3"/>
      <c r="H5" s="3"/>
      <c r="I5" s="3"/>
      <c r="J5" s="3"/>
      <c r="K5" s="3"/>
      <c r="L5" s="3"/>
    </row>
    <row r="6" customFormat="false" ht="14" hidden="false" customHeight="true" outlineLevel="0" collapsed="false">
      <c r="A6" s="18" t="s">
        <v>46</v>
      </c>
      <c r="B6" s="18" t="s">
        <v>46</v>
      </c>
      <c r="C6" s="18" t="s">
        <v>46</v>
      </c>
      <c r="D6" s="18" t="s">
        <v>46</v>
      </c>
      <c r="E6" s="18" t="s">
        <v>47</v>
      </c>
      <c r="F6" s="18" t="s">
        <v>47</v>
      </c>
      <c r="G6" s="18" t="s">
        <v>47</v>
      </c>
      <c r="H6" s="18" t="s">
        <v>47</v>
      </c>
      <c r="I6" s="18" t="s">
        <v>30</v>
      </c>
      <c r="J6" s="18" t="s">
        <v>30</v>
      </c>
      <c r="K6" s="18" t="s">
        <v>30</v>
      </c>
      <c r="L6" s="18" t="s">
        <v>30</v>
      </c>
    </row>
    <row r="7" customFormat="false" ht="14" hidden="false" customHeight="true" outlineLevel="0" collapsed="false">
      <c r="A7" s="19" t="str">
        <f aca="false">IF('Opportunity Setup'!B9="","",'Opportunity Setup'!B9)</f>
        <v/>
      </c>
      <c r="B7" s="19"/>
      <c r="C7" s="19"/>
      <c r="D7" s="19"/>
      <c r="E7" s="20" t="str">
        <f aca="false">IF('Opportunity Setup'!B10="","",'Opportunity Setup'!B10)</f>
        <v/>
      </c>
      <c r="F7" s="20"/>
      <c r="G7" s="21" t="str">
        <f aca="false">IF('Opportunity Setup'!B11="","",'Opportunity Setup'!B11)</f>
        <v/>
      </c>
      <c r="H7" s="21"/>
      <c r="I7" s="21" t="str">
        <f aca="false">IF('Opportunity Setup'!B12="","",'Opportunity Setup'!B12)</f>
        <v/>
      </c>
      <c r="J7" s="21"/>
      <c r="K7" s="21"/>
      <c r="L7" s="21"/>
    </row>
    <row r="8" customFormat="false" ht="14" hidden="false" customHeight="true" outlineLevel="0" collapsed="false">
      <c r="A8" s="19"/>
      <c r="B8" s="19"/>
      <c r="C8" s="19"/>
      <c r="D8" s="19"/>
      <c r="E8" s="20"/>
      <c r="F8" s="20"/>
      <c r="G8" s="21"/>
      <c r="H8" s="21"/>
      <c r="I8" s="21"/>
      <c r="J8" s="21"/>
      <c r="K8" s="21"/>
      <c r="L8" s="21"/>
    </row>
    <row r="9" customFormat="false" ht="8" hidden="false" customHeight="true" outlineLevel="0" collapsed="false">
      <c r="A9" s="3"/>
      <c r="B9" s="3"/>
      <c r="C9" s="3"/>
      <c r="D9" s="3"/>
      <c r="E9" s="3"/>
      <c r="F9" s="3"/>
      <c r="G9" s="3"/>
      <c r="H9" s="3"/>
      <c r="I9" s="3"/>
      <c r="J9" s="3"/>
      <c r="K9" s="3"/>
      <c r="L9" s="3"/>
    </row>
    <row r="10" customFormat="false" ht="8" hidden="false" customHeight="true" outlineLevel="0" collapsed="false">
      <c r="A10" s="3"/>
      <c r="B10" s="3"/>
      <c r="C10" s="3"/>
      <c r="D10" s="3"/>
      <c r="E10" s="3"/>
      <c r="F10" s="3"/>
      <c r="G10" s="3"/>
      <c r="H10" s="3"/>
      <c r="I10" s="3"/>
      <c r="J10" s="3"/>
      <c r="K10" s="3"/>
      <c r="L10" s="3"/>
    </row>
    <row r="11" customFormat="false" ht="22" hidden="false" customHeight="true" outlineLevel="0" collapsed="false">
      <c r="A11" s="22" t="s">
        <v>48</v>
      </c>
      <c r="B11" s="22" t="s">
        <v>48</v>
      </c>
      <c r="C11" s="22" t="s">
        <v>48</v>
      </c>
      <c r="D11" s="23"/>
      <c r="E11" s="22" t="s">
        <v>49</v>
      </c>
      <c r="F11" s="22" t="s">
        <v>49</v>
      </c>
      <c r="G11" s="22" t="s">
        <v>49</v>
      </c>
      <c r="H11" s="23"/>
      <c r="I11" s="22" t="s">
        <v>50</v>
      </c>
      <c r="J11" s="22" t="s">
        <v>50</v>
      </c>
      <c r="K11" s="22" t="s">
        <v>50</v>
      </c>
      <c r="L11" s="23"/>
    </row>
    <row r="12" customFormat="false" ht="14" hidden="false" customHeight="true" outlineLevel="0" collapsed="false">
      <c r="A12" s="24" t="n">
        <f aca="false">SUMPRODUCT(--('Requirement Matrix'!$A$8:$A$307&lt;&gt;""))</f>
        <v>0</v>
      </c>
      <c r="B12" s="24"/>
      <c r="C12" s="24"/>
      <c r="D12" s="23"/>
      <c r="E12" s="24" t="n">
        <f aca="false">SUMPRODUCT(--('Requirement Matrix'!$A$8:$A$307&lt;&gt;""))-SUMPRODUCT(--('Requirement Matrix'!$A$8:$A$307&lt;&gt;""),--('Requirement Matrix'!$H$8:$H$307="Pass"),--('Requirement Matrix'!$M$8:$M$307=""))-SUMPRODUCT(--('Requirement Matrix'!$A$8:$A$307&lt;&gt;""),--('Requirement Matrix'!$H$8:$H$307="Fail"))</f>
        <v>0</v>
      </c>
      <c r="F12" s="24"/>
      <c r="G12" s="24"/>
      <c r="H12" s="23"/>
      <c r="I12" s="24" t="n">
        <f aca="false">SUMPRODUCT(--('Requirement Matrix'!$A$8:$A$307&lt;&gt;""),--('Requirement Matrix'!$H$8:$H$307="Fail"))</f>
        <v>0</v>
      </c>
      <c r="J12" s="24"/>
      <c r="K12" s="24"/>
      <c r="L12" s="23"/>
    </row>
    <row r="13" customFormat="false" ht="14" hidden="false" customHeight="true" outlineLevel="0" collapsed="false">
      <c r="A13" s="24"/>
      <c r="B13" s="24"/>
      <c r="C13" s="24"/>
      <c r="D13" s="23"/>
      <c r="E13" s="24"/>
      <c r="F13" s="24"/>
      <c r="G13" s="24"/>
      <c r="H13" s="23"/>
      <c r="I13" s="24"/>
      <c r="J13" s="24"/>
      <c r="K13" s="24"/>
      <c r="L13" s="23"/>
    </row>
    <row r="14" customFormat="false" ht="14" hidden="false" customHeight="true" outlineLevel="0" collapsed="false">
      <c r="A14" s="24"/>
      <c r="B14" s="24"/>
      <c r="C14" s="24"/>
      <c r="D14" s="23"/>
      <c r="E14" s="24"/>
      <c r="F14" s="24"/>
      <c r="G14" s="24"/>
      <c r="H14" s="23"/>
      <c r="I14" s="24"/>
      <c r="J14" s="24"/>
      <c r="K14" s="24"/>
      <c r="L14" s="23"/>
    </row>
    <row r="15" customFormat="false" ht="11" hidden="false" customHeight="true" outlineLevel="0" collapsed="false">
      <c r="A15" s="3"/>
      <c r="B15" s="3"/>
      <c r="C15" s="3"/>
      <c r="D15" s="23"/>
      <c r="E15" s="3"/>
      <c r="F15" s="3"/>
      <c r="G15" s="3"/>
      <c r="H15" s="23"/>
      <c r="I15" s="3"/>
      <c r="J15" s="3"/>
      <c r="K15" s="3"/>
      <c r="L15" s="23"/>
    </row>
    <row r="16" customFormat="false" ht="22" hidden="false" customHeight="true" outlineLevel="0" collapsed="false">
      <c r="A16" s="22" t="s">
        <v>51</v>
      </c>
      <c r="B16" s="22" t="s">
        <v>51</v>
      </c>
      <c r="C16" s="22" t="s">
        <v>51</v>
      </c>
      <c r="D16" s="23"/>
      <c r="E16" s="22" t="s">
        <v>52</v>
      </c>
      <c r="F16" s="22" t="s">
        <v>52</v>
      </c>
      <c r="G16" s="22" t="s">
        <v>52</v>
      </c>
      <c r="H16" s="23"/>
      <c r="I16" s="22" t="s">
        <v>53</v>
      </c>
      <c r="J16" s="22" t="s">
        <v>53</v>
      </c>
      <c r="K16" s="22" t="s">
        <v>53</v>
      </c>
      <c r="L16" s="23"/>
    </row>
    <row r="17" customFormat="false" ht="14" hidden="false" customHeight="true" outlineLevel="0" collapsed="false">
      <c r="A17" s="24" t="n">
        <f aca="false">SUMPRODUCT(--('Requirement Matrix'!$A$8:$A$307&lt;&gt;""))-SUMPRODUCT(--('Requirement Matrix'!$A$8:$A$307&lt;&gt;""),--('Requirement Matrix'!$I$8:$I$307="Complete"),--('Requirement Matrix'!$M$8:$M$307=""))</f>
        <v>0</v>
      </c>
      <c r="B17" s="24"/>
      <c r="C17" s="24"/>
      <c r="D17" s="23"/>
      <c r="E17" s="24" t="n">
        <f aca="false">SUMPRODUCT(--('Requirement Matrix'!$A$8:$A$307&lt;&gt;""),--('Requirement Matrix'!$L$8:$L$307=""))</f>
        <v>0</v>
      </c>
      <c r="F17" s="24"/>
      <c r="G17" s="24"/>
      <c r="H17" s="23"/>
      <c r="I17" s="24" t="n">
        <f aca="false">COUNTIF('Requirement Matrix'!$M$8:$M$307,"?*")+COUNTIF('Submission Checklist'!$G$7:$G$307,"?*")+COUNTIF('Pricing &amp; Deliverables'!$L$7:$L$307,"?*")+COUNTIF('Questions-Risks'!$L$7:$L$307,"?*")</f>
        <v>0</v>
      </c>
      <c r="J17" s="24"/>
      <c r="K17" s="24"/>
      <c r="L17" s="23"/>
    </row>
    <row r="18" customFormat="false" ht="14" hidden="false" customHeight="true" outlineLevel="0" collapsed="false">
      <c r="A18" s="24"/>
      <c r="B18" s="24"/>
      <c r="C18" s="24"/>
      <c r="D18" s="23"/>
      <c r="E18" s="24"/>
      <c r="F18" s="24"/>
      <c r="G18" s="24"/>
      <c r="H18" s="23"/>
      <c r="I18" s="24"/>
      <c r="J18" s="24"/>
      <c r="K18" s="24"/>
      <c r="L18" s="23"/>
    </row>
    <row r="19" customFormat="false" ht="14" hidden="false" customHeight="true" outlineLevel="0" collapsed="false">
      <c r="A19" s="24"/>
      <c r="B19" s="24"/>
      <c r="C19" s="24"/>
      <c r="D19" s="23"/>
      <c r="E19" s="24"/>
      <c r="F19" s="24"/>
      <c r="G19" s="24"/>
      <c r="H19" s="23"/>
      <c r="I19" s="24"/>
      <c r="J19" s="24"/>
      <c r="K19" s="24"/>
      <c r="L19" s="23"/>
    </row>
    <row r="20" customFormat="false" ht="11" hidden="false" customHeight="true" outlineLevel="0" collapsed="false">
      <c r="A20" s="3"/>
      <c r="B20" s="3"/>
      <c r="C20" s="3"/>
      <c r="D20" s="23"/>
      <c r="E20" s="3"/>
      <c r="F20" s="3"/>
      <c r="G20" s="3"/>
      <c r="H20" s="23"/>
      <c r="I20" s="3"/>
      <c r="J20" s="3"/>
      <c r="K20" s="3"/>
      <c r="L20" s="23"/>
    </row>
    <row r="21" customFormat="false" ht="22" hidden="false" customHeight="true" outlineLevel="0" collapsed="false">
      <c r="A21" s="22" t="s">
        <v>54</v>
      </c>
      <c r="B21" s="22" t="s">
        <v>54</v>
      </c>
      <c r="C21" s="22" t="s">
        <v>54</v>
      </c>
      <c r="D21" s="23"/>
      <c r="E21" s="22" t="s">
        <v>55</v>
      </c>
      <c r="F21" s="22" t="s">
        <v>55</v>
      </c>
      <c r="G21" s="22" t="s">
        <v>55</v>
      </c>
      <c r="H21" s="23"/>
      <c r="I21" s="22" t="s">
        <v>56</v>
      </c>
      <c r="J21" s="22" t="s">
        <v>56</v>
      </c>
      <c r="K21" s="22" t="s">
        <v>56</v>
      </c>
      <c r="L21" s="23"/>
    </row>
    <row r="22" customFormat="false" ht="14" hidden="false" customHeight="true" outlineLevel="0" collapsed="false">
      <c r="A22" s="24" t="n">
        <f aca="false">SUMPRODUCT(--('Submission Checklist'!$A$7:$A$307&lt;&gt;""))-SUMPRODUCT(--('Submission Checklist'!$A$7:$A$307&lt;&gt;""),--('Submission Checklist'!$D$7:$D$307="Complete"),--('Submission Checklist'!$G$7:$G$307=""))</f>
        <v>0</v>
      </c>
      <c r="B22" s="24"/>
      <c r="C22" s="24"/>
      <c r="D22" s="23"/>
      <c r="E22" s="24" t="n">
        <f aca="false">SUMPRODUCT(--('Questions-Risks'!$A$7:$A$307&lt;&gt;""))-SUMPRODUCT(--('Questions-Risks'!$A$7:$A$307&lt;&gt;""),--('Questions-Risks'!$F$7:$F$307="Complete"),--('Questions-Risks'!$L$7:$L$307=""))</f>
        <v>0</v>
      </c>
      <c r="F22" s="24"/>
      <c r="G22" s="24"/>
      <c r="H22" s="23"/>
      <c r="I22" s="24" t="n">
        <f aca="false">SUMPRODUCT(--('Amendment Log'!$A$7:$A$307&lt;&gt;""),--('Amendment Log'!$F$7:$F$307&lt;&gt;"Complete"))</f>
        <v>0</v>
      </c>
      <c r="J22" s="24"/>
      <c r="K22" s="24"/>
      <c r="L22" s="23"/>
    </row>
    <row r="23" customFormat="false" ht="14" hidden="false" customHeight="true" outlineLevel="0" collapsed="false">
      <c r="A23" s="24"/>
      <c r="B23" s="24"/>
      <c r="C23" s="24"/>
      <c r="D23" s="23"/>
      <c r="E23" s="24"/>
      <c r="F23" s="24"/>
      <c r="G23" s="24"/>
      <c r="H23" s="23"/>
      <c r="I23" s="24"/>
      <c r="J23" s="24"/>
      <c r="K23" s="24"/>
      <c r="L23" s="23"/>
    </row>
    <row r="24" customFormat="false" ht="14" hidden="false" customHeight="true" outlineLevel="0" collapsed="false">
      <c r="A24" s="24"/>
      <c r="B24" s="24"/>
      <c r="C24" s="24"/>
      <c r="D24" s="23"/>
      <c r="E24" s="24"/>
      <c r="F24" s="24"/>
      <c r="G24" s="24"/>
      <c r="H24" s="23"/>
      <c r="I24" s="24"/>
      <c r="J24" s="24"/>
      <c r="K24" s="24"/>
      <c r="L24" s="23"/>
    </row>
    <row r="25" customFormat="false" ht="8" hidden="false" customHeight="true" outlineLevel="0" collapsed="false">
      <c r="A25" s="3"/>
      <c r="B25" s="3"/>
      <c r="C25" s="3"/>
      <c r="D25" s="3"/>
      <c r="E25" s="3"/>
      <c r="F25" s="3"/>
      <c r="G25" s="3"/>
      <c r="H25" s="3"/>
      <c r="I25" s="3"/>
      <c r="J25" s="3"/>
      <c r="K25" s="3"/>
      <c r="L25" s="3"/>
    </row>
    <row r="26" customFormat="false" ht="8" hidden="false" customHeight="true" outlineLevel="0" collapsed="false">
      <c r="A26" s="3"/>
      <c r="B26" s="3"/>
      <c r="C26" s="3"/>
      <c r="D26" s="3"/>
      <c r="E26" s="3"/>
      <c r="F26" s="3"/>
      <c r="G26" s="3"/>
      <c r="H26" s="3"/>
      <c r="I26" s="3"/>
      <c r="J26" s="3"/>
      <c r="K26" s="3"/>
      <c r="L26" s="3"/>
    </row>
    <row r="27" customFormat="false" ht="21" hidden="false" customHeight="true" outlineLevel="0" collapsed="false">
      <c r="A27" s="25" t="str">
        <f aca="false">IF(A12=0,"Not populated — add the actual source requirements.",IF(OR('Opportunity Setup'!B9="",'Opportunity Setup'!B10="",'Opportunity Setup'!B11="",'Opportunity Setup'!B12=""),"Submission date, time, zone or channel is missing.","Working draft — counts do not establish submission readiness."))</f>
        <v>Not populated — add the actual source requirements.</v>
      </c>
      <c r="B27" s="25"/>
      <c r="C27" s="25"/>
      <c r="D27" s="25"/>
      <c r="E27" s="25"/>
      <c r="F27" s="25"/>
      <c r="G27" s="25"/>
      <c r="H27" s="25"/>
      <c r="I27" s="25"/>
      <c r="J27" s="25"/>
      <c r="K27" s="25"/>
      <c r="L27" s="25"/>
    </row>
    <row r="28" customFormat="false" ht="21" hidden="false" customHeight="true" outlineLevel="0" collapsed="false">
      <c r="A28" s="25"/>
      <c r="B28" s="25"/>
      <c r="C28" s="25"/>
      <c r="D28" s="25"/>
      <c r="E28" s="25"/>
      <c r="F28" s="25"/>
      <c r="G28" s="25"/>
      <c r="H28" s="25"/>
      <c r="I28" s="25"/>
      <c r="J28" s="25"/>
      <c r="K28" s="25"/>
      <c r="L28" s="25"/>
    </row>
    <row r="29" customFormat="false" ht="8" hidden="false" customHeight="true" outlineLevel="0" collapsed="false">
      <c r="A29" s="3"/>
      <c r="B29" s="3"/>
      <c r="C29" s="3"/>
      <c r="D29" s="3"/>
      <c r="E29" s="3"/>
      <c r="F29" s="3"/>
      <c r="G29" s="3"/>
      <c r="H29" s="3"/>
      <c r="I29" s="3"/>
      <c r="J29" s="3"/>
      <c r="K29" s="3"/>
      <c r="L29" s="3"/>
    </row>
    <row r="30" customFormat="false" ht="14" hidden="false" customHeight="true" outlineLevel="0" collapsed="false">
      <c r="A30" s="26" t="s">
        <v>57</v>
      </c>
      <c r="B30" s="26" t="s">
        <v>57</v>
      </c>
      <c r="C30" s="26" t="s">
        <v>57</v>
      </c>
      <c r="D30" s="26" t="s">
        <v>57</v>
      </c>
      <c r="E30" s="26" t="s">
        <v>57</v>
      </c>
      <c r="F30" s="26" t="s">
        <v>57</v>
      </c>
      <c r="G30" s="3"/>
      <c r="H30" s="26" t="s">
        <v>58</v>
      </c>
      <c r="I30" s="26" t="s">
        <v>58</v>
      </c>
      <c r="J30" s="26" t="s">
        <v>58</v>
      </c>
      <c r="K30" s="26" t="s">
        <v>58</v>
      </c>
      <c r="L30" s="26" t="s">
        <v>58</v>
      </c>
    </row>
    <row r="31" customFormat="false" ht="8" hidden="false" customHeight="true" outlineLevel="0" collapsed="false">
      <c r="A31" s="3"/>
      <c r="B31" s="3"/>
      <c r="C31" s="3"/>
      <c r="D31" s="3"/>
      <c r="E31" s="3"/>
      <c r="F31" s="3"/>
      <c r="G31" s="3"/>
      <c r="H31" s="3"/>
      <c r="I31" s="3"/>
      <c r="J31" s="3"/>
      <c r="K31" s="3"/>
      <c r="L31" s="3"/>
    </row>
    <row r="32" customFormat="false" ht="14" hidden="false" customHeight="true" outlineLevel="0" collapsed="false">
      <c r="A32" s="3" t="s">
        <v>59</v>
      </c>
      <c r="B32" s="3" t="s">
        <v>59</v>
      </c>
      <c r="C32" s="3" t="s">
        <v>59</v>
      </c>
      <c r="D32" s="3" t="s">
        <v>59</v>
      </c>
      <c r="E32" s="3" t="s">
        <v>59</v>
      </c>
      <c r="F32" s="27" t="n">
        <f aca="false">SUMPRODUCT(--('Requirement Matrix'!$A$8:$A$307&lt;&gt;""),--('Requirement Matrix'!$P$8:$P$307="Mandatory"))</f>
        <v>0</v>
      </c>
      <c r="G32" s="3"/>
      <c r="H32" s="3" t="s">
        <v>60</v>
      </c>
      <c r="I32" s="3" t="s">
        <v>60</v>
      </c>
      <c r="J32" s="3" t="s">
        <v>60</v>
      </c>
      <c r="K32" s="3" t="s">
        <v>60</v>
      </c>
      <c r="L32" s="3" t="n">
        <f aca="false">SUMPRODUCT(--('Requirement Matrix'!$A$8:$A$307&lt;&gt;""),--('Requirement Matrix'!$I$8:$I$307="Not started"))</f>
        <v>0</v>
      </c>
    </row>
    <row r="33" customFormat="false" ht="14" hidden="false" customHeight="true" outlineLevel="0" collapsed="false">
      <c r="A33" s="3" t="s">
        <v>61</v>
      </c>
      <c r="B33" s="3" t="s">
        <v>61</v>
      </c>
      <c r="C33" s="3" t="s">
        <v>61</v>
      </c>
      <c r="D33" s="3" t="s">
        <v>61</v>
      </c>
      <c r="E33" s="3" t="s">
        <v>61</v>
      </c>
      <c r="F33" s="27" t="n">
        <f aca="false">SUMPRODUCT(--('Requirement Matrix'!$A$8:$A$307&lt;&gt;""),--('Requirement Matrix'!$S$8:$S$307&lt;&gt;""))</f>
        <v>0</v>
      </c>
      <c r="G33" s="3"/>
      <c r="H33" s="3" t="s">
        <v>62</v>
      </c>
      <c r="I33" s="3" t="s">
        <v>62</v>
      </c>
      <c r="J33" s="3" t="s">
        <v>62</v>
      </c>
      <c r="K33" s="3" t="s">
        <v>62</v>
      </c>
      <c r="L33" s="3" t="n">
        <f aca="false">SUMPRODUCT(--('Requirement Matrix'!$A$8:$A$307&lt;&gt;""),--('Requirement Matrix'!$I$8:$I$307="In progress"))</f>
        <v>0</v>
      </c>
    </row>
    <row r="34" customFormat="false" ht="14" hidden="false" customHeight="true" outlineLevel="0" collapsed="false">
      <c r="A34" s="3" t="s">
        <v>63</v>
      </c>
      <c r="B34" s="3" t="s">
        <v>63</v>
      </c>
      <c r="C34" s="3" t="s">
        <v>63</v>
      </c>
      <c r="D34" s="3" t="s">
        <v>63</v>
      </c>
      <c r="E34" s="3" t="s">
        <v>63</v>
      </c>
      <c r="F34" s="27" t="n">
        <f aca="false">SUMPRODUCT(--('Requirement Matrix'!$A$8:$A$307&lt;&gt;""),--('Requirement Matrix'!$Q$8:$Q$307=""))</f>
        <v>0</v>
      </c>
      <c r="G34" s="3"/>
      <c r="H34" s="3" t="s">
        <v>64</v>
      </c>
      <c r="I34" s="3" t="s">
        <v>64</v>
      </c>
      <c r="J34" s="3" t="s">
        <v>64</v>
      </c>
      <c r="K34" s="3" t="s">
        <v>64</v>
      </c>
      <c r="L34" s="3" t="n">
        <f aca="false">SUMPRODUCT(--('Requirement Matrix'!$A$8:$A$307&lt;&gt;""),--('Requirement Matrix'!$I$8:$I$307="In review"))</f>
        <v>0</v>
      </c>
    </row>
    <row r="35" customFormat="false" ht="14" hidden="false" customHeight="true" outlineLevel="0" collapsed="false">
      <c r="A35" s="3" t="s">
        <v>65</v>
      </c>
      <c r="B35" s="3" t="s">
        <v>65</v>
      </c>
      <c r="C35" s="3" t="s">
        <v>65</v>
      </c>
      <c r="D35" s="3" t="s">
        <v>65</v>
      </c>
      <c r="E35" s="3" t="s">
        <v>65</v>
      </c>
      <c r="F35" s="27" t="n">
        <f aca="false">SUMPRODUCT(--('Requirement Matrix'!$A$8:$A$307&lt;&gt;""),--('Requirement Matrix'!$J$8:$J$307=""))</f>
        <v>0</v>
      </c>
      <c r="G35" s="3"/>
      <c r="H35" s="3" t="s">
        <v>66</v>
      </c>
      <c r="I35" s="3" t="s">
        <v>66</v>
      </c>
      <c r="J35" s="3" t="s">
        <v>66</v>
      </c>
      <c r="K35" s="3" t="s">
        <v>66</v>
      </c>
      <c r="L35" s="3" t="n">
        <f aca="false">SUMPRODUCT(--('Requirement Matrix'!$A$8:$A$307&lt;&gt;""),--('Requirement Matrix'!$I$8:$I$307="Complete"))</f>
        <v>0</v>
      </c>
    </row>
    <row r="36" customFormat="false" ht="14" hidden="false" customHeight="true" outlineLevel="0" collapsed="false">
      <c r="A36" s="3" t="s">
        <v>67</v>
      </c>
      <c r="B36" s="3" t="s">
        <v>67</v>
      </c>
      <c r="C36" s="3" t="s">
        <v>67</v>
      </c>
      <c r="D36" s="3" t="s">
        <v>67</v>
      </c>
      <c r="E36" s="3" t="s">
        <v>67</v>
      </c>
      <c r="F36" s="27" t="n">
        <f aca="false">SUMPRODUCT(--('Requirement Matrix'!$A$8:$A$307&lt;&gt;""),--('Requirement Matrix'!$K$8:$K$307=""))</f>
        <v>0</v>
      </c>
      <c r="G36" s="3"/>
      <c r="H36" s="3"/>
      <c r="I36" s="3"/>
      <c r="J36" s="3"/>
      <c r="K36" s="3"/>
      <c r="L36" s="3"/>
    </row>
    <row r="37" customFormat="false" ht="8" hidden="false" customHeight="true" outlineLevel="0" collapsed="false">
      <c r="A37" s="3"/>
      <c r="B37" s="3"/>
      <c r="C37" s="3"/>
      <c r="D37" s="3"/>
      <c r="E37" s="3"/>
      <c r="F37" s="3"/>
      <c r="G37" s="3"/>
      <c r="H37" s="3"/>
      <c r="I37" s="3"/>
      <c r="J37" s="3"/>
      <c r="K37" s="3"/>
      <c r="L37" s="3"/>
    </row>
    <row r="38" customFormat="false" ht="8" hidden="false" customHeight="true" outlineLevel="0" collapsed="false">
      <c r="A38" s="3"/>
      <c r="B38" s="3"/>
      <c r="C38" s="3"/>
      <c r="D38" s="3"/>
      <c r="E38" s="3"/>
      <c r="F38" s="3"/>
      <c r="G38" s="3"/>
      <c r="H38" s="3"/>
      <c r="I38" s="3"/>
      <c r="J38" s="3"/>
      <c r="K38" s="3"/>
      <c r="L38" s="3"/>
    </row>
    <row r="39" customFormat="false" ht="14" hidden="false" customHeight="true" outlineLevel="0" collapsed="false">
      <c r="A39" s="11" t="str">
        <f aca="false">IF(SUMPRODUCT(--(ROW('Requirement Matrix'!$A$8:$A$307)&gt;PrintEndRequirementMatrix),--('Requirement Matrix'!$A$8:$A$307&lt;&gt;""))+SUMPRODUCT(--(ROW('Requirement Matrix'!$M$8:$M$307)&gt;PrintEndRequirementMatrix),--('Requirement Matrix'!$M$8:$M$307&lt;&gt;""))+SUMPRODUCT(--(ROW('Evaluation Crosswalk'!$A$8:$A$307)&gt;PrintEndEvaluationCrosswalk),--('Evaluation Crosswalk'!$A$8:$A$307&lt;&gt;""))+SUMPRODUCT(--(ROW('Submission Checklist'!$A$7:$A$307)&gt;PrintEndSubmissionChecklist),--('Submission Checklist'!$A$7:$A$307&lt;&gt;""))+SUMPRODUCT(--(ROW('Submission Checklist'!$G$7:$G$307)&gt;PrintEndSubmissionChecklist),--('Submission Checklist'!$G$7:$G$307&lt;&gt;""))+SUMPRODUCT(--(ROW('Pricing &amp; Deliverables'!$A$7:$A$307)&gt;PrintEndPricingDeliverables),--('Pricing &amp; Deliverables'!$A$7:$A$307&lt;&gt;""))+SUMPRODUCT(--(ROW('Pricing &amp; Deliverables'!$L$7:$L$307)&gt;PrintEndPricingDeliverables),--('Pricing &amp; Deliverables'!$L$7:$L$307&lt;&gt;""))+SUMPRODUCT(--(ROW('Questions-Risks'!$A$7:$A$307)&gt;PrintEndQuestionsRisks),--('Questions-Risks'!$A$7:$A$307&lt;&gt;""))+SUMPRODUCT(--(ROW('Questions-Risks'!$L$7:$L$307)&gt;PrintEndQuestionsRisks),--('Questions-Risks'!$L$7:$L$307&lt;&gt;""))+SUMPRODUCT(--(ROW('Amendment Log'!$A$7:$A$307)&gt;PrintEndAmendmentLog),--('Amendment Log'!$A$7:$A$307&lt;&gt;""))+SUMPRODUCT(--(ROW(Sources!$A$6:$A$307)&gt;PrintEndSources),--(Sources!$A$6:$A$307&lt;&gt;""))&gt;0,"Check print areas after adding rows. Include every populated row before printing or exporting PDF. See Start Here.","Use the working tabs to record evidence, resolve questions and verify the final submission.")</f>
        <v>Use the working tabs to record evidence, resolve questions and verify the final submission.</v>
      </c>
      <c r="B39" s="11"/>
      <c r="C39" s="11"/>
      <c r="D39" s="11"/>
      <c r="E39" s="11"/>
      <c r="F39" s="11"/>
      <c r="G39" s="11"/>
      <c r="H39" s="11"/>
      <c r="I39" s="11"/>
      <c r="J39" s="11"/>
      <c r="K39" s="11"/>
      <c r="L39" s="11"/>
    </row>
    <row r="40" customFormat="false" ht="14" hidden="false" customHeight="true" outlineLevel="0" collapsed="false">
      <c r="A40" s="11"/>
      <c r="B40" s="11"/>
      <c r="C40" s="11"/>
      <c r="D40" s="11"/>
      <c r="E40" s="11"/>
      <c r="F40" s="11"/>
      <c r="G40" s="11"/>
      <c r="H40" s="11"/>
      <c r="I40" s="11"/>
      <c r="J40" s="11"/>
      <c r="K40" s="11"/>
      <c r="L40" s="11"/>
    </row>
    <row r="41" customFormat="false" ht="25" hidden="false" customHeight="true" outlineLevel="0" collapsed="false">
      <c r="A41" s="3"/>
      <c r="B41" s="3"/>
      <c r="C41" s="3"/>
      <c r="D41" s="3"/>
      <c r="E41" s="3"/>
      <c r="F41" s="3"/>
      <c r="G41" s="3"/>
      <c r="H41" s="3"/>
      <c r="I41" s="3"/>
      <c r="J41" s="3"/>
      <c r="K41" s="3"/>
      <c r="L41" s="3"/>
    </row>
    <row r="42" customFormat="false" ht="25" hidden="false" customHeight="true" outlineLevel="0" collapsed="false">
      <c r="A42" s="3"/>
      <c r="B42" s="3"/>
      <c r="C42" s="3"/>
      <c r="D42" s="3"/>
      <c r="E42" s="3"/>
      <c r="F42" s="3"/>
      <c r="G42" s="3"/>
      <c r="H42" s="3"/>
      <c r="I42" s="3"/>
      <c r="J42" s="3"/>
      <c r="K42" s="3"/>
      <c r="L42" s="3"/>
    </row>
    <row r="43" customFormat="false" ht="25" hidden="false" customHeight="true" outlineLevel="0" collapsed="false">
      <c r="A43" s="3"/>
      <c r="B43" s="3"/>
      <c r="C43" s="3"/>
      <c r="D43" s="3"/>
      <c r="E43" s="3"/>
      <c r="F43" s="3"/>
      <c r="G43" s="3"/>
      <c r="H43" s="3"/>
      <c r="I43" s="3"/>
      <c r="J43" s="3"/>
      <c r="K43" s="3"/>
      <c r="L43" s="3"/>
    </row>
  </sheetData>
  <mergeCells count="41">
    <mergeCell ref="A1:L2"/>
    <mergeCell ref="A3:L3"/>
    <mergeCell ref="A4:L4"/>
    <mergeCell ref="A6:D6"/>
    <mergeCell ref="E6:H6"/>
    <mergeCell ref="I6:L6"/>
    <mergeCell ref="A7:D8"/>
    <mergeCell ref="E7:F8"/>
    <mergeCell ref="G7:H8"/>
    <mergeCell ref="I7:L8"/>
    <mergeCell ref="A11:C11"/>
    <mergeCell ref="E11:G11"/>
    <mergeCell ref="I11:K11"/>
    <mergeCell ref="A12:C14"/>
    <mergeCell ref="E12:G14"/>
    <mergeCell ref="I12:K14"/>
    <mergeCell ref="A16:C16"/>
    <mergeCell ref="E16:G16"/>
    <mergeCell ref="I16:K16"/>
    <mergeCell ref="A17:C19"/>
    <mergeCell ref="E17:G19"/>
    <mergeCell ref="I17:K19"/>
    <mergeCell ref="A21:C21"/>
    <mergeCell ref="E21:G21"/>
    <mergeCell ref="I21:K21"/>
    <mergeCell ref="A22:C24"/>
    <mergeCell ref="E22:G24"/>
    <mergeCell ref="I22:K24"/>
    <mergeCell ref="A27:L28"/>
    <mergeCell ref="A30:F30"/>
    <mergeCell ref="H30:L30"/>
    <mergeCell ref="A32:E32"/>
    <mergeCell ref="H32:K32"/>
    <mergeCell ref="A33:E33"/>
    <mergeCell ref="H33:K33"/>
    <mergeCell ref="A34:E34"/>
    <mergeCell ref="H34:K34"/>
    <mergeCell ref="A35:E35"/>
    <mergeCell ref="H35:K35"/>
    <mergeCell ref="A36:E36"/>
    <mergeCell ref="A39:L40"/>
  </mergeCells>
  <conditionalFormatting sqref="J5:K6">
    <cfRule type="cellIs" priority="2" operator="greaterThan" aboveAverage="0" equalAverage="0" bottom="0" percent="0" rank="0" text="" dxfId="0">
      <formula>0</formula>
    </cfRule>
  </conditionalFormatting>
  <conditionalFormatting sqref="A9:B10">
    <cfRule type="cellIs" priority="3" operator="greaterThan" aboveAverage="0" equalAverage="0" bottom="0" percent="0" rank="0" text="" dxfId="0">
      <formula>0</formula>
    </cfRule>
  </conditionalFormatting>
  <conditionalFormatting sqref="D9:E10">
    <cfRule type="cellIs" priority="4" operator="greaterThan" aboveAverage="0" equalAverage="0" bottom="0" percent="0" rank="0" text="" dxfId="0">
      <formula>0</formula>
    </cfRule>
  </conditionalFormatting>
  <conditionalFormatting sqref="G9:H10">
    <cfRule type="cellIs" priority="5" operator="greaterThan" aboveAverage="0" equalAverage="0" bottom="0" percent="0" rank="0" text="" dxfId="0">
      <formula>0</formula>
    </cfRule>
  </conditionalFormatting>
  <conditionalFormatting sqref="A13:B14">
    <cfRule type="cellIs" priority="6" operator="greaterThan" aboveAverage="0" equalAverage="0" bottom="0" percent="0" rank="0" text="" dxfId="0">
      <formula>0</formula>
    </cfRule>
  </conditionalFormatting>
  <conditionalFormatting sqref="D13:E14">
    <cfRule type="cellIs" priority="7" operator="greaterThan" aboveAverage="0" equalAverage="0" bottom="0" percent="0" rank="0" text="" dxfId="0">
      <formula>0</formula>
    </cfRule>
  </conditionalFormatting>
  <conditionalFormatting sqref="G13:H14">
    <cfRule type="cellIs" priority="8" operator="greaterThan" aboveAverage="0" equalAverage="0" bottom="0" percent="0" rank="0" text="" dxfId="0">
      <formula>0</formula>
    </cfRule>
  </conditionalFormatting>
  <conditionalFormatting sqref="J13:K14">
    <cfRule type="cellIs" priority="9" operator="greaterThan" aboveAverage="0" equalAverage="0" bottom="0" percent="0" rank="0" text="" dxfId="0">
      <formula>0</formula>
    </cfRule>
  </conditionalFormatting>
  <conditionalFormatting sqref="J9:K10">
    <cfRule type="cellIs" priority="10" operator="greaterThan" aboveAverage="0" equalAverage="0" bottom="0" percent="0" rank="0" text="" dxfId="1">
      <formula>0</formula>
    </cfRule>
  </conditionalFormatting>
  <conditionalFormatting sqref="A12:C14">
    <cfRule type="expression" priority="11" aboveAverage="0" equalAverage="0" bottom="0" percent="0" rank="0" text="" dxfId="2">
      <formula>$A$12&gt;0</formula>
    </cfRule>
  </conditionalFormatting>
  <conditionalFormatting sqref="A11:C11">
    <cfRule type="expression" priority="12" aboveAverage="0" equalAverage="0" bottom="0" percent="0" rank="0" text="" dxfId="3">
      <formula>$A$12&gt;0</formula>
    </cfRule>
  </conditionalFormatting>
  <conditionalFormatting sqref="E12:G14">
    <cfRule type="expression" priority="13" aboveAverage="0" equalAverage="0" bottom="0" percent="0" rank="0" text="" dxfId="4">
      <formula>$E$12&gt;0</formula>
    </cfRule>
  </conditionalFormatting>
  <conditionalFormatting sqref="E11:G11">
    <cfRule type="expression" priority="14" aboveAverage="0" equalAverage="0" bottom="0" percent="0" rank="0" text="" dxfId="5">
      <formula>$E$12&gt;0</formula>
    </cfRule>
  </conditionalFormatting>
  <conditionalFormatting sqref="I12:K14">
    <cfRule type="expression" priority="15" aboveAverage="0" equalAverage="0" bottom="0" percent="0" rank="0" text="" dxfId="6">
      <formula>$I$12&gt;0</formula>
    </cfRule>
  </conditionalFormatting>
  <conditionalFormatting sqref="I11:K11">
    <cfRule type="expression" priority="16" aboveAverage="0" equalAverage="0" bottom="0" percent="0" rank="0" text="" dxfId="7">
      <formula>$I$12&gt;0</formula>
    </cfRule>
  </conditionalFormatting>
  <conditionalFormatting sqref="A17:C19">
    <cfRule type="expression" priority="17" aboveAverage="0" equalAverage="0" bottom="0" percent="0" rank="0" text="" dxfId="8">
      <formula>$A$17&gt;0</formula>
    </cfRule>
  </conditionalFormatting>
  <conditionalFormatting sqref="A16:C16">
    <cfRule type="expression" priority="18" aboveAverage="0" equalAverage="0" bottom="0" percent="0" rank="0" text="" dxfId="9">
      <formula>$A$17&gt;0</formula>
    </cfRule>
  </conditionalFormatting>
  <conditionalFormatting sqref="E17:G19">
    <cfRule type="expression" priority="19" aboveAverage="0" equalAverage="0" bottom="0" percent="0" rank="0" text="" dxfId="10">
      <formula>$E$17&gt;0</formula>
    </cfRule>
  </conditionalFormatting>
  <conditionalFormatting sqref="E16:G16">
    <cfRule type="expression" priority="20" aboveAverage="0" equalAverage="0" bottom="0" percent="0" rank="0" text="" dxfId="11">
      <formula>$E$17&gt;0</formula>
    </cfRule>
  </conditionalFormatting>
  <conditionalFormatting sqref="I17:K19">
    <cfRule type="expression" priority="21" aboveAverage="0" equalAverage="0" bottom="0" percent="0" rank="0" text="" dxfId="12">
      <formula>$I$17&gt;0</formula>
    </cfRule>
  </conditionalFormatting>
  <conditionalFormatting sqref="I16:K16">
    <cfRule type="expression" priority="22" aboveAverage="0" equalAverage="0" bottom="0" percent="0" rank="0" text="" dxfId="13">
      <formula>$I$17&gt;0</formula>
    </cfRule>
  </conditionalFormatting>
  <conditionalFormatting sqref="A22:C24">
    <cfRule type="expression" priority="23" aboveAverage="0" equalAverage="0" bottom="0" percent="0" rank="0" text="" dxfId="14">
      <formula>$A$22&gt;0</formula>
    </cfRule>
  </conditionalFormatting>
  <conditionalFormatting sqref="A21:C21">
    <cfRule type="expression" priority="24" aboveAverage="0" equalAverage="0" bottom="0" percent="0" rank="0" text="" dxfId="15">
      <formula>$A$22&gt;0</formula>
    </cfRule>
  </conditionalFormatting>
  <conditionalFormatting sqref="E22:G24">
    <cfRule type="expression" priority="25" aboveAverage="0" equalAverage="0" bottom="0" percent="0" rank="0" text="" dxfId="16">
      <formula>$E$22&gt;0</formula>
    </cfRule>
  </conditionalFormatting>
  <conditionalFormatting sqref="E21:G21">
    <cfRule type="expression" priority="26" aboveAverage="0" equalAverage="0" bottom="0" percent="0" rank="0" text="" dxfId="17">
      <formula>$E$22&gt;0</formula>
    </cfRule>
  </conditionalFormatting>
  <conditionalFormatting sqref="I22:K24">
    <cfRule type="expression" priority="27" aboveAverage="0" equalAverage="0" bottom="0" percent="0" rank="0" text="" dxfId="18">
      <formula>$I$22&gt;0</formula>
    </cfRule>
  </conditionalFormatting>
  <conditionalFormatting sqref="I21:K21">
    <cfRule type="expression" priority="28" aboveAverage="0" equalAverage="0" bottom="0" percent="0" rank="0" text="" dxfId="19">
      <formula>$I$22&gt;0</formula>
    </cfRule>
  </conditionalFormatting>
  <conditionalFormatting sqref="A39:L40">
    <cfRule type="expression" priority="29" aboveAverage="0" equalAverage="0" bottom="0" percent="0" rank="0" text="" dxfId="20">
      <formula>LEFT($A$39,10)="Check prin"</formula>
    </cfRule>
  </conditionalFormatting>
  <printOptions headings="false" gridLines="false" gridLinesSet="true" horizontalCentered="true" verticalCentered="false"/>
  <pageMargins left="0.35" right="0.35" top="0.35" bottom="0.4" header="0.511811023622047" footer="0.15"/>
  <pageSetup paperSize="1" scale="100" fitToWidth="1" fitToHeight="1" pageOrder="downThenOver" orientation="landscape" blackAndWhite="false" draft="false" cellComments="none" horizontalDpi="300" verticalDpi="300" copies="1"/>
  <headerFooter differentFirst="false" differentOddEven="false">
    <oddHeader/>
    <oddFooter>&amp;L&amp;"Calibri"&amp;11&amp;K000000Dashboard&amp;R&amp;"Calibri"&amp;11&amp;K000000Page &amp;P of &amp;N</oddFooter>
  </headerFooter>
  <drawing r:id="rId1"/>
</worksheet>
</file>

<file path=xl/worksheets/sheet4.xml><?xml version="1.0" encoding="utf-8"?>
<worksheet xmlns="http://schemas.openxmlformats.org/spreadsheetml/2006/main" xmlns:r="http://schemas.openxmlformats.org/officeDocument/2006/relationships">
  <sheetPr filterMode="false">
    <tabColor rgb="FF236D79"/>
    <pageSetUpPr fitToPage="true"/>
  </sheetPr>
  <dimension ref="A1:X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2" min="2" style="0" width="48.33"/>
    <col collapsed="false" customWidth="true" hidden="false" outlineLevel="0" max="3" min="3" style="0" width="18.34"/>
    <col collapsed="false" customWidth="true" hidden="false" outlineLevel="0" max="4" min="4" style="0" width="33.89"/>
    <col collapsed="false" customWidth="true" hidden="false" outlineLevel="0" max="5" min="5" style="0" width="8.89"/>
    <col collapsed="false" customWidth="true" hidden="false" outlineLevel="0" max="6" min="6" style="0" width="19.44"/>
    <col collapsed="false" customWidth="true" hidden="false" outlineLevel="0" max="7" min="7" style="0" width="26.11"/>
    <col collapsed="false" customWidth="true" hidden="false" outlineLevel="0" max="8" min="8" style="0" width="12.44"/>
    <col collapsed="false" customWidth="true" hidden="false" outlineLevel="0" max="9" min="9" style="0" width="12.22"/>
    <col collapsed="false" customWidth="true" hidden="false" outlineLevel="0" max="10" min="10" style="0" width="25"/>
    <col collapsed="false" customWidth="true" hidden="false" outlineLevel="0" max="11" min="11" style="0" width="20.56"/>
    <col collapsed="false" customWidth="true" hidden="false" outlineLevel="0" max="12" min="12" style="0" width="19.44"/>
    <col collapsed="false" customWidth="true" hidden="false" outlineLevel="0" max="13" min="13" style="0" width="22.22"/>
    <col collapsed="false" customWidth="true" hidden="true" outlineLevel="1" max="14" min="14" style="0" width="14.44"/>
    <col collapsed="false" customWidth="true" hidden="true" outlineLevel="1" max="15" min="15" style="0" width="16.11"/>
    <col collapsed="false" customWidth="true" hidden="true" outlineLevel="1" max="17" min="16" style="0" width="12.78"/>
    <col collapsed="false" customWidth="true" hidden="true" outlineLevel="1" max="18" min="18" style="0" width="14.44"/>
    <col collapsed="false" customWidth="true" hidden="true" outlineLevel="1" max="19" min="19" style="0" width="16.67"/>
    <col collapsed="false" customWidth="true" hidden="true" outlineLevel="1" max="20" min="20" style="0" width="12.78"/>
    <col collapsed="false" customWidth="true" hidden="true" outlineLevel="1" max="21" min="21" style="0" width="25"/>
    <col collapsed="false" customWidth="true" hidden="true" outlineLevel="1" max="22" min="22" style="0" width="33.33"/>
    <col collapsed="false" customWidth="true" hidden="true" outlineLevel="1" max="23" min="23" style="0" width="9.44"/>
    <col collapsed="false" customWidth="true" hidden="true" outlineLevel="1" max="24" min="24" style="0" width="15"/>
  </cols>
  <sheetData>
    <row r="1" customFormat="false" ht="23" hidden="false" customHeight="true" outlineLevel="0" collapsed="false">
      <c r="A1" s="28" t="s">
        <v>68</v>
      </c>
      <c r="B1" s="28" t="s">
        <v>68</v>
      </c>
      <c r="C1" s="28" t="s">
        <v>68</v>
      </c>
      <c r="D1" s="29"/>
      <c r="E1" s="29"/>
      <c r="F1" s="29"/>
      <c r="G1" s="29"/>
      <c r="H1" s="29"/>
      <c r="I1" s="29"/>
      <c r="J1" s="29"/>
      <c r="K1" s="29"/>
      <c r="L1" s="29"/>
      <c r="M1" s="29"/>
      <c r="N1" s="29"/>
      <c r="O1" s="29"/>
      <c r="P1" s="29"/>
      <c r="Q1" s="29"/>
      <c r="R1" s="29"/>
      <c r="S1" s="29"/>
      <c r="T1" s="29"/>
      <c r="U1" s="29"/>
      <c r="V1" s="29"/>
      <c r="W1" s="29"/>
      <c r="X1" s="29"/>
    </row>
    <row r="2" customFormat="false" ht="23" hidden="false" customHeight="true" outlineLevel="0" collapsed="false">
      <c r="A2" s="28" t="s">
        <v>68</v>
      </c>
      <c r="B2" s="28" t="s">
        <v>68</v>
      </c>
      <c r="C2" s="28" t="s">
        <v>68</v>
      </c>
      <c r="D2" s="29"/>
      <c r="E2" s="29"/>
      <c r="F2" s="29"/>
      <c r="G2" s="29"/>
      <c r="H2" s="29"/>
      <c r="I2" s="29"/>
      <c r="J2" s="29"/>
      <c r="K2" s="29"/>
      <c r="L2" s="29"/>
      <c r="M2" s="29"/>
      <c r="N2" s="29"/>
      <c r="O2" s="29"/>
      <c r="P2" s="29"/>
      <c r="Q2" s="29"/>
      <c r="R2" s="29"/>
      <c r="S2" s="29"/>
      <c r="T2" s="29"/>
      <c r="U2" s="29"/>
      <c r="V2" s="29"/>
      <c r="W2" s="29"/>
      <c r="X2" s="29"/>
    </row>
    <row r="3" customFormat="false" ht="22" hidden="false" customHeight="true" outlineLevel="0" collapsed="false">
      <c r="A3" s="11" t="s">
        <v>69</v>
      </c>
      <c r="B3" s="11" t="s">
        <v>69</v>
      </c>
      <c r="C3" s="11" t="s">
        <v>69</v>
      </c>
      <c r="D3" s="29"/>
      <c r="E3" s="29"/>
      <c r="F3" s="29"/>
      <c r="G3" s="29"/>
      <c r="H3" s="29"/>
      <c r="I3" s="29"/>
      <c r="J3" s="29"/>
      <c r="K3" s="29"/>
      <c r="L3" s="29"/>
      <c r="M3" s="29"/>
      <c r="N3" s="29"/>
      <c r="O3" s="29"/>
      <c r="P3" s="29"/>
      <c r="Q3" s="29"/>
      <c r="R3" s="29"/>
      <c r="S3" s="29"/>
      <c r="T3" s="29"/>
      <c r="U3" s="29"/>
      <c r="V3" s="29"/>
      <c r="W3" s="29"/>
      <c r="X3" s="29"/>
    </row>
    <row r="4" customFormat="false" ht="22" hidden="false" customHeight="true" outlineLevel="0" collapsed="false">
      <c r="A4" s="11" t="s">
        <v>69</v>
      </c>
      <c r="B4" s="11" t="s">
        <v>69</v>
      </c>
      <c r="C4" s="11" t="s">
        <v>69</v>
      </c>
      <c r="D4" s="29"/>
      <c r="E4" s="29"/>
      <c r="F4" s="29"/>
      <c r="G4" s="29"/>
      <c r="H4" s="29"/>
      <c r="I4" s="29"/>
      <c r="J4" s="29"/>
      <c r="K4" s="29"/>
      <c r="L4" s="29"/>
      <c r="M4" s="29"/>
      <c r="N4" s="29"/>
      <c r="O4" s="29"/>
      <c r="P4" s="29"/>
      <c r="Q4" s="29"/>
      <c r="R4" s="29"/>
      <c r="S4" s="29"/>
      <c r="T4" s="29"/>
      <c r="U4" s="29"/>
      <c r="V4" s="29"/>
      <c r="W4" s="29"/>
      <c r="X4" s="29"/>
    </row>
    <row r="5" customFormat="false" ht="22" hidden="false" customHeight="true" outlineLevel="0" collapsed="false">
      <c r="A5" s="11" t="s">
        <v>69</v>
      </c>
      <c r="B5" s="11" t="s">
        <v>69</v>
      </c>
      <c r="C5" s="11" t="s">
        <v>69</v>
      </c>
      <c r="D5" s="29"/>
      <c r="E5" s="29"/>
      <c r="F5" s="29"/>
      <c r="G5" s="29"/>
      <c r="H5" s="29"/>
      <c r="I5" s="29"/>
      <c r="J5" s="29"/>
      <c r="K5" s="29"/>
      <c r="L5" s="29"/>
      <c r="M5" s="29"/>
      <c r="N5" s="29"/>
      <c r="O5" s="29"/>
      <c r="P5" s="29"/>
      <c r="Q5" s="29"/>
      <c r="R5" s="29"/>
      <c r="S5" s="29"/>
      <c r="T5" s="29"/>
      <c r="U5" s="29"/>
      <c r="V5" s="29"/>
      <c r="W5" s="29"/>
      <c r="X5" s="29"/>
    </row>
    <row r="6" customFormat="false" ht="44" hidden="false" customHeight="true" outlineLevel="0" collapsed="false">
      <c r="A6" s="29"/>
      <c r="B6" s="29"/>
      <c r="C6" s="29"/>
      <c r="D6" s="29"/>
      <c r="E6" s="29"/>
      <c r="F6" s="29"/>
      <c r="G6" s="29"/>
      <c r="H6" s="29"/>
      <c r="I6" s="29"/>
      <c r="J6" s="29"/>
      <c r="K6" s="29"/>
      <c r="L6" s="29"/>
      <c r="M6" s="29"/>
      <c r="N6" s="29"/>
      <c r="O6" s="29"/>
      <c r="P6" s="29"/>
      <c r="Q6" s="29"/>
      <c r="R6" s="29"/>
      <c r="S6" s="29"/>
      <c r="T6" s="29"/>
      <c r="U6" s="29"/>
      <c r="V6" s="29"/>
      <c r="W6" s="29"/>
      <c r="X6" s="29"/>
    </row>
    <row r="7" customFormat="false" ht="42" hidden="false" customHeight="true" outlineLevel="0" collapsed="false">
      <c r="A7" s="30" t="s">
        <v>70</v>
      </c>
      <c r="B7" s="30" t="s">
        <v>71</v>
      </c>
      <c r="C7" s="30" t="s">
        <v>72</v>
      </c>
      <c r="D7" s="30" t="s">
        <v>73</v>
      </c>
      <c r="E7" s="30" t="s">
        <v>74</v>
      </c>
      <c r="F7" s="30" t="s">
        <v>75</v>
      </c>
      <c r="G7" s="30" t="s">
        <v>76</v>
      </c>
      <c r="H7" s="30" t="s">
        <v>77</v>
      </c>
      <c r="I7" s="30" t="s">
        <v>78</v>
      </c>
      <c r="J7" s="30" t="s">
        <v>79</v>
      </c>
      <c r="K7" s="30" t="s">
        <v>80</v>
      </c>
      <c r="L7" s="30" t="s">
        <v>81</v>
      </c>
      <c r="M7" s="30" t="s">
        <v>82</v>
      </c>
      <c r="N7" s="30" t="s">
        <v>83</v>
      </c>
      <c r="O7" s="30" t="s">
        <v>84</v>
      </c>
      <c r="P7" s="30" t="s">
        <v>85</v>
      </c>
      <c r="Q7" s="30" t="s">
        <v>86</v>
      </c>
      <c r="R7" s="30" t="s">
        <v>87</v>
      </c>
      <c r="S7" s="30" t="s">
        <v>88</v>
      </c>
      <c r="T7" s="30" t="s">
        <v>89</v>
      </c>
      <c r="U7" s="30" t="s">
        <v>90</v>
      </c>
      <c r="V7" s="30" t="s">
        <v>91</v>
      </c>
      <c r="W7" s="30" t="s">
        <v>92</v>
      </c>
      <c r="X7" s="30" t="s">
        <v>93</v>
      </c>
    </row>
    <row r="8" customFormat="false" ht="44" hidden="false" customHeight="true" outlineLevel="0" collapsed="false">
      <c r="A8" s="31"/>
      <c r="B8" s="32"/>
      <c r="C8" s="32"/>
      <c r="D8" s="33"/>
      <c r="E8" s="33"/>
      <c r="F8" s="33"/>
      <c r="G8" s="33"/>
      <c r="H8" s="34"/>
      <c r="I8" s="34"/>
      <c r="J8" s="34"/>
      <c r="K8" s="34"/>
      <c r="L8" s="34"/>
      <c r="M8" s="35" t="str">
        <f aca="false">IF(A8="",IF(SUMPRODUCT(--(B8:L8&lt;&gt;""))+SUMPRODUCT(--(N8:X8&lt;&gt;""))&gt;0,"Missing ID",""),IF(COUNTIF($A$8:$A$307,A8)&gt;1,"Duplicate ID",IF(OR(B8="",C8="",V8="",W8=""),"Source incomplete",IF(AND(H8&lt;&gt;"Pass",H8&lt;&gt;"Fail",H8&lt;&gt;"Unresolved"),"Choose compliance",IF(AND(I8&lt;&gt;"Not started",I8&lt;&gt;"In progress",I8&lt;&gt;"In review",I8&lt;&gt;"Complete"),"Choose progress",IF(AND(OR(H8="Pass",I8="Complete"),OR(J8="",K8="",L8="")),"Evidence or file missing",""))))))</f>
        <v/>
      </c>
      <c r="N8" s="33"/>
      <c r="O8" s="33"/>
      <c r="P8" s="33"/>
      <c r="Q8" s="33"/>
      <c r="R8" s="33"/>
      <c r="S8" s="33"/>
      <c r="T8" s="33"/>
      <c r="U8" s="33"/>
      <c r="V8" s="33"/>
      <c r="W8" s="33"/>
      <c r="X8" s="33"/>
    </row>
    <row r="9" customFormat="false" ht="44" hidden="false" customHeight="true" outlineLevel="0" collapsed="false">
      <c r="A9" s="36"/>
      <c r="B9" s="37"/>
      <c r="C9" s="37"/>
      <c r="D9" s="38"/>
      <c r="E9" s="38"/>
      <c r="F9" s="38"/>
      <c r="G9" s="38"/>
      <c r="H9" s="34"/>
      <c r="I9" s="34"/>
      <c r="J9" s="34"/>
      <c r="K9" s="34"/>
      <c r="L9" s="34"/>
      <c r="M9" s="35" t="str">
        <f aca="false">IF(A9="",IF(SUMPRODUCT(--(B9:L9&lt;&gt;""))+SUMPRODUCT(--(N9:X9&lt;&gt;""))&gt;0,"Missing ID",""),IF(COUNTIF($A$8:$A$307,A9)&gt;1,"Duplicate ID",IF(OR(B9="",C9="",V9="",W9=""),"Source incomplete",IF(AND(H9&lt;&gt;"Pass",H9&lt;&gt;"Fail",H9&lt;&gt;"Unresolved"),"Choose compliance",IF(AND(I9&lt;&gt;"Not started",I9&lt;&gt;"In progress",I9&lt;&gt;"In review",I9&lt;&gt;"Complete"),"Choose progress",IF(AND(OR(H9="Pass",I9="Complete"),OR(J9="",K9="",L9="")),"Evidence or file missing",""))))))</f>
        <v/>
      </c>
      <c r="N9" s="38"/>
      <c r="O9" s="38"/>
      <c r="P9" s="38"/>
      <c r="Q9" s="38"/>
      <c r="R9" s="38"/>
      <c r="S9" s="38"/>
      <c r="T9" s="38"/>
      <c r="U9" s="38"/>
      <c r="V9" s="38"/>
      <c r="W9" s="38"/>
      <c r="X9" s="38"/>
    </row>
    <row r="10" customFormat="false" ht="44" hidden="false" customHeight="true" outlineLevel="0" collapsed="false">
      <c r="A10" s="31"/>
      <c r="B10" s="32"/>
      <c r="C10" s="32"/>
      <c r="D10" s="33"/>
      <c r="E10" s="33"/>
      <c r="F10" s="33"/>
      <c r="G10" s="33"/>
      <c r="H10" s="34"/>
      <c r="I10" s="34"/>
      <c r="J10" s="34"/>
      <c r="K10" s="34"/>
      <c r="L10" s="34"/>
      <c r="M10" s="35" t="str">
        <f aca="false">IF(A10="",IF(SUMPRODUCT(--(B10:L10&lt;&gt;""))+SUMPRODUCT(--(N10:X10&lt;&gt;""))&gt;0,"Missing ID",""),IF(COUNTIF($A$8:$A$307,A10)&gt;1,"Duplicate ID",IF(OR(B10="",C10="",V10="",W10=""),"Source incomplete",IF(AND(H10&lt;&gt;"Pass",H10&lt;&gt;"Fail",H10&lt;&gt;"Unresolved"),"Choose compliance",IF(AND(I10&lt;&gt;"Not started",I10&lt;&gt;"In progress",I10&lt;&gt;"In review",I10&lt;&gt;"Complete"),"Choose progress",IF(AND(OR(H10="Pass",I10="Complete"),OR(J10="",K10="",L10="")),"Evidence or file missing",""))))))</f>
        <v/>
      </c>
      <c r="N10" s="33"/>
      <c r="O10" s="33"/>
      <c r="P10" s="33"/>
      <c r="Q10" s="33"/>
      <c r="R10" s="33"/>
      <c r="S10" s="33"/>
      <c r="T10" s="33"/>
      <c r="U10" s="33"/>
      <c r="V10" s="33"/>
      <c r="W10" s="33"/>
      <c r="X10" s="33"/>
    </row>
    <row r="11" customFormat="false" ht="44" hidden="false" customHeight="true" outlineLevel="0" collapsed="false">
      <c r="A11" s="36"/>
      <c r="B11" s="37"/>
      <c r="C11" s="37"/>
      <c r="D11" s="38"/>
      <c r="E11" s="38"/>
      <c r="F11" s="38"/>
      <c r="G11" s="38"/>
      <c r="H11" s="34"/>
      <c r="I11" s="34"/>
      <c r="J11" s="34"/>
      <c r="K11" s="34"/>
      <c r="L11" s="34"/>
      <c r="M11" s="35" t="str">
        <f aca="false">IF(A11="",IF(SUMPRODUCT(--(B11:L11&lt;&gt;""))+SUMPRODUCT(--(N11:X11&lt;&gt;""))&gt;0,"Missing ID",""),IF(COUNTIF($A$8:$A$307,A11)&gt;1,"Duplicate ID",IF(OR(B11="",C11="",V11="",W11=""),"Source incomplete",IF(AND(H11&lt;&gt;"Pass",H11&lt;&gt;"Fail",H11&lt;&gt;"Unresolved"),"Choose compliance",IF(AND(I11&lt;&gt;"Not started",I11&lt;&gt;"In progress",I11&lt;&gt;"In review",I11&lt;&gt;"Complete"),"Choose progress",IF(AND(OR(H11="Pass",I11="Complete"),OR(J11="",K11="",L11="")),"Evidence or file missing",""))))))</f>
        <v/>
      </c>
      <c r="N11" s="38"/>
      <c r="O11" s="38"/>
      <c r="P11" s="38"/>
      <c r="Q11" s="38"/>
      <c r="R11" s="38"/>
      <c r="S11" s="38"/>
      <c r="T11" s="38"/>
      <c r="U11" s="38"/>
      <c r="V11" s="38"/>
      <c r="W11" s="38"/>
      <c r="X11" s="38"/>
    </row>
    <row r="12" customFormat="false" ht="44" hidden="false" customHeight="true" outlineLevel="0" collapsed="false">
      <c r="A12" s="31"/>
      <c r="B12" s="32"/>
      <c r="C12" s="32"/>
      <c r="D12" s="33"/>
      <c r="E12" s="33"/>
      <c r="F12" s="33"/>
      <c r="G12" s="33"/>
      <c r="H12" s="34"/>
      <c r="I12" s="34"/>
      <c r="J12" s="34"/>
      <c r="K12" s="34"/>
      <c r="L12" s="34"/>
      <c r="M12" s="35" t="str">
        <f aca="false">IF(A12="",IF(SUMPRODUCT(--(B12:L12&lt;&gt;""))+SUMPRODUCT(--(N12:X12&lt;&gt;""))&gt;0,"Missing ID",""),IF(COUNTIF($A$8:$A$307,A12)&gt;1,"Duplicate ID",IF(OR(B12="",C12="",V12="",W12=""),"Source incomplete",IF(AND(H12&lt;&gt;"Pass",H12&lt;&gt;"Fail",H12&lt;&gt;"Unresolved"),"Choose compliance",IF(AND(I12&lt;&gt;"Not started",I12&lt;&gt;"In progress",I12&lt;&gt;"In review",I12&lt;&gt;"Complete"),"Choose progress",IF(AND(OR(H12="Pass",I12="Complete"),OR(J12="",K12="",L12="")),"Evidence or file missing",""))))))</f>
        <v/>
      </c>
      <c r="N12" s="33"/>
      <c r="O12" s="33"/>
      <c r="P12" s="33"/>
      <c r="Q12" s="33"/>
      <c r="R12" s="33"/>
      <c r="S12" s="33"/>
      <c r="T12" s="33"/>
      <c r="U12" s="33"/>
      <c r="V12" s="33"/>
      <c r="W12" s="33"/>
      <c r="X12" s="33"/>
    </row>
    <row r="13" customFormat="false" ht="44" hidden="false" customHeight="true" outlineLevel="0" collapsed="false">
      <c r="A13" s="36"/>
      <c r="B13" s="37"/>
      <c r="C13" s="37"/>
      <c r="D13" s="38"/>
      <c r="E13" s="38"/>
      <c r="F13" s="38"/>
      <c r="G13" s="38"/>
      <c r="H13" s="34"/>
      <c r="I13" s="34"/>
      <c r="J13" s="34"/>
      <c r="K13" s="34"/>
      <c r="L13" s="34"/>
      <c r="M13" s="35" t="str">
        <f aca="false">IF(A13="",IF(SUMPRODUCT(--(B13:L13&lt;&gt;""))+SUMPRODUCT(--(N13:X13&lt;&gt;""))&gt;0,"Missing ID",""),IF(COUNTIF($A$8:$A$307,A13)&gt;1,"Duplicate ID",IF(OR(B13="",C13="",V13="",W13=""),"Source incomplete",IF(AND(H13&lt;&gt;"Pass",H13&lt;&gt;"Fail",H13&lt;&gt;"Unresolved"),"Choose compliance",IF(AND(I13&lt;&gt;"Not started",I13&lt;&gt;"In progress",I13&lt;&gt;"In review",I13&lt;&gt;"Complete"),"Choose progress",IF(AND(OR(H13="Pass",I13="Complete"),OR(J13="",K13="",L13="")),"Evidence or file missing",""))))))</f>
        <v/>
      </c>
      <c r="N13" s="38"/>
      <c r="O13" s="38"/>
      <c r="P13" s="38"/>
      <c r="Q13" s="38"/>
      <c r="R13" s="38"/>
      <c r="S13" s="38"/>
      <c r="T13" s="38"/>
      <c r="U13" s="38"/>
      <c r="V13" s="38"/>
      <c r="W13" s="38"/>
      <c r="X13" s="38"/>
    </row>
    <row r="14" customFormat="false" ht="44" hidden="false" customHeight="true" outlineLevel="0" collapsed="false">
      <c r="A14" s="31"/>
      <c r="B14" s="32"/>
      <c r="C14" s="32"/>
      <c r="D14" s="33"/>
      <c r="E14" s="33"/>
      <c r="F14" s="33"/>
      <c r="G14" s="33"/>
      <c r="H14" s="34"/>
      <c r="I14" s="34"/>
      <c r="J14" s="34"/>
      <c r="K14" s="34"/>
      <c r="L14" s="34"/>
      <c r="M14" s="35" t="str">
        <f aca="false">IF(A14="",IF(SUMPRODUCT(--(B14:L14&lt;&gt;""))+SUMPRODUCT(--(N14:X14&lt;&gt;""))&gt;0,"Missing ID",""),IF(COUNTIF($A$8:$A$307,A14)&gt;1,"Duplicate ID",IF(OR(B14="",C14="",V14="",W14=""),"Source incomplete",IF(AND(H14&lt;&gt;"Pass",H14&lt;&gt;"Fail",H14&lt;&gt;"Unresolved"),"Choose compliance",IF(AND(I14&lt;&gt;"Not started",I14&lt;&gt;"In progress",I14&lt;&gt;"In review",I14&lt;&gt;"Complete"),"Choose progress",IF(AND(OR(H14="Pass",I14="Complete"),OR(J14="",K14="",L14="")),"Evidence or file missing",""))))))</f>
        <v/>
      </c>
      <c r="N14" s="33"/>
      <c r="O14" s="33"/>
      <c r="P14" s="33"/>
      <c r="Q14" s="33"/>
      <c r="R14" s="33"/>
      <c r="S14" s="33"/>
      <c r="T14" s="33"/>
      <c r="U14" s="33"/>
      <c r="V14" s="33"/>
      <c r="W14" s="33"/>
      <c r="X14" s="33"/>
    </row>
    <row r="15" customFormat="false" ht="44" hidden="false" customHeight="true" outlineLevel="0" collapsed="false">
      <c r="A15" s="36"/>
      <c r="B15" s="37"/>
      <c r="C15" s="37"/>
      <c r="D15" s="38"/>
      <c r="E15" s="38"/>
      <c r="F15" s="38"/>
      <c r="G15" s="38"/>
      <c r="H15" s="34"/>
      <c r="I15" s="34"/>
      <c r="J15" s="34"/>
      <c r="K15" s="34"/>
      <c r="L15" s="34"/>
      <c r="M15" s="35" t="str">
        <f aca="false">IF(A15="",IF(SUMPRODUCT(--(B15:L15&lt;&gt;""))+SUMPRODUCT(--(N15:X15&lt;&gt;""))&gt;0,"Missing ID",""),IF(COUNTIF($A$8:$A$307,A15)&gt;1,"Duplicate ID",IF(OR(B15="",C15="",V15="",W15=""),"Source incomplete",IF(AND(H15&lt;&gt;"Pass",H15&lt;&gt;"Fail",H15&lt;&gt;"Unresolved"),"Choose compliance",IF(AND(I15&lt;&gt;"Not started",I15&lt;&gt;"In progress",I15&lt;&gt;"In review",I15&lt;&gt;"Complete"),"Choose progress",IF(AND(OR(H15="Pass",I15="Complete"),OR(J15="",K15="",L15="")),"Evidence or file missing",""))))))</f>
        <v/>
      </c>
      <c r="N15" s="38"/>
      <c r="O15" s="38"/>
      <c r="P15" s="38"/>
      <c r="Q15" s="38"/>
      <c r="R15" s="38"/>
      <c r="S15" s="38"/>
      <c r="T15" s="38"/>
      <c r="U15" s="38"/>
      <c r="V15" s="38"/>
      <c r="W15" s="38"/>
      <c r="X15" s="38"/>
    </row>
    <row r="16" customFormat="false" ht="44" hidden="false" customHeight="true" outlineLevel="0" collapsed="false">
      <c r="A16" s="29"/>
      <c r="B16" s="39"/>
      <c r="C16" s="39"/>
      <c r="D16" s="29"/>
      <c r="E16" s="29"/>
      <c r="F16" s="29"/>
      <c r="G16" s="29"/>
      <c r="H16" s="34"/>
      <c r="I16" s="34"/>
      <c r="J16" s="34"/>
      <c r="K16" s="34"/>
      <c r="L16" s="34"/>
      <c r="M16" s="35" t="str">
        <f aca="false">IF(A16="",IF(SUMPRODUCT(--(B16:L16&lt;&gt;""))+SUMPRODUCT(--(N16:X16&lt;&gt;""))&gt;0,"Missing ID",""),IF(COUNTIF($A$8:$A$307,A16)&gt;1,"Duplicate ID",IF(OR(B16="",C16="",V16="",W16=""),"Source incomplete",IF(AND(H16&lt;&gt;"Pass",H16&lt;&gt;"Fail",H16&lt;&gt;"Unresolved"),"Choose compliance",IF(AND(I16&lt;&gt;"Not started",I16&lt;&gt;"In progress",I16&lt;&gt;"In review",I16&lt;&gt;"Complete"),"Choose progress",IF(AND(OR(H16="Pass",I16="Complete"),OR(J16="",K16="",L16="")),"Evidence or file missing",""))))))</f>
        <v/>
      </c>
      <c r="N16" s="29"/>
      <c r="O16" s="29"/>
      <c r="P16" s="29"/>
      <c r="Q16" s="29"/>
      <c r="R16" s="29"/>
      <c r="S16" s="29"/>
      <c r="T16" s="29"/>
      <c r="U16" s="29"/>
      <c r="V16" s="29"/>
      <c r="W16" s="29"/>
      <c r="X16" s="29"/>
    </row>
    <row r="17" customFormat="false" ht="44" hidden="false" customHeight="true" outlineLevel="0" collapsed="false">
      <c r="A17" s="29"/>
      <c r="B17" s="39"/>
      <c r="C17" s="39"/>
      <c r="D17" s="29"/>
      <c r="E17" s="29"/>
      <c r="F17" s="29"/>
      <c r="G17" s="29"/>
      <c r="H17" s="34"/>
      <c r="I17" s="34"/>
      <c r="J17" s="34"/>
      <c r="K17" s="34"/>
      <c r="L17" s="34"/>
      <c r="M17" s="35" t="str">
        <f aca="false">IF(A17="",IF(SUMPRODUCT(--(B17:L17&lt;&gt;""))+SUMPRODUCT(--(N17:X17&lt;&gt;""))&gt;0,"Missing ID",""),IF(COUNTIF($A$8:$A$307,A17)&gt;1,"Duplicate ID",IF(OR(B17="",C17="",V17="",W17=""),"Source incomplete",IF(AND(H17&lt;&gt;"Pass",H17&lt;&gt;"Fail",H17&lt;&gt;"Unresolved"),"Choose compliance",IF(AND(I17&lt;&gt;"Not started",I17&lt;&gt;"In progress",I17&lt;&gt;"In review",I17&lt;&gt;"Complete"),"Choose progress",IF(AND(OR(H17="Pass",I17="Complete"),OR(J17="",K17="",L17="")),"Evidence or file missing",""))))))</f>
        <v/>
      </c>
      <c r="N17" s="29"/>
      <c r="O17" s="29"/>
      <c r="P17" s="29"/>
      <c r="Q17" s="29"/>
      <c r="R17" s="29"/>
      <c r="S17" s="29"/>
      <c r="T17" s="29"/>
      <c r="U17" s="29"/>
      <c r="V17" s="29"/>
      <c r="W17" s="29"/>
      <c r="X17" s="29"/>
    </row>
    <row r="18" customFormat="false" ht="44" hidden="false" customHeight="true" outlineLevel="0" collapsed="false">
      <c r="A18" s="29"/>
      <c r="B18" s="39"/>
      <c r="C18" s="39"/>
      <c r="D18" s="29"/>
      <c r="E18" s="29"/>
      <c r="F18" s="29"/>
      <c r="G18" s="29"/>
      <c r="H18" s="34"/>
      <c r="I18" s="34"/>
      <c r="J18" s="34"/>
      <c r="K18" s="34"/>
      <c r="L18" s="34"/>
      <c r="M18" s="35" t="str">
        <f aca="false">IF(A18="",IF(SUMPRODUCT(--(B18:L18&lt;&gt;""))+SUMPRODUCT(--(N18:X18&lt;&gt;""))&gt;0,"Missing ID",""),IF(COUNTIF($A$8:$A$307,A18)&gt;1,"Duplicate ID",IF(OR(B18="",C18="",V18="",W18=""),"Source incomplete",IF(AND(H18&lt;&gt;"Pass",H18&lt;&gt;"Fail",H18&lt;&gt;"Unresolved"),"Choose compliance",IF(AND(I18&lt;&gt;"Not started",I18&lt;&gt;"In progress",I18&lt;&gt;"In review",I18&lt;&gt;"Complete"),"Choose progress",IF(AND(OR(H18="Pass",I18="Complete"),OR(J18="",K18="",L18="")),"Evidence or file missing",""))))))</f>
        <v/>
      </c>
      <c r="N18" s="29"/>
      <c r="O18" s="29"/>
      <c r="P18" s="29"/>
      <c r="Q18" s="29"/>
      <c r="R18" s="29"/>
      <c r="S18" s="29"/>
      <c r="T18" s="29"/>
      <c r="U18" s="29"/>
      <c r="V18" s="29"/>
      <c r="W18" s="29"/>
      <c r="X18" s="29"/>
    </row>
    <row r="19" customFormat="false" ht="44" hidden="false" customHeight="true" outlineLevel="0" collapsed="false">
      <c r="A19" s="29"/>
      <c r="B19" s="39"/>
      <c r="C19" s="39"/>
      <c r="D19" s="29"/>
      <c r="E19" s="29"/>
      <c r="F19" s="29"/>
      <c r="G19" s="29"/>
      <c r="H19" s="34"/>
      <c r="I19" s="34"/>
      <c r="J19" s="34"/>
      <c r="K19" s="34"/>
      <c r="L19" s="34"/>
      <c r="M19" s="35" t="str">
        <f aca="false">IF(A19="",IF(SUMPRODUCT(--(B19:L19&lt;&gt;""))+SUMPRODUCT(--(N19:X19&lt;&gt;""))&gt;0,"Missing ID",""),IF(COUNTIF($A$8:$A$307,A19)&gt;1,"Duplicate ID",IF(OR(B19="",C19="",V19="",W19=""),"Source incomplete",IF(AND(H19&lt;&gt;"Pass",H19&lt;&gt;"Fail",H19&lt;&gt;"Unresolved"),"Choose compliance",IF(AND(I19&lt;&gt;"Not started",I19&lt;&gt;"In progress",I19&lt;&gt;"In review",I19&lt;&gt;"Complete"),"Choose progress",IF(AND(OR(H19="Pass",I19="Complete"),OR(J19="",K19="",L19="")),"Evidence or file missing",""))))))</f>
        <v/>
      </c>
      <c r="N19" s="29"/>
      <c r="O19" s="29"/>
      <c r="P19" s="29"/>
      <c r="Q19" s="29"/>
      <c r="R19" s="29"/>
      <c r="S19" s="29"/>
      <c r="T19" s="29"/>
      <c r="U19" s="29"/>
      <c r="V19" s="29"/>
      <c r="W19" s="29"/>
      <c r="X19" s="29"/>
    </row>
    <row r="20" customFormat="false" ht="44" hidden="false" customHeight="true" outlineLevel="0" collapsed="false">
      <c r="A20" s="29"/>
      <c r="B20" s="39"/>
      <c r="C20" s="39"/>
      <c r="D20" s="29"/>
      <c r="E20" s="29"/>
      <c r="F20" s="29"/>
      <c r="G20" s="29"/>
      <c r="H20" s="34"/>
      <c r="I20" s="34"/>
      <c r="J20" s="34"/>
      <c r="K20" s="34"/>
      <c r="L20" s="34"/>
      <c r="M20" s="35" t="str">
        <f aca="false">IF(A20="",IF(SUMPRODUCT(--(B20:L20&lt;&gt;""))+SUMPRODUCT(--(N20:X20&lt;&gt;""))&gt;0,"Missing ID",""),IF(COUNTIF($A$8:$A$307,A20)&gt;1,"Duplicate ID",IF(OR(B20="",C20="",V20="",W20=""),"Source incomplete",IF(AND(H20&lt;&gt;"Pass",H20&lt;&gt;"Fail",H20&lt;&gt;"Unresolved"),"Choose compliance",IF(AND(I20&lt;&gt;"Not started",I20&lt;&gt;"In progress",I20&lt;&gt;"In review",I20&lt;&gt;"Complete"),"Choose progress",IF(AND(OR(H20="Pass",I20="Complete"),OR(J20="",K20="",L20="")),"Evidence or file missing",""))))))</f>
        <v/>
      </c>
      <c r="N20" s="29"/>
      <c r="O20" s="29"/>
      <c r="P20" s="29"/>
      <c r="Q20" s="29"/>
      <c r="R20" s="29"/>
      <c r="S20" s="29"/>
      <c r="T20" s="29"/>
      <c r="U20" s="29"/>
      <c r="V20" s="29"/>
      <c r="W20" s="29"/>
      <c r="X20" s="29"/>
    </row>
    <row r="21" customFormat="false" ht="44" hidden="false" customHeight="true" outlineLevel="0" collapsed="false">
      <c r="A21" s="29"/>
      <c r="B21" s="39"/>
      <c r="C21" s="39"/>
      <c r="D21" s="29"/>
      <c r="E21" s="29"/>
      <c r="F21" s="29"/>
      <c r="G21" s="29"/>
      <c r="H21" s="34"/>
      <c r="I21" s="34"/>
      <c r="J21" s="34"/>
      <c r="K21" s="34"/>
      <c r="L21" s="34"/>
      <c r="M21" s="35" t="str">
        <f aca="false">IF(A21="",IF(SUMPRODUCT(--(B21:L21&lt;&gt;""))+SUMPRODUCT(--(N21:X21&lt;&gt;""))&gt;0,"Missing ID",""),IF(COUNTIF($A$8:$A$307,A21)&gt;1,"Duplicate ID",IF(OR(B21="",C21="",V21="",W21=""),"Source incomplete",IF(AND(H21&lt;&gt;"Pass",H21&lt;&gt;"Fail",H21&lt;&gt;"Unresolved"),"Choose compliance",IF(AND(I21&lt;&gt;"Not started",I21&lt;&gt;"In progress",I21&lt;&gt;"In review",I21&lt;&gt;"Complete"),"Choose progress",IF(AND(OR(H21="Pass",I21="Complete"),OR(J21="",K21="",L21="")),"Evidence or file missing",""))))))</f>
        <v/>
      </c>
      <c r="N21" s="29"/>
      <c r="O21" s="29"/>
      <c r="P21" s="29"/>
      <c r="Q21" s="29"/>
      <c r="R21" s="29"/>
      <c r="S21" s="29"/>
      <c r="T21" s="29"/>
      <c r="U21" s="29"/>
      <c r="V21" s="29"/>
      <c r="W21" s="29"/>
      <c r="X21" s="29"/>
    </row>
    <row r="22" customFormat="false" ht="44" hidden="false" customHeight="true" outlineLevel="0" collapsed="false">
      <c r="A22" s="29"/>
      <c r="B22" s="39"/>
      <c r="C22" s="39"/>
      <c r="D22" s="29"/>
      <c r="E22" s="29"/>
      <c r="F22" s="29"/>
      <c r="G22" s="29"/>
      <c r="H22" s="34"/>
      <c r="I22" s="34"/>
      <c r="J22" s="34"/>
      <c r="K22" s="34"/>
      <c r="L22" s="34"/>
      <c r="M22" s="35" t="str">
        <f aca="false">IF(A22="",IF(SUMPRODUCT(--(B22:L22&lt;&gt;""))+SUMPRODUCT(--(N22:X22&lt;&gt;""))&gt;0,"Missing ID",""),IF(COUNTIF($A$8:$A$307,A22)&gt;1,"Duplicate ID",IF(OR(B22="",C22="",V22="",W22=""),"Source incomplete",IF(AND(H22&lt;&gt;"Pass",H22&lt;&gt;"Fail",H22&lt;&gt;"Unresolved"),"Choose compliance",IF(AND(I22&lt;&gt;"Not started",I22&lt;&gt;"In progress",I22&lt;&gt;"In review",I22&lt;&gt;"Complete"),"Choose progress",IF(AND(OR(H22="Pass",I22="Complete"),OR(J22="",K22="",L22="")),"Evidence or file missing",""))))))</f>
        <v/>
      </c>
      <c r="N22" s="29"/>
      <c r="O22" s="29"/>
      <c r="P22" s="29"/>
      <c r="Q22" s="29"/>
      <c r="R22" s="29"/>
      <c r="S22" s="29"/>
      <c r="T22" s="29"/>
      <c r="U22" s="29"/>
      <c r="V22" s="29"/>
      <c r="W22" s="29"/>
      <c r="X22" s="29"/>
    </row>
    <row r="23" customFormat="false" ht="44" hidden="false" customHeight="true" outlineLevel="0" collapsed="false">
      <c r="A23" s="29"/>
      <c r="B23" s="39"/>
      <c r="C23" s="39"/>
      <c r="D23" s="29"/>
      <c r="E23" s="29"/>
      <c r="F23" s="29"/>
      <c r="G23" s="29"/>
      <c r="H23" s="34"/>
      <c r="I23" s="34"/>
      <c r="J23" s="34"/>
      <c r="K23" s="34"/>
      <c r="L23" s="34"/>
      <c r="M23" s="35" t="str">
        <f aca="false">IF(A23="",IF(SUMPRODUCT(--(B23:L23&lt;&gt;""))+SUMPRODUCT(--(N23:X23&lt;&gt;""))&gt;0,"Missing ID",""),IF(COUNTIF($A$8:$A$307,A23)&gt;1,"Duplicate ID",IF(OR(B23="",C23="",V23="",W23=""),"Source incomplete",IF(AND(H23&lt;&gt;"Pass",H23&lt;&gt;"Fail",H23&lt;&gt;"Unresolved"),"Choose compliance",IF(AND(I23&lt;&gt;"Not started",I23&lt;&gt;"In progress",I23&lt;&gt;"In review",I23&lt;&gt;"Complete"),"Choose progress",IF(AND(OR(H23="Pass",I23="Complete"),OR(J23="",K23="",L23="")),"Evidence or file missing",""))))))</f>
        <v/>
      </c>
      <c r="N23" s="29"/>
      <c r="O23" s="29"/>
      <c r="P23" s="29"/>
      <c r="Q23" s="29"/>
      <c r="R23" s="29"/>
      <c r="S23" s="29"/>
      <c r="T23" s="29"/>
      <c r="U23" s="29"/>
      <c r="V23" s="29"/>
      <c r="W23" s="29"/>
      <c r="X23" s="29"/>
    </row>
    <row r="24" customFormat="false" ht="44" hidden="false" customHeight="true" outlineLevel="0" collapsed="false">
      <c r="A24" s="29"/>
      <c r="B24" s="39"/>
      <c r="C24" s="39"/>
      <c r="D24" s="29"/>
      <c r="E24" s="29"/>
      <c r="F24" s="29"/>
      <c r="G24" s="29"/>
      <c r="H24" s="34"/>
      <c r="I24" s="34"/>
      <c r="J24" s="34"/>
      <c r="K24" s="34"/>
      <c r="L24" s="34"/>
      <c r="M24" s="35" t="str">
        <f aca="false">IF(A24="",IF(SUMPRODUCT(--(B24:L24&lt;&gt;""))+SUMPRODUCT(--(N24:X24&lt;&gt;""))&gt;0,"Missing ID",""),IF(COUNTIF($A$8:$A$307,A24)&gt;1,"Duplicate ID",IF(OR(B24="",C24="",V24="",W24=""),"Source incomplete",IF(AND(H24&lt;&gt;"Pass",H24&lt;&gt;"Fail",H24&lt;&gt;"Unresolved"),"Choose compliance",IF(AND(I24&lt;&gt;"Not started",I24&lt;&gt;"In progress",I24&lt;&gt;"In review",I24&lt;&gt;"Complete"),"Choose progress",IF(AND(OR(H24="Pass",I24="Complete"),OR(J24="",K24="",L24="")),"Evidence or file missing",""))))))</f>
        <v/>
      </c>
      <c r="N24" s="29"/>
      <c r="O24" s="29"/>
      <c r="P24" s="29"/>
      <c r="Q24" s="29"/>
      <c r="R24" s="29"/>
      <c r="S24" s="29"/>
      <c r="T24" s="29"/>
      <c r="U24" s="29"/>
      <c r="V24" s="29"/>
      <c r="W24" s="29"/>
      <c r="X24" s="29"/>
    </row>
    <row r="25" customFormat="false" ht="44" hidden="false" customHeight="true" outlineLevel="0" collapsed="false">
      <c r="A25" s="29"/>
      <c r="B25" s="39"/>
      <c r="C25" s="39"/>
      <c r="D25" s="29"/>
      <c r="E25" s="29"/>
      <c r="F25" s="29"/>
      <c r="G25" s="29"/>
      <c r="H25" s="34"/>
      <c r="I25" s="34"/>
      <c r="J25" s="34"/>
      <c r="K25" s="34"/>
      <c r="L25" s="34"/>
      <c r="M25" s="35" t="str">
        <f aca="false">IF(A25="",IF(SUMPRODUCT(--(B25:L25&lt;&gt;""))+SUMPRODUCT(--(N25:X25&lt;&gt;""))&gt;0,"Missing ID",""),IF(COUNTIF($A$8:$A$307,A25)&gt;1,"Duplicate ID",IF(OR(B25="",C25="",V25="",W25=""),"Source incomplete",IF(AND(H25&lt;&gt;"Pass",H25&lt;&gt;"Fail",H25&lt;&gt;"Unresolved"),"Choose compliance",IF(AND(I25&lt;&gt;"Not started",I25&lt;&gt;"In progress",I25&lt;&gt;"In review",I25&lt;&gt;"Complete"),"Choose progress",IF(AND(OR(H25="Pass",I25="Complete"),OR(J25="",K25="",L25="")),"Evidence or file missing",""))))))</f>
        <v/>
      </c>
      <c r="N25" s="29"/>
      <c r="O25" s="29"/>
      <c r="P25" s="29"/>
      <c r="Q25" s="29"/>
      <c r="R25" s="29"/>
      <c r="S25" s="29"/>
      <c r="T25" s="29"/>
      <c r="U25" s="29"/>
      <c r="V25" s="29"/>
      <c r="W25" s="29"/>
      <c r="X25" s="29"/>
    </row>
    <row r="26" customFormat="false" ht="44" hidden="false" customHeight="true" outlineLevel="0" collapsed="false">
      <c r="A26" s="29"/>
      <c r="B26" s="39"/>
      <c r="C26" s="39"/>
      <c r="D26" s="29"/>
      <c r="E26" s="29"/>
      <c r="F26" s="29"/>
      <c r="G26" s="29"/>
      <c r="H26" s="34"/>
      <c r="I26" s="34"/>
      <c r="J26" s="34"/>
      <c r="K26" s="34"/>
      <c r="L26" s="34"/>
      <c r="M26" s="35" t="str">
        <f aca="false">IF(A26="",IF(SUMPRODUCT(--(B26:L26&lt;&gt;""))+SUMPRODUCT(--(N26:X26&lt;&gt;""))&gt;0,"Missing ID",""),IF(COUNTIF($A$8:$A$307,A26)&gt;1,"Duplicate ID",IF(OR(B26="",C26="",V26="",W26=""),"Source incomplete",IF(AND(H26&lt;&gt;"Pass",H26&lt;&gt;"Fail",H26&lt;&gt;"Unresolved"),"Choose compliance",IF(AND(I26&lt;&gt;"Not started",I26&lt;&gt;"In progress",I26&lt;&gt;"In review",I26&lt;&gt;"Complete"),"Choose progress",IF(AND(OR(H26="Pass",I26="Complete"),OR(J26="",K26="",L26="")),"Evidence or file missing",""))))))</f>
        <v/>
      </c>
      <c r="N26" s="29"/>
      <c r="O26" s="29"/>
      <c r="P26" s="29"/>
      <c r="Q26" s="29"/>
      <c r="R26" s="29"/>
      <c r="S26" s="29"/>
      <c r="T26" s="29"/>
      <c r="U26" s="29"/>
      <c r="V26" s="29"/>
      <c r="W26" s="29"/>
      <c r="X26" s="29"/>
    </row>
    <row r="27" customFormat="false" ht="44" hidden="false" customHeight="true" outlineLevel="0" collapsed="false">
      <c r="A27" s="29"/>
      <c r="B27" s="39"/>
      <c r="C27" s="39"/>
      <c r="D27" s="29"/>
      <c r="E27" s="29"/>
      <c r="F27" s="29"/>
      <c r="G27" s="29"/>
      <c r="H27" s="34"/>
      <c r="I27" s="34"/>
      <c r="J27" s="34"/>
      <c r="K27" s="34"/>
      <c r="L27" s="34"/>
      <c r="M27" s="35" t="str">
        <f aca="false">IF(A27="",IF(SUMPRODUCT(--(B27:L27&lt;&gt;""))+SUMPRODUCT(--(N27:X27&lt;&gt;""))&gt;0,"Missing ID",""),IF(COUNTIF($A$8:$A$307,A27)&gt;1,"Duplicate ID",IF(OR(B27="",C27="",V27="",W27=""),"Source incomplete",IF(AND(H27&lt;&gt;"Pass",H27&lt;&gt;"Fail",H27&lt;&gt;"Unresolved"),"Choose compliance",IF(AND(I27&lt;&gt;"Not started",I27&lt;&gt;"In progress",I27&lt;&gt;"In review",I27&lt;&gt;"Complete"),"Choose progress",IF(AND(OR(H27="Pass",I27="Complete"),OR(J27="",K27="",L27="")),"Evidence or file missing",""))))))</f>
        <v/>
      </c>
      <c r="N27" s="29"/>
      <c r="O27" s="29"/>
      <c r="P27" s="29"/>
      <c r="Q27" s="29"/>
      <c r="R27" s="29"/>
      <c r="S27" s="29"/>
      <c r="T27" s="29"/>
      <c r="U27" s="29"/>
      <c r="V27" s="29"/>
      <c r="W27" s="29"/>
      <c r="X27" s="29"/>
    </row>
    <row r="28" customFormat="false" ht="44" hidden="false" customHeight="true" outlineLevel="0" collapsed="false">
      <c r="A28" s="29"/>
      <c r="B28" s="39"/>
      <c r="C28" s="39"/>
      <c r="D28" s="29"/>
      <c r="E28" s="29"/>
      <c r="F28" s="29"/>
      <c r="G28" s="29"/>
      <c r="H28" s="34"/>
      <c r="I28" s="34"/>
      <c r="J28" s="34"/>
      <c r="K28" s="34"/>
      <c r="L28" s="34"/>
      <c r="M28" s="35" t="str">
        <f aca="false">IF(A28="",IF(SUMPRODUCT(--(B28:L28&lt;&gt;""))+SUMPRODUCT(--(N28:X28&lt;&gt;""))&gt;0,"Missing ID",""),IF(COUNTIF($A$8:$A$307,A28)&gt;1,"Duplicate ID",IF(OR(B28="",C28="",V28="",W28=""),"Source incomplete",IF(AND(H28&lt;&gt;"Pass",H28&lt;&gt;"Fail",H28&lt;&gt;"Unresolved"),"Choose compliance",IF(AND(I28&lt;&gt;"Not started",I28&lt;&gt;"In progress",I28&lt;&gt;"In review",I28&lt;&gt;"Complete"),"Choose progress",IF(AND(OR(H28="Pass",I28="Complete"),OR(J28="",K28="",L28="")),"Evidence or file missing",""))))))</f>
        <v/>
      </c>
      <c r="N28" s="29"/>
      <c r="O28" s="29"/>
      <c r="P28" s="29"/>
      <c r="Q28" s="29"/>
      <c r="R28" s="29"/>
      <c r="S28" s="29"/>
      <c r="T28" s="29"/>
      <c r="U28" s="29"/>
      <c r="V28" s="29"/>
      <c r="W28" s="29"/>
      <c r="X28" s="29"/>
    </row>
    <row r="29" customFormat="false" ht="44" hidden="false" customHeight="true" outlineLevel="0" collapsed="false">
      <c r="A29" s="29"/>
      <c r="B29" s="39"/>
      <c r="C29" s="39"/>
      <c r="D29" s="29"/>
      <c r="E29" s="29"/>
      <c r="F29" s="29"/>
      <c r="G29" s="29"/>
      <c r="H29" s="34"/>
      <c r="I29" s="34"/>
      <c r="J29" s="34"/>
      <c r="K29" s="34"/>
      <c r="L29" s="34"/>
      <c r="M29" s="35" t="str">
        <f aca="false">IF(A29="",IF(SUMPRODUCT(--(B29:L29&lt;&gt;""))+SUMPRODUCT(--(N29:X29&lt;&gt;""))&gt;0,"Missing ID",""),IF(COUNTIF($A$8:$A$307,A29)&gt;1,"Duplicate ID",IF(OR(B29="",C29="",V29="",W29=""),"Source incomplete",IF(AND(H29&lt;&gt;"Pass",H29&lt;&gt;"Fail",H29&lt;&gt;"Unresolved"),"Choose compliance",IF(AND(I29&lt;&gt;"Not started",I29&lt;&gt;"In progress",I29&lt;&gt;"In review",I29&lt;&gt;"Complete"),"Choose progress",IF(AND(OR(H29="Pass",I29="Complete"),OR(J29="",K29="",L29="")),"Evidence or file missing",""))))))</f>
        <v/>
      </c>
      <c r="N29" s="29"/>
      <c r="O29" s="29"/>
      <c r="P29" s="29"/>
      <c r="Q29" s="29"/>
      <c r="R29" s="29"/>
      <c r="S29" s="29"/>
      <c r="T29" s="29"/>
      <c r="U29" s="29"/>
      <c r="V29" s="29"/>
      <c r="W29" s="29"/>
      <c r="X29" s="29"/>
    </row>
    <row r="30" customFormat="false" ht="44" hidden="false" customHeight="true" outlineLevel="0" collapsed="false">
      <c r="A30" s="29"/>
      <c r="B30" s="39"/>
      <c r="C30" s="39"/>
      <c r="D30" s="29"/>
      <c r="E30" s="29"/>
      <c r="F30" s="29"/>
      <c r="G30" s="29"/>
      <c r="H30" s="34"/>
      <c r="I30" s="34"/>
      <c r="J30" s="34"/>
      <c r="K30" s="34"/>
      <c r="L30" s="34"/>
      <c r="M30" s="35" t="str">
        <f aca="false">IF(A30="",IF(SUMPRODUCT(--(B30:L30&lt;&gt;""))+SUMPRODUCT(--(N30:X30&lt;&gt;""))&gt;0,"Missing ID",""),IF(COUNTIF($A$8:$A$307,A30)&gt;1,"Duplicate ID",IF(OR(B30="",C30="",V30="",W30=""),"Source incomplete",IF(AND(H30&lt;&gt;"Pass",H30&lt;&gt;"Fail",H30&lt;&gt;"Unresolved"),"Choose compliance",IF(AND(I30&lt;&gt;"Not started",I30&lt;&gt;"In progress",I30&lt;&gt;"In review",I30&lt;&gt;"Complete"),"Choose progress",IF(AND(OR(H30="Pass",I30="Complete"),OR(J30="",K30="",L30="")),"Evidence or file missing",""))))))</f>
        <v/>
      </c>
      <c r="N30" s="29"/>
      <c r="O30" s="29"/>
      <c r="P30" s="29"/>
      <c r="Q30" s="29"/>
      <c r="R30" s="29"/>
      <c r="S30" s="29"/>
      <c r="T30" s="29"/>
      <c r="U30" s="29"/>
      <c r="V30" s="29"/>
      <c r="W30" s="29"/>
      <c r="X30" s="29"/>
    </row>
    <row r="31" customFormat="false" ht="44" hidden="false" customHeight="true" outlineLevel="0" collapsed="false">
      <c r="A31" s="29"/>
      <c r="B31" s="39"/>
      <c r="C31" s="39"/>
      <c r="D31" s="29"/>
      <c r="E31" s="29"/>
      <c r="F31" s="29"/>
      <c r="G31" s="29"/>
      <c r="H31" s="34"/>
      <c r="I31" s="34"/>
      <c r="J31" s="34"/>
      <c r="K31" s="34"/>
      <c r="L31" s="34"/>
      <c r="M31" s="35" t="str">
        <f aca="false">IF(A31="",IF(SUMPRODUCT(--(B31:L31&lt;&gt;""))+SUMPRODUCT(--(N31:X31&lt;&gt;""))&gt;0,"Missing ID",""),IF(COUNTIF($A$8:$A$307,A31)&gt;1,"Duplicate ID",IF(OR(B31="",C31="",V31="",W31=""),"Source incomplete",IF(AND(H31&lt;&gt;"Pass",H31&lt;&gt;"Fail",H31&lt;&gt;"Unresolved"),"Choose compliance",IF(AND(I31&lt;&gt;"Not started",I31&lt;&gt;"In progress",I31&lt;&gt;"In review",I31&lt;&gt;"Complete"),"Choose progress",IF(AND(OR(H31="Pass",I31="Complete"),OR(J31="",K31="",L31="")),"Evidence or file missing",""))))))</f>
        <v/>
      </c>
      <c r="N31" s="29"/>
      <c r="O31" s="29"/>
      <c r="P31" s="29"/>
      <c r="Q31" s="29"/>
      <c r="R31" s="29"/>
      <c r="S31" s="29"/>
      <c r="T31" s="29"/>
      <c r="U31" s="29"/>
      <c r="V31" s="29"/>
      <c r="W31" s="29"/>
      <c r="X31" s="29"/>
    </row>
    <row r="32" customFormat="false" ht="44" hidden="false" customHeight="true" outlineLevel="0" collapsed="false">
      <c r="A32" s="29"/>
      <c r="B32" s="39"/>
      <c r="C32" s="39"/>
      <c r="D32" s="29"/>
      <c r="E32" s="29"/>
      <c r="F32" s="29"/>
      <c r="G32" s="29"/>
      <c r="H32" s="34"/>
      <c r="I32" s="34"/>
      <c r="J32" s="34"/>
      <c r="K32" s="34"/>
      <c r="L32" s="34"/>
      <c r="M32" s="35" t="str">
        <f aca="false">IF(A32="",IF(SUMPRODUCT(--(B32:L32&lt;&gt;""))+SUMPRODUCT(--(N32:X32&lt;&gt;""))&gt;0,"Missing ID",""),IF(COUNTIF($A$8:$A$307,A32)&gt;1,"Duplicate ID",IF(OR(B32="",C32="",V32="",W32=""),"Source incomplete",IF(AND(H32&lt;&gt;"Pass",H32&lt;&gt;"Fail",H32&lt;&gt;"Unresolved"),"Choose compliance",IF(AND(I32&lt;&gt;"Not started",I32&lt;&gt;"In progress",I32&lt;&gt;"In review",I32&lt;&gt;"Complete"),"Choose progress",IF(AND(OR(H32="Pass",I32="Complete"),OR(J32="",K32="",L32="")),"Evidence or file missing",""))))))</f>
        <v/>
      </c>
      <c r="N32" s="29"/>
      <c r="O32" s="29"/>
      <c r="P32" s="29"/>
      <c r="Q32" s="29"/>
      <c r="R32" s="29"/>
      <c r="S32" s="29"/>
      <c r="T32" s="29"/>
      <c r="U32" s="29"/>
      <c r="V32" s="29"/>
      <c r="W32" s="29"/>
      <c r="X32" s="29"/>
    </row>
    <row r="33" customFormat="false" ht="44" hidden="false" customHeight="true" outlineLevel="0" collapsed="false">
      <c r="A33" s="29"/>
      <c r="B33" s="39"/>
      <c r="C33" s="39"/>
      <c r="D33" s="29"/>
      <c r="E33" s="29"/>
      <c r="F33" s="29"/>
      <c r="G33" s="29"/>
      <c r="H33" s="34"/>
      <c r="I33" s="34"/>
      <c r="J33" s="34"/>
      <c r="K33" s="34"/>
      <c r="L33" s="34"/>
      <c r="M33" s="35" t="str">
        <f aca="false">IF(A33="",IF(SUMPRODUCT(--(B33:L33&lt;&gt;""))+SUMPRODUCT(--(N33:X33&lt;&gt;""))&gt;0,"Missing ID",""),IF(COUNTIF($A$8:$A$307,A33)&gt;1,"Duplicate ID",IF(OR(B33="",C33="",V33="",W33=""),"Source incomplete",IF(AND(H33&lt;&gt;"Pass",H33&lt;&gt;"Fail",H33&lt;&gt;"Unresolved"),"Choose compliance",IF(AND(I33&lt;&gt;"Not started",I33&lt;&gt;"In progress",I33&lt;&gt;"In review",I33&lt;&gt;"Complete"),"Choose progress",IF(AND(OR(H33="Pass",I33="Complete"),OR(J33="",K33="",L33="")),"Evidence or file missing",""))))))</f>
        <v/>
      </c>
      <c r="N33" s="29"/>
      <c r="O33" s="29"/>
      <c r="P33" s="29"/>
      <c r="Q33" s="29"/>
      <c r="R33" s="29"/>
      <c r="S33" s="29"/>
      <c r="T33" s="29"/>
      <c r="U33" s="29"/>
      <c r="V33" s="29"/>
      <c r="W33" s="29"/>
      <c r="X33" s="29"/>
    </row>
    <row r="34" customFormat="false" ht="44" hidden="false" customHeight="true" outlineLevel="0" collapsed="false">
      <c r="A34" s="29"/>
      <c r="B34" s="39"/>
      <c r="C34" s="39"/>
      <c r="D34" s="29"/>
      <c r="E34" s="29"/>
      <c r="F34" s="29"/>
      <c r="G34" s="29"/>
      <c r="H34" s="34"/>
      <c r="I34" s="34"/>
      <c r="J34" s="34"/>
      <c r="K34" s="34"/>
      <c r="L34" s="34"/>
      <c r="M34" s="35" t="str">
        <f aca="false">IF(A34="",IF(SUMPRODUCT(--(B34:L34&lt;&gt;""))+SUMPRODUCT(--(N34:X34&lt;&gt;""))&gt;0,"Missing ID",""),IF(COUNTIF($A$8:$A$307,A34)&gt;1,"Duplicate ID",IF(OR(B34="",C34="",V34="",W34=""),"Source incomplete",IF(AND(H34&lt;&gt;"Pass",H34&lt;&gt;"Fail",H34&lt;&gt;"Unresolved"),"Choose compliance",IF(AND(I34&lt;&gt;"Not started",I34&lt;&gt;"In progress",I34&lt;&gt;"In review",I34&lt;&gt;"Complete"),"Choose progress",IF(AND(OR(H34="Pass",I34="Complete"),OR(J34="",K34="",L34="")),"Evidence or file missing",""))))))</f>
        <v/>
      </c>
      <c r="N34" s="29"/>
      <c r="O34" s="29"/>
      <c r="P34" s="29"/>
      <c r="Q34" s="29"/>
      <c r="R34" s="29"/>
      <c r="S34" s="29"/>
      <c r="T34" s="29"/>
      <c r="U34" s="29"/>
      <c r="V34" s="29"/>
      <c r="W34" s="29"/>
      <c r="X34" s="29"/>
    </row>
    <row r="35" customFormat="false" ht="44" hidden="false" customHeight="true" outlineLevel="0" collapsed="false">
      <c r="A35" s="29"/>
      <c r="B35" s="39"/>
      <c r="C35" s="39"/>
      <c r="D35" s="29"/>
      <c r="E35" s="29"/>
      <c r="F35" s="29"/>
      <c r="G35" s="29"/>
      <c r="H35" s="34"/>
      <c r="I35" s="34"/>
      <c r="J35" s="34"/>
      <c r="K35" s="34"/>
      <c r="L35" s="34"/>
      <c r="M35" s="35" t="str">
        <f aca="false">IF(A35="",IF(SUMPRODUCT(--(B35:L35&lt;&gt;""))+SUMPRODUCT(--(N35:X35&lt;&gt;""))&gt;0,"Missing ID",""),IF(COUNTIF($A$8:$A$307,A35)&gt;1,"Duplicate ID",IF(OR(B35="",C35="",V35="",W35=""),"Source incomplete",IF(AND(H35&lt;&gt;"Pass",H35&lt;&gt;"Fail",H35&lt;&gt;"Unresolved"),"Choose compliance",IF(AND(I35&lt;&gt;"Not started",I35&lt;&gt;"In progress",I35&lt;&gt;"In review",I35&lt;&gt;"Complete"),"Choose progress",IF(AND(OR(H35="Pass",I35="Complete"),OR(J35="",K35="",L35="")),"Evidence or file missing",""))))))</f>
        <v/>
      </c>
      <c r="N35" s="29"/>
      <c r="O35" s="29"/>
      <c r="P35" s="29"/>
      <c r="Q35" s="29"/>
      <c r="R35" s="29"/>
      <c r="S35" s="29"/>
      <c r="T35" s="29"/>
      <c r="U35" s="29"/>
      <c r="V35" s="29"/>
      <c r="W35" s="29"/>
      <c r="X35" s="29"/>
    </row>
    <row r="36" customFormat="false" ht="44" hidden="false" customHeight="true" outlineLevel="0" collapsed="false">
      <c r="A36" s="29"/>
      <c r="B36" s="39"/>
      <c r="C36" s="39"/>
      <c r="D36" s="29"/>
      <c r="E36" s="29"/>
      <c r="F36" s="29"/>
      <c r="G36" s="29"/>
      <c r="H36" s="34"/>
      <c r="I36" s="34"/>
      <c r="J36" s="34"/>
      <c r="K36" s="34"/>
      <c r="L36" s="34"/>
      <c r="M36" s="35" t="str">
        <f aca="false">IF(A36="",IF(SUMPRODUCT(--(B36:L36&lt;&gt;""))+SUMPRODUCT(--(N36:X36&lt;&gt;""))&gt;0,"Missing ID",""),IF(COUNTIF($A$8:$A$307,A36)&gt;1,"Duplicate ID",IF(OR(B36="",C36="",V36="",W36=""),"Source incomplete",IF(AND(H36&lt;&gt;"Pass",H36&lt;&gt;"Fail",H36&lt;&gt;"Unresolved"),"Choose compliance",IF(AND(I36&lt;&gt;"Not started",I36&lt;&gt;"In progress",I36&lt;&gt;"In review",I36&lt;&gt;"Complete"),"Choose progress",IF(AND(OR(H36="Pass",I36="Complete"),OR(J36="",K36="",L36="")),"Evidence or file missing",""))))))</f>
        <v/>
      </c>
      <c r="N36" s="29"/>
      <c r="O36" s="29"/>
      <c r="P36" s="29"/>
      <c r="Q36" s="29"/>
      <c r="R36" s="29"/>
      <c r="S36" s="29"/>
      <c r="T36" s="29"/>
      <c r="U36" s="29"/>
      <c r="V36" s="29"/>
      <c r="W36" s="29"/>
      <c r="X36" s="29"/>
    </row>
    <row r="37" customFormat="false" ht="44" hidden="false" customHeight="true" outlineLevel="0" collapsed="false">
      <c r="A37" s="29"/>
      <c r="B37" s="39"/>
      <c r="C37" s="39"/>
      <c r="D37" s="29"/>
      <c r="E37" s="29"/>
      <c r="F37" s="29"/>
      <c r="G37" s="29"/>
      <c r="H37" s="34"/>
      <c r="I37" s="34"/>
      <c r="J37" s="34"/>
      <c r="K37" s="34"/>
      <c r="L37" s="34"/>
      <c r="M37" s="35" t="str">
        <f aca="false">IF(A37="",IF(SUMPRODUCT(--(B37:L37&lt;&gt;""))+SUMPRODUCT(--(N37:X37&lt;&gt;""))&gt;0,"Missing ID",""),IF(COUNTIF($A$8:$A$307,A37)&gt;1,"Duplicate ID",IF(OR(B37="",C37="",V37="",W37=""),"Source incomplete",IF(AND(H37&lt;&gt;"Pass",H37&lt;&gt;"Fail",H37&lt;&gt;"Unresolved"),"Choose compliance",IF(AND(I37&lt;&gt;"Not started",I37&lt;&gt;"In progress",I37&lt;&gt;"In review",I37&lt;&gt;"Complete"),"Choose progress",IF(AND(OR(H37="Pass",I37="Complete"),OR(J37="",K37="",L37="")),"Evidence or file missing",""))))))</f>
        <v/>
      </c>
      <c r="N37" s="29"/>
      <c r="O37" s="29"/>
      <c r="P37" s="29"/>
      <c r="Q37" s="29"/>
      <c r="R37" s="29"/>
      <c r="S37" s="29"/>
      <c r="T37" s="29"/>
      <c r="U37" s="29"/>
      <c r="V37" s="29"/>
      <c r="W37" s="29"/>
      <c r="X37" s="29"/>
    </row>
    <row r="38" customFormat="false" ht="44" hidden="false" customHeight="true" outlineLevel="0" collapsed="false">
      <c r="A38" s="29"/>
      <c r="B38" s="39"/>
      <c r="C38" s="39"/>
      <c r="D38" s="29"/>
      <c r="E38" s="29"/>
      <c r="F38" s="29"/>
      <c r="G38" s="29"/>
      <c r="H38" s="34"/>
      <c r="I38" s="34"/>
      <c r="J38" s="34"/>
      <c r="K38" s="34"/>
      <c r="L38" s="34"/>
      <c r="M38" s="35" t="str">
        <f aca="false">IF(A38="",IF(SUMPRODUCT(--(B38:L38&lt;&gt;""))+SUMPRODUCT(--(N38:X38&lt;&gt;""))&gt;0,"Missing ID",""),IF(COUNTIF($A$8:$A$307,A38)&gt;1,"Duplicate ID",IF(OR(B38="",C38="",V38="",W38=""),"Source incomplete",IF(AND(H38&lt;&gt;"Pass",H38&lt;&gt;"Fail",H38&lt;&gt;"Unresolved"),"Choose compliance",IF(AND(I38&lt;&gt;"Not started",I38&lt;&gt;"In progress",I38&lt;&gt;"In review",I38&lt;&gt;"Complete"),"Choose progress",IF(AND(OR(H38="Pass",I38="Complete"),OR(J38="",K38="",L38="")),"Evidence or file missing",""))))))</f>
        <v/>
      </c>
      <c r="N38" s="29"/>
      <c r="O38" s="29"/>
      <c r="P38" s="29"/>
      <c r="Q38" s="29"/>
      <c r="R38" s="29"/>
      <c r="S38" s="29"/>
      <c r="T38" s="29"/>
      <c r="U38" s="29"/>
      <c r="V38" s="29"/>
      <c r="W38" s="29"/>
      <c r="X38" s="29"/>
    </row>
    <row r="39" customFormat="false" ht="44" hidden="false" customHeight="true" outlineLevel="0" collapsed="false">
      <c r="A39" s="29"/>
      <c r="B39" s="39"/>
      <c r="C39" s="39"/>
      <c r="D39" s="29"/>
      <c r="E39" s="29"/>
      <c r="F39" s="29"/>
      <c r="G39" s="29"/>
      <c r="H39" s="34"/>
      <c r="I39" s="34"/>
      <c r="J39" s="34"/>
      <c r="K39" s="34"/>
      <c r="L39" s="34"/>
      <c r="M39" s="35" t="str">
        <f aca="false">IF(A39="",IF(SUMPRODUCT(--(B39:L39&lt;&gt;""))+SUMPRODUCT(--(N39:X39&lt;&gt;""))&gt;0,"Missing ID",""),IF(COUNTIF($A$8:$A$307,A39)&gt;1,"Duplicate ID",IF(OR(B39="",C39="",V39="",W39=""),"Source incomplete",IF(AND(H39&lt;&gt;"Pass",H39&lt;&gt;"Fail",H39&lt;&gt;"Unresolved"),"Choose compliance",IF(AND(I39&lt;&gt;"Not started",I39&lt;&gt;"In progress",I39&lt;&gt;"In review",I39&lt;&gt;"Complete"),"Choose progress",IF(AND(OR(H39="Pass",I39="Complete"),OR(J39="",K39="",L39="")),"Evidence or file missing",""))))))</f>
        <v/>
      </c>
      <c r="N39" s="29"/>
      <c r="O39" s="29"/>
      <c r="P39" s="29"/>
      <c r="Q39" s="29"/>
      <c r="R39" s="29"/>
      <c r="S39" s="29"/>
      <c r="T39" s="29"/>
      <c r="U39" s="29"/>
      <c r="V39" s="29"/>
      <c r="W39" s="29"/>
      <c r="X39" s="29"/>
    </row>
    <row r="40" customFormat="false" ht="44" hidden="false" customHeight="true" outlineLevel="0" collapsed="false">
      <c r="A40" s="29"/>
      <c r="B40" s="39"/>
      <c r="C40" s="39"/>
      <c r="D40" s="29"/>
      <c r="E40" s="29"/>
      <c r="F40" s="29"/>
      <c r="G40" s="29"/>
      <c r="H40" s="34"/>
      <c r="I40" s="34"/>
      <c r="J40" s="34"/>
      <c r="K40" s="34"/>
      <c r="L40" s="34"/>
      <c r="M40" s="35" t="str">
        <f aca="false">IF(A40="",IF(SUMPRODUCT(--(B40:L40&lt;&gt;""))+SUMPRODUCT(--(N40:X40&lt;&gt;""))&gt;0,"Missing ID",""),IF(COUNTIF($A$8:$A$307,A40)&gt;1,"Duplicate ID",IF(OR(B40="",C40="",V40="",W40=""),"Source incomplete",IF(AND(H40&lt;&gt;"Pass",H40&lt;&gt;"Fail",H40&lt;&gt;"Unresolved"),"Choose compliance",IF(AND(I40&lt;&gt;"Not started",I40&lt;&gt;"In progress",I40&lt;&gt;"In review",I40&lt;&gt;"Complete"),"Choose progress",IF(AND(OR(H40="Pass",I40="Complete"),OR(J40="",K40="",L40="")),"Evidence or file missing",""))))))</f>
        <v/>
      </c>
      <c r="N40" s="29"/>
      <c r="O40" s="29"/>
      <c r="P40" s="29"/>
      <c r="Q40" s="29"/>
      <c r="R40" s="29"/>
      <c r="S40" s="29"/>
      <c r="T40" s="29"/>
      <c r="U40" s="29"/>
      <c r="V40" s="29"/>
      <c r="W40" s="29"/>
      <c r="X40" s="29"/>
    </row>
    <row r="41" customFormat="false" ht="44" hidden="false" customHeight="true" outlineLevel="0" collapsed="false">
      <c r="A41" s="29"/>
      <c r="B41" s="39"/>
      <c r="C41" s="39"/>
      <c r="D41" s="29"/>
      <c r="E41" s="29"/>
      <c r="F41" s="29"/>
      <c r="G41" s="29"/>
      <c r="H41" s="34"/>
      <c r="I41" s="34"/>
      <c r="J41" s="34"/>
      <c r="K41" s="34"/>
      <c r="L41" s="34"/>
      <c r="M41" s="35" t="str">
        <f aca="false">IF(A41="",IF(SUMPRODUCT(--(B41:L41&lt;&gt;""))+SUMPRODUCT(--(N41:X41&lt;&gt;""))&gt;0,"Missing ID",""),IF(COUNTIF($A$8:$A$307,A41)&gt;1,"Duplicate ID",IF(OR(B41="",C41="",V41="",W41=""),"Source incomplete",IF(AND(H41&lt;&gt;"Pass",H41&lt;&gt;"Fail",H41&lt;&gt;"Unresolved"),"Choose compliance",IF(AND(I41&lt;&gt;"Not started",I41&lt;&gt;"In progress",I41&lt;&gt;"In review",I41&lt;&gt;"Complete"),"Choose progress",IF(AND(OR(H41="Pass",I41="Complete"),OR(J41="",K41="",L41="")),"Evidence or file missing",""))))))</f>
        <v/>
      </c>
      <c r="N41" s="29"/>
      <c r="O41" s="29"/>
      <c r="P41" s="29"/>
      <c r="Q41" s="29"/>
      <c r="R41" s="29"/>
      <c r="S41" s="29"/>
      <c r="T41" s="29"/>
      <c r="U41" s="29"/>
      <c r="V41" s="29"/>
      <c r="W41" s="29"/>
      <c r="X41" s="29"/>
    </row>
    <row r="42" customFormat="false" ht="44" hidden="false" customHeight="true" outlineLevel="0" collapsed="false">
      <c r="A42" s="29"/>
      <c r="B42" s="39"/>
      <c r="C42" s="39"/>
      <c r="D42" s="29"/>
      <c r="E42" s="29"/>
      <c r="F42" s="29"/>
      <c r="G42" s="29"/>
      <c r="H42" s="34"/>
      <c r="I42" s="34"/>
      <c r="J42" s="34"/>
      <c r="K42" s="34"/>
      <c r="L42" s="34"/>
      <c r="M42" s="35" t="str">
        <f aca="false">IF(A42="",IF(SUMPRODUCT(--(B42:L42&lt;&gt;""))+SUMPRODUCT(--(N42:X42&lt;&gt;""))&gt;0,"Missing ID",""),IF(COUNTIF($A$8:$A$307,A42)&gt;1,"Duplicate ID",IF(OR(B42="",C42="",V42="",W42=""),"Source incomplete",IF(AND(H42&lt;&gt;"Pass",H42&lt;&gt;"Fail",H42&lt;&gt;"Unresolved"),"Choose compliance",IF(AND(I42&lt;&gt;"Not started",I42&lt;&gt;"In progress",I42&lt;&gt;"In review",I42&lt;&gt;"Complete"),"Choose progress",IF(AND(OR(H42="Pass",I42="Complete"),OR(J42="",K42="",L42="")),"Evidence or file missing",""))))))</f>
        <v/>
      </c>
      <c r="N42" s="29"/>
      <c r="O42" s="29"/>
      <c r="P42" s="29"/>
      <c r="Q42" s="29"/>
      <c r="R42" s="29"/>
      <c r="S42" s="29"/>
      <c r="T42" s="29"/>
      <c r="U42" s="29"/>
      <c r="V42" s="29"/>
      <c r="W42" s="29"/>
      <c r="X42" s="29"/>
    </row>
    <row r="43" customFormat="false" ht="44" hidden="false" customHeight="true" outlineLevel="0" collapsed="false">
      <c r="A43" s="29"/>
      <c r="B43" s="39"/>
      <c r="C43" s="39"/>
      <c r="D43" s="29"/>
      <c r="E43" s="29"/>
      <c r="F43" s="29"/>
      <c r="G43" s="29"/>
      <c r="H43" s="34"/>
      <c r="I43" s="34"/>
      <c r="J43" s="34"/>
      <c r="K43" s="34"/>
      <c r="L43" s="34"/>
      <c r="M43" s="35" t="str">
        <f aca="false">IF(A43="",IF(SUMPRODUCT(--(B43:L43&lt;&gt;""))+SUMPRODUCT(--(N43:X43&lt;&gt;""))&gt;0,"Missing ID",""),IF(COUNTIF($A$8:$A$307,A43)&gt;1,"Duplicate ID",IF(OR(B43="",C43="",V43="",W43=""),"Source incomplete",IF(AND(H43&lt;&gt;"Pass",H43&lt;&gt;"Fail",H43&lt;&gt;"Unresolved"),"Choose compliance",IF(AND(I43&lt;&gt;"Not started",I43&lt;&gt;"In progress",I43&lt;&gt;"In review",I43&lt;&gt;"Complete"),"Choose progress",IF(AND(OR(H43="Pass",I43="Complete"),OR(J43="",K43="",L43="")),"Evidence or file missing",""))))))</f>
        <v/>
      </c>
      <c r="N43" s="29"/>
      <c r="O43" s="29"/>
      <c r="P43" s="29"/>
      <c r="Q43" s="29"/>
      <c r="R43" s="29"/>
      <c r="S43" s="29"/>
      <c r="T43" s="29"/>
      <c r="U43" s="29"/>
      <c r="V43" s="29"/>
      <c r="W43" s="29"/>
      <c r="X43" s="29"/>
    </row>
    <row r="44" customFormat="false" ht="44" hidden="false" customHeight="true" outlineLevel="0" collapsed="false">
      <c r="A44" s="29"/>
      <c r="B44" s="39"/>
      <c r="C44" s="39"/>
      <c r="D44" s="29"/>
      <c r="E44" s="29"/>
      <c r="F44" s="29"/>
      <c r="G44" s="29"/>
      <c r="H44" s="34"/>
      <c r="I44" s="34"/>
      <c r="J44" s="34"/>
      <c r="K44" s="34"/>
      <c r="L44" s="34"/>
      <c r="M44" s="35" t="str">
        <f aca="false">IF(A44="",IF(SUMPRODUCT(--(B44:L44&lt;&gt;""))+SUMPRODUCT(--(N44:X44&lt;&gt;""))&gt;0,"Missing ID",""),IF(COUNTIF($A$8:$A$307,A44)&gt;1,"Duplicate ID",IF(OR(B44="",C44="",V44="",W44=""),"Source incomplete",IF(AND(H44&lt;&gt;"Pass",H44&lt;&gt;"Fail",H44&lt;&gt;"Unresolved"),"Choose compliance",IF(AND(I44&lt;&gt;"Not started",I44&lt;&gt;"In progress",I44&lt;&gt;"In review",I44&lt;&gt;"Complete"),"Choose progress",IF(AND(OR(H44="Pass",I44="Complete"),OR(J44="",K44="",L44="")),"Evidence or file missing",""))))))</f>
        <v/>
      </c>
      <c r="N44" s="29"/>
      <c r="O44" s="29"/>
      <c r="P44" s="29"/>
      <c r="Q44" s="29"/>
      <c r="R44" s="29"/>
      <c r="S44" s="29"/>
      <c r="T44" s="29"/>
      <c r="U44" s="29"/>
      <c r="V44" s="29"/>
      <c r="W44" s="29"/>
      <c r="X44" s="29"/>
    </row>
    <row r="45" customFormat="false" ht="44" hidden="false" customHeight="true" outlineLevel="0" collapsed="false">
      <c r="A45" s="29"/>
      <c r="B45" s="39"/>
      <c r="C45" s="39"/>
      <c r="D45" s="29"/>
      <c r="E45" s="29"/>
      <c r="F45" s="29"/>
      <c r="G45" s="29"/>
      <c r="H45" s="34"/>
      <c r="I45" s="34"/>
      <c r="J45" s="34"/>
      <c r="K45" s="34"/>
      <c r="L45" s="34"/>
      <c r="M45" s="35" t="str">
        <f aca="false">IF(A45="",IF(SUMPRODUCT(--(B45:L45&lt;&gt;""))+SUMPRODUCT(--(N45:X45&lt;&gt;""))&gt;0,"Missing ID",""),IF(COUNTIF($A$8:$A$307,A45)&gt;1,"Duplicate ID",IF(OR(B45="",C45="",V45="",W45=""),"Source incomplete",IF(AND(H45&lt;&gt;"Pass",H45&lt;&gt;"Fail",H45&lt;&gt;"Unresolved"),"Choose compliance",IF(AND(I45&lt;&gt;"Not started",I45&lt;&gt;"In progress",I45&lt;&gt;"In review",I45&lt;&gt;"Complete"),"Choose progress",IF(AND(OR(H45="Pass",I45="Complete"),OR(J45="",K45="",L45="")),"Evidence or file missing",""))))))</f>
        <v/>
      </c>
      <c r="N45" s="29"/>
      <c r="O45" s="29"/>
      <c r="P45" s="29"/>
      <c r="Q45" s="29"/>
      <c r="R45" s="29"/>
      <c r="S45" s="29"/>
      <c r="T45" s="29"/>
      <c r="U45" s="29"/>
      <c r="V45" s="29"/>
      <c r="W45" s="29"/>
      <c r="X45" s="29"/>
    </row>
    <row r="46" customFormat="false" ht="44" hidden="false" customHeight="true" outlineLevel="0" collapsed="false">
      <c r="A46" s="29"/>
      <c r="B46" s="39"/>
      <c r="C46" s="39"/>
      <c r="D46" s="29"/>
      <c r="E46" s="29"/>
      <c r="F46" s="29"/>
      <c r="G46" s="29"/>
      <c r="H46" s="34"/>
      <c r="I46" s="34"/>
      <c r="J46" s="34"/>
      <c r="K46" s="34"/>
      <c r="L46" s="34"/>
      <c r="M46" s="35" t="str">
        <f aca="false">IF(A46="",IF(SUMPRODUCT(--(B46:L46&lt;&gt;""))+SUMPRODUCT(--(N46:X46&lt;&gt;""))&gt;0,"Missing ID",""),IF(COUNTIF($A$8:$A$307,A46)&gt;1,"Duplicate ID",IF(OR(B46="",C46="",V46="",W46=""),"Source incomplete",IF(AND(H46&lt;&gt;"Pass",H46&lt;&gt;"Fail",H46&lt;&gt;"Unresolved"),"Choose compliance",IF(AND(I46&lt;&gt;"Not started",I46&lt;&gt;"In progress",I46&lt;&gt;"In review",I46&lt;&gt;"Complete"),"Choose progress",IF(AND(OR(H46="Pass",I46="Complete"),OR(J46="",K46="",L46="")),"Evidence or file missing",""))))))</f>
        <v/>
      </c>
      <c r="N46" s="29"/>
      <c r="O46" s="29"/>
      <c r="P46" s="29"/>
      <c r="Q46" s="29"/>
      <c r="R46" s="29"/>
      <c r="S46" s="29"/>
      <c r="T46" s="29"/>
      <c r="U46" s="29"/>
      <c r="V46" s="29"/>
      <c r="W46" s="29"/>
      <c r="X46" s="29"/>
    </row>
    <row r="47" customFormat="false" ht="44" hidden="false" customHeight="true" outlineLevel="0" collapsed="false">
      <c r="A47" s="29"/>
      <c r="B47" s="39"/>
      <c r="C47" s="39"/>
      <c r="D47" s="29"/>
      <c r="E47" s="29"/>
      <c r="F47" s="29"/>
      <c r="G47" s="29"/>
      <c r="H47" s="34"/>
      <c r="I47" s="34"/>
      <c r="J47" s="34"/>
      <c r="K47" s="34"/>
      <c r="L47" s="34"/>
      <c r="M47" s="35" t="str">
        <f aca="false">IF(A47="",IF(SUMPRODUCT(--(B47:L47&lt;&gt;""))+SUMPRODUCT(--(N47:X47&lt;&gt;""))&gt;0,"Missing ID",""),IF(COUNTIF($A$8:$A$307,A47)&gt;1,"Duplicate ID",IF(OR(B47="",C47="",V47="",W47=""),"Source incomplete",IF(AND(H47&lt;&gt;"Pass",H47&lt;&gt;"Fail",H47&lt;&gt;"Unresolved"),"Choose compliance",IF(AND(I47&lt;&gt;"Not started",I47&lt;&gt;"In progress",I47&lt;&gt;"In review",I47&lt;&gt;"Complete"),"Choose progress",IF(AND(OR(H47="Pass",I47="Complete"),OR(J47="",K47="",L47="")),"Evidence or file missing",""))))))</f>
        <v/>
      </c>
      <c r="N47" s="29"/>
      <c r="O47" s="29"/>
      <c r="P47" s="29"/>
      <c r="Q47" s="29"/>
      <c r="R47" s="29"/>
      <c r="S47" s="29"/>
      <c r="T47" s="29"/>
      <c r="U47" s="29"/>
      <c r="V47" s="29"/>
      <c r="W47" s="29"/>
      <c r="X47" s="29"/>
    </row>
    <row r="48" customFormat="false" ht="44" hidden="false" customHeight="true" outlineLevel="0" collapsed="false">
      <c r="A48" s="29"/>
      <c r="B48" s="39"/>
      <c r="C48" s="39"/>
      <c r="D48" s="29"/>
      <c r="E48" s="29"/>
      <c r="F48" s="29"/>
      <c r="G48" s="29"/>
      <c r="H48" s="34"/>
      <c r="I48" s="34"/>
      <c r="J48" s="34"/>
      <c r="K48" s="34"/>
      <c r="L48" s="34"/>
      <c r="M48" s="35" t="str">
        <f aca="false">IF(A48="",IF(SUMPRODUCT(--(B48:L48&lt;&gt;""))+SUMPRODUCT(--(N48:X48&lt;&gt;""))&gt;0,"Missing ID",""),IF(COUNTIF($A$8:$A$307,A48)&gt;1,"Duplicate ID",IF(OR(B48="",C48="",V48="",W48=""),"Source incomplete",IF(AND(H48&lt;&gt;"Pass",H48&lt;&gt;"Fail",H48&lt;&gt;"Unresolved"),"Choose compliance",IF(AND(I48&lt;&gt;"Not started",I48&lt;&gt;"In progress",I48&lt;&gt;"In review",I48&lt;&gt;"Complete"),"Choose progress",IF(AND(OR(H48="Pass",I48="Complete"),OR(J48="",K48="",L48="")),"Evidence or file missing",""))))))</f>
        <v/>
      </c>
      <c r="N48" s="29"/>
      <c r="O48" s="29"/>
      <c r="P48" s="29"/>
      <c r="Q48" s="29"/>
      <c r="R48" s="29"/>
      <c r="S48" s="29"/>
      <c r="T48" s="29"/>
      <c r="U48" s="29"/>
      <c r="V48" s="29"/>
      <c r="W48" s="29"/>
      <c r="X48" s="29"/>
    </row>
    <row r="49" customFormat="false" ht="44" hidden="false" customHeight="true" outlineLevel="0" collapsed="false">
      <c r="A49" s="29"/>
      <c r="B49" s="39"/>
      <c r="C49" s="39"/>
      <c r="D49" s="29"/>
      <c r="E49" s="29"/>
      <c r="F49" s="29"/>
      <c r="G49" s="29"/>
      <c r="H49" s="34"/>
      <c r="I49" s="34"/>
      <c r="J49" s="34"/>
      <c r="K49" s="34"/>
      <c r="L49" s="34"/>
      <c r="M49" s="35" t="str">
        <f aca="false">IF(A49="",IF(SUMPRODUCT(--(B49:L49&lt;&gt;""))+SUMPRODUCT(--(N49:X49&lt;&gt;""))&gt;0,"Missing ID",""),IF(COUNTIF($A$8:$A$307,A49)&gt;1,"Duplicate ID",IF(OR(B49="",C49="",V49="",W49=""),"Source incomplete",IF(AND(H49&lt;&gt;"Pass",H49&lt;&gt;"Fail",H49&lt;&gt;"Unresolved"),"Choose compliance",IF(AND(I49&lt;&gt;"Not started",I49&lt;&gt;"In progress",I49&lt;&gt;"In review",I49&lt;&gt;"Complete"),"Choose progress",IF(AND(OR(H49="Pass",I49="Complete"),OR(J49="",K49="",L49="")),"Evidence or file missing",""))))))</f>
        <v/>
      </c>
      <c r="N49" s="29"/>
      <c r="O49" s="29"/>
      <c r="P49" s="29"/>
      <c r="Q49" s="29"/>
      <c r="R49" s="29"/>
      <c r="S49" s="29"/>
      <c r="T49" s="29"/>
      <c r="U49" s="29"/>
      <c r="V49" s="29"/>
      <c r="W49" s="29"/>
      <c r="X49" s="29"/>
    </row>
    <row r="50" customFormat="false" ht="44" hidden="false" customHeight="true" outlineLevel="0" collapsed="false">
      <c r="A50" s="29"/>
      <c r="B50" s="39"/>
      <c r="C50" s="39"/>
      <c r="D50" s="29"/>
      <c r="E50" s="29"/>
      <c r="F50" s="29"/>
      <c r="G50" s="29"/>
      <c r="H50" s="34"/>
      <c r="I50" s="34"/>
      <c r="J50" s="34"/>
      <c r="K50" s="34"/>
      <c r="L50" s="34"/>
      <c r="M50" s="35" t="str">
        <f aca="false">IF(A50="",IF(SUMPRODUCT(--(B50:L50&lt;&gt;""))+SUMPRODUCT(--(N50:X50&lt;&gt;""))&gt;0,"Missing ID",""),IF(COUNTIF($A$8:$A$307,A50)&gt;1,"Duplicate ID",IF(OR(B50="",C50="",V50="",W50=""),"Source incomplete",IF(AND(H50&lt;&gt;"Pass",H50&lt;&gt;"Fail",H50&lt;&gt;"Unresolved"),"Choose compliance",IF(AND(I50&lt;&gt;"Not started",I50&lt;&gt;"In progress",I50&lt;&gt;"In review",I50&lt;&gt;"Complete"),"Choose progress",IF(AND(OR(H50="Pass",I50="Complete"),OR(J50="",K50="",L50="")),"Evidence or file missing",""))))))</f>
        <v/>
      </c>
      <c r="N50" s="29"/>
      <c r="O50" s="29"/>
      <c r="P50" s="29"/>
      <c r="Q50" s="29"/>
      <c r="R50" s="29"/>
      <c r="S50" s="29"/>
      <c r="T50" s="29"/>
      <c r="U50" s="29"/>
      <c r="V50" s="29"/>
      <c r="W50" s="29"/>
      <c r="X50" s="29"/>
    </row>
    <row r="51" customFormat="false" ht="44" hidden="false" customHeight="true" outlineLevel="0" collapsed="false">
      <c r="A51" s="29"/>
      <c r="B51" s="39"/>
      <c r="C51" s="39"/>
      <c r="D51" s="29"/>
      <c r="E51" s="29"/>
      <c r="F51" s="29"/>
      <c r="G51" s="29"/>
      <c r="H51" s="34"/>
      <c r="I51" s="34"/>
      <c r="J51" s="34"/>
      <c r="K51" s="34"/>
      <c r="L51" s="34"/>
      <c r="M51" s="35" t="str">
        <f aca="false">IF(A51="",IF(SUMPRODUCT(--(B51:L51&lt;&gt;""))+SUMPRODUCT(--(N51:X51&lt;&gt;""))&gt;0,"Missing ID",""),IF(COUNTIF($A$8:$A$307,A51)&gt;1,"Duplicate ID",IF(OR(B51="",C51="",V51="",W51=""),"Source incomplete",IF(AND(H51&lt;&gt;"Pass",H51&lt;&gt;"Fail",H51&lt;&gt;"Unresolved"),"Choose compliance",IF(AND(I51&lt;&gt;"Not started",I51&lt;&gt;"In progress",I51&lt;&gt;"In review",I51&lt;&gt;"Complete"),"Choose progress",IF(AND(OR(H51="Pass",I51="Complete"),OR(J51="",K51="",L51="")),"Evidence or file missing",""))))))</f>
        <v/>
      </c>
      <c r="N51" s="29"/>
      <c r="O51" s="29"/>
      <c r="P51" s="29"/>
      <c r="Q51" s="29"/>
      <c r="R51" s="29"/>
      <c r="S51" s="29"/>
      <c r="T51" s="29"/>
      <c r="U51" s="29"/>
      <c r="V51" s="29"/>
      <c r="W51" s="29"/>
      <c r="X51" s="29"/>
    </row>
    <row r="52" customFormat="false" ht="44" hidden="false" customHeight="true" outlineLevel="0" collapsed="false">
      <c r="A52" s="29"/>
      <c r="B52" s="39"/>
      <c r="C52" s="39"/>
      <c r="D52" s="29"/>
      <c r="E52" s="29"/>
      <c r="F52" s="29"/>
      <c r="G52" s="29"/>
      <c r="H52" s="34"/>
      <c r="I52" s="34"/>
      <c r="J52" s="34"/>
      <c r="K52" s="34"/>
      <c r="L52" s="34"/>
      <c r="M52" s="35" t="str">
        <f aca="false">IF(A52="",IF(SUMPRODUCT(--(B52:L52&lt;&gt;""))+SUMPRODUCT(--(N52:X52&lt;&gt;""))&gt;0,"Missing ID",""),IF(COUNTIF($A$8:$A$307,A52)&gt;1,"Duplicate ID",IF(OR(B52="",C52="",V52="",W52=""),"Source incomplete",IF(AND(H52&lt;&gt;"Pass",H52&lt;&gt;"Fail",H52&lt;&gt;"Unresolved"),"Choose compliance",IF(AND(I52&lt;&gt;"Not started",I52&lt;&gt;"In progress",I52&lt;&gt;"In review",I52&lt;&gt;"Complete"),"Choose progress",IF(AND(OR(H52="Pass",I52="Complete"),OR(J52="",K52="",L52="")),"Evidence or file missing",""))))))</f>
        <v/>
      </c>
      <c r="N52" s="29"/>
      <c r="O52" s="29"/>
      <c r="P52" s="29"/>
      <c r="Q52" s="29"/>
      <c r="R52" s="29"/>
      <c r="S52" s="29"/>
      <c r="T52" s="29"/>
      <c r="U52" s="29"/>
      <c r="V52" s="29"/>
      <c r="W52" s="29"/>
      <c r="X52" s="29"/>
    </row>
    <row r="53" customFormat="false" ht="44" hidden="false" customHeight="true" outlineLevel="0" collapsed="false">
      <c r="A53" s="29"/>
      <c r="B53" s="39"/>
      <c r="C53" s="39"/>
      <c r="D53" s="29"/>
      <c r="E53" s="29"/>
      <c r="F53" s="29"/>
      <c r="G53" s="29"/>
      <c r="H53" s="34"/>
      <c r="I53" s="34"/>
      <c r="J53" s="34"/>
      <c r="K53" s="34"/>
      <c r="L53" s="34"/>
      <c r="M53" s="35" t="str">
        <f aca="false">IF(A53="",IF(SUMPRODUCT(--(B53:L53&lt;&gt;""))+SUMPRODUCT(--(N53:X53&lt;&gt;""))&gt;0,"Missing ID",""),IF(COUNTIF($A$8:$A$307,A53)&gt;1,"Duplicate ID",IF(OR(B53="",C53="",V53="",W53=""),"Source incomplete",IF(AND(H53&lt;&gt;"Pass",H53&lt;&gt;"Fail",H53&lt;&gt;"Unresolved"),"Choose compliance",IF(AND(I53&lt;&gt;"Not started",I53&lt;&gt;"In progress",I53&lt;&gt;"In review",I53&lt;&gt;"Complete"),"Choose progress",IF(AND(OR(H53="Pass",I53="Complete"),OR(J53="",K53="",L53="")),"Evidence or file missing",""))))))</f>
        <v/>
      </c>
      <c r="N53" s="29"/>
      <c r="O53" s="29"/>
      <c r="P53" s="29"/>
      <c r="Q53" s="29"/>
      <c r="R53" s="29"/>
      <c r="S53" s="29"/>
      <c r="T53" s="29"/>
      <c r="U53" s="29"/>
      <c r="V53" s="29"/>
      <c r="W53" s="29"/>
      <c r="X53" s="29"/>
    </row>
    <row r="54" customFormat="false" ht="44" hidden="false" customHeight="true" outlineLevel="0" collapsed="false">
      <c r="A54" s="29"/>
      <c r="B54" s="39"/>
      <c r="C54" s="39"/>
      <c r="D54" s="29"/>
      <c r="E54" s="29"/>
      <c r="F54" s="29"/>
      <c r="G54" s="29"/>
      <c r="H54" s="34"/>
      <c r="I54" s="34"/>
      <c r="J54" s="34"/>
      <c r="K54" s="34"/>
      <c r="L54" s="34"/>
      <c r="M54" s="35" t="str">
        <f aca="false">IF(A54="",IF(SUMPRODUCT(--(B54:L54&lt;&gt;""))+SUMPRODUCT(--(N54:X54&lt;&gt;""))&gt;0,"Missing ID",""),IF(COUNTIF($A$8:$A$307,A54)&gt;1,"Duplicate ID",IF(OR(B54="",C54="",V54="",W54=""),"Source incomplete",IF(AND(H54&lt;&gt;"Pass",H54&lt;&gt;"Fail",H54&lt;&gt;"Unresolved"),"Choose compliance",IF(AND(I54&lt;&gt;"Not started",I54&lt;&gt;"In progress",I54&lt;&gt;"In review",I54&lt;&gt;"Complete"),"Choose progress",IF(AND(OR(H54="Pass",I54="Complete"),OR(J54="",K54="",L54="")),"Evidence or file missing",""))))))</f>
        <v/>
      </c>
      <c r="N54" s="29"/>
      <c r="O54" s="29"/>
      <c r="P54" s="29"/>
      <c r="Q54" s="29"/>
      <c r="R54" s="29"/>
      <c r="S54" s="29"/>
      <c r="T54" s="29"/>
      <c r="U54" s="29"/>
      <c r="V54" s="29"/>
      <c r="W54" s="29"/>
      <c r="X54" s="29"/>
    </row>
    <row r="55" customFormat="false" ht="44" hidden="false" customHeight="true" outlineLevel="0" collapsed="false">
      <c r="A55" s="29"/>
      <c r="B55" s="39"/>
      <c r="C55" s="39"/>
      <c r="D55" s="29"/>
      <c r="E55" s="29"/>
      <c r="F55" s="29"/>
      <c r="G55" s="29"/>
      <c r="H55" s="34"/>
      <c r="I55" s="34"/>
      <c r="J55" s="34"/>
      <c r="K55" s="34"/>
      <c r="L55" s="34"/>
      <c r="M55" s="35" t="str">
        <f aca="false">IF(A55="",IF(SUMPRODUCT(--(B55:L55&lt;&gt;""))+SUMPRODUCT(--(N55:X55&lt;&gt;""))&gt;0,"Missing ID",""),IF(COUNTIF($A$8:$A$307,A55)&gt;1,"Duplicate ID",IF(OR(B55="",C55="",V55="",W55=""),"Source incomplete",IF(AND(H55&lt;&gt;"Pass",H55&lt;&gt;"Fail",H55&lt;&gt;"Unresolved"),"Choose compliance",IF(AND(I55&lt;&gt;"Not started",I55&lt;&gt;"In progress",I55&lt;&gt;"In review",I55&lt;&gt;"Complete"),"Choose progress",IF(AND(OR(H55="Pass",I55="Complete"),OR(J55="",K55="",L55="")),"Evidence or file missing",""))))))</f>
        <v/>
      </c>
      <c r="N55" s="29"/>
      <c r="O55" s="29"/>
      <c r="P55" s="29"/>
      <c r="Q55" s="29"/>
      <c r="R55" s="29"/>
      <c r="S55" s="29"/>
      <c r="T55" s="29"/>
      <c r="U55" s="29"/>
      <c r="V55" s="29"/>
      <c r="W55" s="29"/>
      <c r="X55" s="29"/>
    </row>
    <row r="56" customFormat="false" ht="44" hidden="false" customHeight="true" outlineLevel="0" collapsed="false">
      <c r="A56" s="29"/>
      <c r="B56" s="39"/>
      <c r="C56" s="39"/>
      <c r="D56" s="29"/>
      <c r="E56" s="29"/>
      <c r="F56" s="29"/>
      <c r="G56" s="29"/>
      <c r="H56" s="34"/>
      <c r="I56" s="34"/>
      <c r="J56" s="34"/>
      <c r="K56" s="34"/>
      <c r="L56" s="34"/>
      <c r="M56" s="35" t="str">
        <f aca="false">IF(A56="",IF(SUMPRODUCT(--(B56:L56&lt;&gt;""))+SUMPRODUCT(--(N56:X56&lt;&gt;""))&gt;0,"Missing ID",""),IF(COUNTIF($A$8:$A$307,A56)&gt;1,"Duplicate ID",IF(OR(B56="",C56="",V56="",W56=""),"Source incomplete",IF(AND(H56&lt;&gt;"Pass",H56&lt;&gt;"Fail",H56&lt;&gt;"Unresolved"),"Choose compliance",IF(AND(I56&lt;&gt;"Not started",I56&lt;&gt;"In progress",I56&lt;&gt;"In review",I56&lt;&gt;"Complete"),"Choose progress",IF(AND(OR(H56="Pass",I56="Complete"),OR(J56="",K56="",L56="")),"Evidence or file missing",""))))))</f>
        <v/>
      </c>
      <c r="N56" s="29"/>
      <c r="O56" s="29"/>
      <c r="P56" s="29"/>
      <c r="Q56" s="29"/>
      <c r="R56" s="29"/>
      <c r="S56" s="29"/>
      <c r="T56" s="29"/>
      <c r="U56" s="29"/>
      <c r="V56" s="29"/>
      <c r="W56" s="29"/>
      <c r="X56" s="29"/>
    </row>
    <row r="57" customFormat="false" ht="44" hidden="false" customHeight="true" outlineLevel="0" collapsed="false">
      <c r="A57" s="29"/>
      <c r="B57" s="39"/>
      <c r="C57" s="39"/>
      <c r="D57" s="29"/>
      <c r="E57" s="29"/>
      <c r="F57" s="29"/>
      <c r="G57" s="29"/>
      <c r="H57" s="34"/>
      <c r="I57" s="34"/>
      <c r="J57" s="34"/>
      <c r="K57" s="34"/>
      <c r="L57" s="34"/>
      <c r="M57" s="35" t="str">
        <f aca="false">IF(A57="",IF(SUMPRODUCT(--(B57:L57&lt;&gt;""))+SUMPRODUCT(--(N57:X57&lt;&gt;""))&gt;0,"Missing ID",""),IF(COUNTIF($A$8:$A$307,A57)&gt;1,"Duplicate ID",IF(OR(B57="",C57="",V57="",W57=""),"Source incomplete",IF(AND(H57&lt;&gt;"Pass",H57&lt;&gt;"Fail",H57&lt;&gt;"Unresolved"),"Choose compliance",IF(AND(I57&lt;&gt;"Not started",I57&lt;&gt;"In progress",I57&lt;&gt;"In review",I57&lt;&gt;"Complete"),"Choose progress",IF(AND(OR(H57="Pass",I57="Complete"),OR(J57="",K57="",L57="")),"Evidence or file missing",""))))))</f>
        <v/>
      </c>
      <c r="N57" s="29"/>
      <c r="O57" s="29"/>
      <c r="P57" s="29"/>
      <c r="Q57" s="29"/>
      <c r="R57" s="29"/>
      <c r="S57" s="29"/>
      <c r="T57" s="29"/>
      <c r="U57" s="29"/>
      <c r="V57" s="29"/>
      <c r="W57" s="29"/>
      <c r="X57" s="29"/>
    </row>
    <row r="58" customFormat="false" ht="44" hidden="false" customHeight="true" outlineLevel="0" collapsed="false">
      <c r="A58" s="29"/>
      <c r="B58" s="39"/>
      <c r="C58" s="39"/>
      <c r="D58" s="29"/>
      <c r="E58" s="29"/>
      <c r="F58" s="29"/>
      <c r="G58" s="29"/>
      <c r="H58" s="34"/>
      <c r="I58" s="34"/>
      <c r="J58" s="34"/>
      <c r="K58" s="34"/>
      <c r="L58" s="34"/>
      <c r="M58" s="35" t="str">
        <f aca="false">IF(A58="",IF(SUMPRODUCT(--(B58:L58&lt;&gt;""))+SUMPRODUCT(--(N58:X58&lt;&gt;""))&gt;0,"Missing ID",""),IF(COUNTIF($A$8:$A$307,A58)&gt;1,"Duplicate ID",IF(OR(B58="",C58="",V58="",W58=""),"Source incomplete",IF(AND(H58&lt;&gt;"Pass",H58&lt;&gt;"Fail",H58&lt;&gt;"Unresolved"),"Choose compliance",IF(AND(I58&lt;&gt;"Not started",I58&lt;&gt;"In progress",I58&lt;&gt;"In review",I58&lt;&gt;"Complete"),"Choose progress",IF(AND(OR(H58="Pass",I58="Complete"),OR(J58="",K58="",L58="")),"Evidence or file missing",""))))))</f>
        <v/>
      </c>
      <c r="N58" s="29"/>
      <c r="O58" s="29"/>
      <c r="P58" s="29"/>
      <c r="Q58" s="29"/>
      <c r="R58" s="29"/>
      <c r="S58" s="29"/>
      <c r="T58" s="29"/>
      <c r="U58" s="29"/>
      <c r="V58" s="29"/>
      <c r="W58" s="29"/>
      <c r="X58" s="29"/>
    </row>
    <row r="59" customFormat="false" ht="44" hidden="false" customHeight="true" outlineLevel="0" collapsed="false">
      <c r="A59" s="29"/>
      <c r="B59" s="39"/>
      <c r="C59" s="39"/>
      <c r="D59" s="29"/>
      <c r="E59" s="29"/>
      <c r="F59" s="29"/>
      <c r="G59" s="29"/>
      <c r="H59" s="34"/>
      <c r="I59" s="34"/>
      <c r="J59" s="34"/>
      <c r="K59" s="34"/>
      <c r="L59" s="34"/>
      <c r="M59" s="35" t="str">
        <f aca="false">IF(A59="",IF(SUMPRODUCT(--(B59:L59&lt;&gt;""))+SUMPRODUCT(--(N59:X59&lt;&gt;""))&gt;0,"Missing ID",""),IF(COUNTIF($A$8:$A$307,A59)&gt;1,"Duplicate ID",IF(OR(B59="",C59="",V59="",W59=""),"Source incomplete",IF(AND(H59&lt;&gt;"Pass",H59&lt;&gt;"Fail",H59&lt;&gt;"Unresolved"),"Choose compliance",IF(AND(I59&lt;&gt;"Not started",I59&lt;&gt;"In progress",I59&lt;&gt;"In review",I59&lt;&gt;"Complete"),"Choose progress",IF(AND(OR(H59="Pass",I59="Complete"),OR(J59="",K59="",L59="")),"Evidence or file missing",""))))))</f>
        <v/>
      </c>
      <c r="N59" s="29"/>
      <c r="O59" s="29"/>
      <c r="P59" s="29"/>
      <c r="Q59" s="29"/>
      <c r="R59" s="29"/>
      <c r="S59" s="29"/>
      <c r="T59" s="29"/>
      <c r="U59" s="29"/>
      <c r="V59" s="29"/>
      <c r="W59" s="29"/>
      <c r="X59" s="29"/>
    </row>
    <row r="60" customFormat="false" ht="44" hidden="false" customHeight="true" outlineLevel="0" collapsed="false">
      <c r="A60" s="29"/>
      <c r="B60" s="39"/>
      <c r="C60" s="39"/>
      <c r="D60" s="29"/>
      <c r="E60" s="29"/>
      <c r="F60" s="29"/>
      <c r="G60" s="29"/>
      <c r="H60" s="34"/>
      <c r="I60" s="34"/>
      <c r="J60" s="34"/>
      <c r="K60" s="34"/>
      <c r="L60" s="34"/>
      <c r="M60" s="35" t="str">
        <f aca="false">IF(A60="",IF(SUMPRODUCT(--(B60:L60&lt;&gt;""))+SUMPRODUCT(--(N60:X60&lt;&gt;""))&gt;0,"Missing ID",""),IF(COUNTIF($A$8:$A$307,A60)&gt;1,"Duplicate ID",IF(OR(B60="",C60="",V60="",W60=""),"Source incomplete",IF(AND(H60&lt;&gt;"Pass",H60&lt;&gt;"Fail",H60&lt;&gt;"Unresolved"),"Choose compliance",IF(AND(I60&lt;&gt;"Not started",I60&lt;&gt;"In progress",I60&lt;&gt;"In review",I60&lt;&gt;"Complete"),"Choose progress",IF(AND(OR(H60="Pass",I60="Complete"),OR(J60="",K60="",L60="")),"Evidence or file missing",""))))))</f>
        <v/>
      </c>
      <c r="N60" s="29"/>
      <c r="O60" s="29"/>
      <c r="P60" s="29"/>
      <c r="Q60" s="29"/>
      <c r="R60" s="29"/>
      <c r="S60" s="29"/>
      <c r="T60" s="29"/>
      <c r="U60" s="29"/>
      <c r="V60" s="29"/>
      <c r="W60" s="29"/>
      <c r="X60" s="29"/>
    </row>
    <row r="61" customFormat="false" ht="44" hidden="false" customHeight="true" outlineLevel="0" collapsed="false">
      <c r="A61" s="29"/>
      <c r="B61" s="39"/>
      <c r="C61" s="39"/>
      <c r="D61" s="29"/>
      <c r="E61" s="29"/>
      <c r="F61" s="29"/>
      <c r="G61" s="29"/>
      <c r="H61" s="34"/>
      <c r="I61" s="34"/>
      <c r="J61" s="34"/>
      <c r="K61" s="34"/>
      <c r="L61" s="34"/>
      <c r="M61" s="35" t="str">
        <f aca="false">IF(A61="",IF(SUMPRODUCT(--(B61:L61&lt;&gt;""))+SUMPRODUCT(--(N61:X61&lt;&gt;""))&gt;0,"Missing ID",""),IF(COUNTIF($A$8:$A$307,A61)&gt;1,"Duplicate ID",IF(OR(B61="",C61="",V61="",W61=""),"Source incomplete",IF(AND(H61&lt;&gt;"Pass",H61&lt;&gt;"Fail",H61&lt;&gt;"Unresolved"),"Choose compliance",IF(AND(I61&lt;&gt;"Not started",I61&lt;&gt;"In progress",I61&lt;&gt;"In review",I61&lt;&gt;"Complete"),"Choose progress",IF(AND(OR(H61="Pass",I61="Complete"),OR(J61="",K61="",L61="")),"Evidence or file missing",""))))))</f>
        <v/>
      </c>
      <c r="N61" s="29"/>
      <c r="O61" s="29"/>
      <c r="P61" s="29"/>
      <c r="Q61" s="29"/>
      <c r="R61" s="29"/>
      <c r="S61" s="29"/>
      <c r="T61" s="29"/>
      <c r="U61" s="29"/>
      <c r="V61" s="29"/>
      <c r="W61" s="29"/>
      <c r="X61" s="29"/>
    </row>
    <row r="62" customFormat="false" ht="44" hidden="false" customHeight="true" outlineLevel="0" collapsed="false">
      <c r="A62" s="29"/>
      <c r="B62" s="39"/>
      <c r="C62" s="39"/>
      <c r="D62" s="29"/>
      <c r="E62" s="29"/>
      <c r="F62" s="29"/>
      <c r="G62" s="29"/>
      <c r="H62" s="34"/>
      <c r="I62" s="34"/>
      <c r="J62" s="34"/>
      <c r="K62" s="34"/>
      <c r="L62" s="34"/>
      <c r="M62" s="35" t="str">
        <f aca="false">IF(A62="",IF(SUMPRODUCT(--(B62:L62&lt;&gt;""))+SUMPRODUCT(--(N62:X62&lt;&gt;""))&gt;0,"Missing ID",""),IF(COUNTIF($A$8:$A$307,A62)&gt;1,"Duplicate ID",IF(OR(B62="",C62="",V62="",W62=""),"Source incomplete",IF(AND(H62&lt;&gt;"Pass",H62&lt;&gt;"Fail",H62&lt;&gt;"Unresolved"),"Choose compliance",IF(AND(I62&lt;&gt;"Not started",I62&lt;&gt;"In progress",I62&lt;&gt;"In review",I62&lt;&gt;"Complete"),"Choose progress",IF(AND(OR(H62="Pass",I62="Complete"),OR(J62="",K62="",L62="")),"Evidence or file missing",""))))))</f>
        <v/>
      </c>
      <c r="N62" s="29"/>
      <c r="O62" s="29"/>
      <c r="P62" s="29"/>
      <c r="Q62" s="29"/>
      <c r="R62" s="29"/>
      <c r="S62" s="29"/>
      <c r="T62" s="29"/>
      <c r="U62" s="29"/>
      <c r="V62" s="29"/>
      <c r="W62" s="29"/>
      <c r="X62" s="29"/>
    </row>
    <row r="63" customFormat="false" ht="44" hidden="false" customHeight="true" outlineLevel="0" collapsed="false">
      <c r="A63" s="29"/>
      <c r="B63" s="39"/>
      <c r="C63" s="39"/>
      <c r="D63" s="29"/>
      <c r="E63" s="29"/>
      <c r="F63" s="29"/>
      <c r="G63" s="29"/>
      <c r="H63" s="34"/>
      <c r="I63" s="34"/>
      <c r="J63" s="34"/>
      <c r="K63" s="34"/>
      <c r="L63" s="34"/>
      <c r="M63" s="35" t="str">
        <f aca="false">IF(A63="",IF(SUMPRODUCT(--(B63:L63&lt;&gt;""))+SUMPRODUCT(--(N63:X63&lt;&gt;""))&gt;0,"Missing ID",""),IF(COUNTIF($A$8:$A$307,A63)&gt;1,"Duplicate ID",IF(OR(B63="",C63="",V63="",W63=""),"Source incomplete",IF(AND(H63&lt;&gt;"Pass",H63&lt;&gt;"Fail",H63&lt;&gt;"Unresolved"),"Choose compliance",IF(AND(I63&lt;&gt;"Not started",I63&lt;&gt;"In progress",I63&lt;&gt;"In review",I63&lt;&gt;"Complete"),"Choose progress",IF(AND(OR(H63="Pass",I63="Complete"),OR(J63="",K63="",L63="")),"Evidence or file missing",""))))))</f>
        <v/>
      </c>
      <c r="N63" s="29"/>
      <c r="O63" s="29"/>
      <c r="P63" s="29"/>
      <c r="Q63" s="29"/>
      <c r="R63" s="29"/>
      <c r="S63" s="29"/>
      <c r="T63" s="29"/>
      <c r="U63" s="29"/>
      <c r="V63" s="29"/>
      <c r="W63" s="29"/>
      <c r="X63" s="29"/>
    </row>
    <row r="64" customFormat="false" ht="44" hidden="false" customHeight="true" outlineLevel="0" collapsed="false">
      <c r="A64" s="29"/>
      <c r="B64" s="39"/>
      <c r="C64" s="39"/>
      <c r="D64" s="29"/>
      <c r="E64" s="29"/>
      <c r="F64" s="29"/>
      <c r="G64" s="29"/>
      <c r="H64" s="34"/>
      <c r="I64" s="34"/>
      <c r="J64" s="34"/>
      <c r="K64" s="34"/>
      <c r="L64" s="34"/>
      <c r="M64" s="35" t="str">
        <f aca="false">IF(A64="",IF(SUMPRODUCT(--(B64:L64&lt;&gt;""))+SUMPRODUCT(--(N64:X64&lt;&gt;""))&gt;0,"Missing ID",""),IF(COUNTIF($A$8:$A$307,A64)&gt;1,"Duplicate ID",IF(OR(B64="",C64="",V64="",W64=""),"Source incomplete",IF(AND(H64&lt;&gt;"Pass",H64&lt;&gt;"Fail",H64&lt;&gt;"Unresolved"),"Choose compliance",IF(AND(I64&lt;&gt;"Not started",I64&lt;&gt;"In progress",I64&lt;&gt;"In review",I64&lt;&gt;"Complete"),"Choose progress",IF(AND(OR(H64="Pass",I64="Complete"),OR(J64="",K64="",L64="")),"Evidence or file missing",""))))))</f>
        <v/>
      </c>
      <c r="N64" s="29"/>
      <c r="O64" s="29"/>
      <c r="P64" s="29"/>
      <c r="Q64" s="29"/>
      <c r="R64" s="29"/>
      <c r="S64" s="29"/>
      <c r="T64" s="29"/>
      <c r="U64" s="29"/>
      <c r="V64" s="29"/>
      <c r="W64" s="29"/>
      <c r="X64" s="29"/>
    </row>
    <row r="65" customFormat="false" ht="44" hidden="false" customHeight="true" outlineLevel="0" collapsed="false">
      <c r="A65" s="29"/>
      <c r="B65" s="39"/>
      <c r="C65" s="39"/>
      <c r="D65" s="29"/>
      <c r="E65" s="29"/>
      <c r="F65" s="29"/>
      <c r="G65" s="29"/>
      <c r="H65" s="34"/>
      <c r="I65" s="34"/>
      <c r="J65" s="34"/>
      <c r="K65" s="34"/>
      <c r="L65" s="34"/>
      <c r="M65" s="35" t="str">
        <f aca="false">IF(A65="",IF(SUMPRODUCT(--(B65:L65&lt;&gt;""))+SUMPRODUCT(--(N65:X65&lt;&gt;""))&gt;0,"Missing ID",""),IF(COUNTIF($A$8:$A$307,A65)&gt;1,"Duplicate ID",IF(OR(B65="",C65="",V65="",W65=""),"Source incomplete",IF(AND(H65&lt;&gt;"Pass",H65&lt;&gt;"Fail",H65&lt;&gt;"Unresolved"),"Choose compliance",IF(AND(I65&lt;&gt;"Not started",I65&lt;&gt;"In progress",I65&lt;&gt;"In review",I65&lt;&gt;"Complete"),"Choose progress",IF(AND(OR(H65="Pass",I65="Complete"),OR(J65="",K65="",L65="")),"Evidence or file missing",""))))))</f>
        <v/>
      </c>
      <c r="N65" s="29"/>
      <c r="O65" s="29"/>
      <c r="P65" s="29"/>
      <c r="Q65" s="29"/>
      <c r="R65" s="29"/>
      <c r="S65" s="29"/>
      <c r="T65" s="29"/>
      <c r="U65" s="29"/>
      <c r="V65" s="29"/>
      <c r="W65" s="29"/>
      <c r="X65" s="29"/>
    </row>
    <row r="66" customFormat="false" ht="44" hidden="false" customHeight="true" outlineLevel="0" collapsed="false">
      <c r="A66" s="29"/>
      <c r="B66" s="39"/>
      <c r="C66" s="39"/>
      <c r="D66" s="29"/>
      <c r="E66" s="29"/>
      <c r="F66" s="29"/>
      <c r="G66" s="29"/>
      <c r="H66" s="34"/>
      <c r="I66" s="34"/>
      <c r="J66" s="34"/>
      <c r="K66" s="34"/>
      <c r="L66" s="34"/>
      <c r="M66" s="35" t="str">
        <f aca="false">IF(A66="",IF(SUMPRODUCT(--(B66:L66&lt;&gt;""))+SUMPRODUCT(--(N66:X66&lt;&gt;""))&gt;0,"Missing ID",""),IF(COUNTIF($A$8:$A$307,A66)&gt;1,"Duplicate ID",IF(OR(B66="",C66="",V66="",W66=""),"Source incomplete",IF(AND(H66&lt;&gt;"Pass",H66&lt;&gt;"Fail",H66&lt;&gt;"Unresolved"),"Choose compliance",IF(AND(I66&lt;&gt;"Not started",I66&lt;&gt;"In progress",I66&lt;&gt;"In review",I66&lt;&gt;"Complete"),"Choose progress",IF(AND(OR(H66="Pass",I66="Complete"),OR(J66="",K66="",L66="")),"Evidence or file missing",""))))))</f>
        <v/>
      </c>
      <c r="N66" s="29"/>
      <c r="O66" s="29"/>
      <c r="P66" s="29"/>
      <c r="Q66" s="29"/>
      <c r="R66" s="29"/>
      <c r="S66" s="29"/>
      <c r="T66" s="29"/>
      <c r="U66" s="29"/>
      <c r="V66" s="29"/>
      <c r="W66" s="29"/>
      <c r="X66" s="29"/>
    </row>
    <row r="67" customFormat="false" ht="44" hidden="false" customHeight="true" outlineLevel="0" collapsed="false">
      <c r="A67" s="29"/>
      <c r="B67" s="39"/>
      <c r="C67" s="39"/>
      <c r="D67" s="29"/>
      <c r="E67" s="29"/>
      <c r="F67" s="29"/>
      <c r="G67" s="29"/>
      <c r="H67" s="34"/>
      <c r="I67" s="34"/>
      <c r="J67" s="34"/>
      <c r="K67" s="34"/>
      <c r="L67" s="34"/>
      <c r="M67" s="35" t="str">
        <f aca="false">IF(A67="",IF(SUMPRODUCT(--(B67:L67&lt;&gt;""))+SUMPRODUCT(--(N67:X67&lt;&gt;""))&gt;0,"Missing ID",""),IF(COUNTIF($A$8:$A$307,A67)&gt;1,"Duplicate ID",IF(OR(B67="",C67="",V67="",W67=""),"Source incomplete",IF(AND(H67&lt;&gt;"Pass",H67&lt;&gt;"Fail",H67&lt;&gt;"Unresolved"),"Choose compliance",IF(AND(I67&lt;&gt;"Not started",I67&lt;&gt;"In progress",I67&lt;&gt;"In review",I67&lt;&gt;"Complete"),"Choose progress",IF(AND(OR(H67="Pass",I67="Complete"),OR(J67="",K67="",L67="")),"Evidence or file missing",""))))))</f>
        <v/>
      </c>
      <c r="N67" s="29"/>
      <c r="O67" s="29"/>
      <c r="P67" s="29"/>
      <c r="Q67" s="29"/>
      <c r="R67" s="29"/>
      <c r="S67" s="29"/>
      <c r="T67" s="29"/>
      <c r="U67" s="29"/>
      <c r="V67" s="29"/>
      <c r="W67" s="29"/>
      <c r="X67" s="29"/>
    </row>
    <row r="68" customFormat="false" ht="44" hidden="false" customHeight="true" outlineLevel="0" collapsed="false">
      <c r="A68" s="29"/>
      <c r="B68" s="39"/>
      <c r="C68" s="39"/>
      <c r="D68" s="29"/>
      <c r="E68" s="29"/>
      <c r="F68" s="29"/>
      <c r="G68" s="29"/>
      <c r="H68" s="34"/>
      <c r="I68" s="34"/>
      <c r="J68" s="34"/>
      <c r="K68" s="34"/>
      <c r="L68" s="34"/>
      <c r="M68" s="35" t="str">
        <f aca="false">IF(A68="",IF(SUMPRODUCT(--(B68:L68&lt;&gt;""))+SUMPRODUCT(--(N68:X68&lt;&gt;""))&gt;0,"Missing ID",""),IF(COUNTIF($A$8:$A$307,A68)&gt;1,"Duplicate ID",IF(OR(B68="",C68="",V68="",W68=""),"Source incomplete",IF(AND(H68&lt;&gt;"Pass",H68&lt;&gt;"Fail",H68&lt;&gt;"Unresolved"),"Choose compliance",IF(AND(I68&lt;&gt;"Not started",I68&lt;&gt;"In progress",I68&lt;&gt;"In review",I68&lt;&gt;"Complete"),"Choose progress",IF(AND(OR(H68="Pass",I68="Complete"),OR(J68="",K68="",L68="")),"Evidence or file missing",""))))))</f>
        <v/>
      </c>
      <c r="N68" s="29"/>
      <c r="O68" s="29"/>
      <c r="P68" s="29"/>
      <c r="Q68" s="29"/>
      <c r="R68" s="29"/>
      <c r="S68" s="29"/>
      <c r="T68" s="29"/>
      <c r="U68" s="29"/>
      <c r="V68" s="29"/>
      <c r="W68" s="29"/>
      <c r="X68" s="29"/>
    </row>
    <row r="69" customFormat="false" ht="44" hidden="false" customHeight="true" outlineLevel="0" collapsed="false">
      <c r="A69" s="29"/>
      <c r="B69" s="39"/>
      <c r="C69" s="39"/>
      <c r="D69" s="29"/>
      <c r="E69" s="29"/>
      <c r="F69" s="29"/>
      <c r="G69" s="29"/>
      <c r="H69" s="34"/>
      <c r="I69" s="34"/>
      <c r="J69" s="34"/>
      <c r="K69" s="34"/>
      <c r="L69" s="34"/>
      <c r="M69" s="35" t="str">
        <f aca="false">IF(A69="",IF(SUMPRODUCT(--(B69:L69&lt;&gt;""))+SUMPRODUCT(--(N69:X69&lt;&gt;""))&gt;0,"Missing ID",""),IF(COUNTIF($A$8:$A$307,A69)&gt;1,"Duplicate ID",IF(OR(B69="",C69="",V69="",W69=""),"Source incomplete",IF(AND(H69&lt;&gt;"Pass",H69&lt;&gt;"Fail",H69&lt;&gt;"Unresolved"),"Choose compliance",IF(AND(I69&lt;&gt;"Not started",I69&lt;&gt;"In progress",I69&lt;&gt;"In review",I69&lt;&gt;"Complete"),"Choose progress",IF(AND(OR(H69="Pass",I69="Complete"),OR(J69="",K69="",L69="")),"Evidence or file missing",""))))))</f>
        <v/>
      </c>
      <c r="N69" s="29"/>
      <c r="O69" s="29"/>
      <c r="P69" s="29"/>
      <c r="Q69" s="29"/>
      <c r="R69" s="29"/>
      <c r="S69" s="29"/>
      <c r="T69" s="29"/>
      <c r="U69" s="29"/>
      <c r="V69" s="29"/>
      <c r="W69" s="29"/>
      <c r="X69" s="29"/>
    </row>
    <row r="70" customFormat="false" ht="44" hidden="false" customHeight="true" outlineLevel="0" collapsed="false">
      <c r="A70" s="29"/>
      <c r="B70" s="39"/>
      <c r="C70" s="39"/>
      <c r="D70" s="29"/>
      <c r="E70" s="29"/>
      <c r="F70" s="29"/>
      <c r="G70" s="29"/>
      <c r="H70" s="34"/>
      <c r="I70" s="34"/>
      <c r="J70" s="34"/>
      <c r="K70" s="34"/>
      <c r="L70" s="34"/>
      <c r="M70" s="35" t="str">
        <f aca="false">IF(A70="",IF(SUMPRODUCT(--(B70:L70&lt;&gt;""))+SUMPRODUCT(--(N70:X70&lt;&gt;""))&gt;0,"Missing ID",""),IF(COUNTIF($A$8:$A$307,A70)&gt;1,"Duplicate ID",IF(OR(B70="",C70="",V70="",W70=""),"Source incomplete",IF(AND(H70&lt;&gt;"Pass",H70&lt;&gt;"Fail",H70&lt;&gt;"Unresolved"),"Choose compliance",IF(AND(I70&lt;&gt;"Not started",I70&lt;&gt;"In progress",I70&lt;&gt;"In review",I70&lt;&gt;"Complete"),"Choose progress",IF(AND(OR(H70="Pass",I70="Complete"),OR(J70="",K70="",L70="")),"Evidence or file missing",""))))))</f>
        <v/>
      </c>
      <c r="N70" s="29"/>
      <c r="O70" s="29"/>
      <c r="P70" s="29"/>
      <c r="Q70" s="29"/>
      <c r="R70" s="29"/>
      <c r="S70" s="29"/>
      <c r="T70" s="29"/>
      <c r="U70" s="29"/>
      <c r="V70" s="29"/>
      <c r="W70" s="29"/>
      <c r="X70" s="29"/>
    </row>
    <row r="71" customFormat="false" ht="44" hidden="false" customHeight="true" outlineLevel="0" collapsed="false">
      <c r="A71" s="29"/>
      <c r="B71" s="39"/>
      <c r="C71" s="39"/>
      <c r="D71" s="29"/>
      <c r="E71" s="29"/>
      <c r="F71" s="29"/>
      <c r="G71" s="29"/>
      <c r="H71" s="34"/>
      <c r="I71" s="34"/>
      <c r="J71" s="34"/>
      <c r="K71" s="34"/>
      <c r="L71" s="34"/>
      <c r="M71" s="35" t="str">
        <f aca="false">IF(A71="",IF(SUMPRODUCT(--(B71:L71&lt;&gt;""))+SUMPRODUCT(--(N71:X71&lt;&gt;""))&gt;0,"Missing ID",""),IF(COUNTIF($A$8:$A$307,A71)&gt;1,"Duplicate ID",IF(OR(B71="",C71="",V71="",W71=""),"Source incomplete",IF(AND(H71&lt;&gt;"Pass",H71&lt;&gt;"Fail",H71&lt;&gt;"Unresolved"),"Choose compliance",IF(AND(I71&lt;&gt;"Not started",I71&lt;&gt;"In progress",I71&lt;&gt;"In review",I71&lt;&gt;"Complete"),"Choose progress",IF(AND(OR(H71="Pass",I71="Complete"),OR(J71="",K71="",L71="")),"Evidence or file missing",""))))))</f>
        <v/>
      </c>
      <c r="N71" s="29"/>
      <c r="O71" s="29"/>
      <c r="P71" s="29"/>
      <c r="Q71" s="29"/>
      <c r="R71" s="29"/>
      <c r="S71" s="29"/>
      <c r="T71" s="29"/>
      <c r="U71" s="29"/>
      <c r="V71" s="29"/>
      <c r="W71" s="29"/>
      <c r="X71" s="29"/>
    </row>
    <row r="72" customFormat="false" ht="44" hidden="false" customHeight="true" outlineLevel="0" collapsed="false">
      <c r="A72" s="29"/>
      <c r="B72" s="39"/>
      <c r="C72" s="39"/>
      <c r="D72" s="29"/>
      <c r="E72" s="29"/>
      <c r="F72" s="29"/>
      <c r="G72" s="29"/>
      <c r="H72" s="34"/>
      <c r="I72" s="34"/>
      <c r="J72" s="34"/>
      <c r="K72" s="34"/>
      <c r="L72" s="34"/>
      <c r="M72" s="35" t="str">
        <f aca="false">IF(A72="",IF(SUMPRODUCT(--(B72:L72&lt;&gt;""))+SUMPRODUCT(--(N72:X72&lt;&gt;""))&gt;0,"Missing ID",""),IF(COUNTIF($A$8:$A$307,A72)&gt;1,"Duplicate ID",IF(OR(B72="",C72="",V72="",W72=""),"Source incomplete",IF(AND(H72&lt;&gt;"Pass",H72&lt;&gt;"Fail",H72&lt;&gt;"Unresolved"),"Choose compliance",IF(AND(I72&lt;&gt;"Not started",I72&lt;&gt;"In progress",I72&lt;&gt;"In review",I72&lt;&gt;"Complete"),"Choose progress",IF(AND(OR(H72="Pass",I72="Complete"),OR(J72="",K72="",L72="")),"Evidence or file missing",""))))))</f>
        <v/>
      </c>
      <c r="N72" s="29"/>
      <c r="O72" s="29"/>
      <c r="P72" s="29"/>
      <c r="Q72" s="29"/>
      <c r="R72" s="29"/>
      <c r="S72" s="29"/>
      <c r="T72" s="29"/>
      <c r="U72" s="29"/>
      <c r="V72" s="29"/>
      <c r="W72" s="29"/>
      <c r="X72" s="29"/>
    </row>
    <row r="73" customFormat="false" ht="44" hidden="false" customHeight="true" outlineLevel="0" collapsed="false">
      <c r="A73" s="29"/>
      <c r="B73" s="39"/>
      <c r="C73" s="39"/>
      <c r="D73" s="29"/>
      <c r="E73" s="29"/>
      <c r="F73" s="29"/>
      <c r="G73" s="29"/>
      <c r="H73" s="34"/>
      <c r="I73" s="34"/>
      <c r="J73" s="34"/>
      <c r="K73" s="34"/>
      <c r="L73" s="34"/>
      <c r="M73" s="35" t="str">
        <f aca="false">IF(A73="",IF(SUMPRODUCT(--(B73:L73&lt;&gt;""))+SUMPRODUCT(--(N73:X73&lt;&gt;""))&gt;0,"Missing ID",""),IF(COUNTIF($A$8:$A$307,A73)&gt;1,"Duplicate ID",IF(OR(B73="",C73="",V73="",W73=""),"Source incomplete",IF(AND(H73&lt;&gt;"Pass",H73&lt;&gt;"Fail",H73&lt;&gt;"Unresolved"),"Choose compliance",IF(AND(I73&lt;&gt;"Not started",I73&lt;&gt;"In progress",I73&lt;&gt;"In review",I73&lt;&gt;"Complete"),"Choose progress",IF(AND(OR(H73="Pass",I73="Complete"),OR(J73="",K73="",L73="")),"Evidence or file missing",""))))))</f>
        <v/>
      </c>
      <c r="N73" s="29"/>
      <c r="O73" s="29"/>
      <c r="P73" s="29"/>
      <c r="Q73" s="29"/>
      <c r="R73" s="29"/>
      <c r="S73" s="29"/>
      <c r="T73" s="29"/>
      <c r="U73" s="29"/>
      <c r="V73" s="29"/>
      <c r="W73" s="29"/>
      <c r="X73" s="29"/>
    </row>
    <row r="74" customFormat="false" ht="44" hidden="false" customHeight="true" outlineLevel="0" collapsed="false">
      <c r="A74" s="29"/>
      <c r="B74" s="39"/>
      <c r="C74" s="39"/>
      <c r="D74" s="29"/>
      <c r="E74" s="29"/>
      <c r="F74" s="29"/>
      <c r="G74" s="29"/>
      <c r="H74" s="34"/>
      <c r="I74" s="34"/>
      <c r="J74" s="34"/>
      <c r="K74" s="34"/>
      <c r="L74" s="34"/>
      <c r="M74" s="35" t="str">
        <f aca="false">IF(A74="",IF(SUMPRODUCT(--(B74:L74&lt;&gt;""))+SUMPRODUCT(--(N74:X74&lt;&gt;""))&gt;0,"Missing ID",""),IF(COUNTIF($A$8:$A$307,A74)&gt;1,"Duplicate ID",IF(OR(B74="",C74="",V74="",W74=""),"Source incomplete",IF(AND(H74&lt;&gt;"Pass",H74&lt;&gt;"Fail",H74&lt;&gt;"Unresolved"),"Choose compliance",IF(AND(I74&lt;&gt;"Not started",I74&lt;&gt;"In progress",I74&lt;&gt;"In review",I74&lt;&gt;"Complete"),"Choose progress",IF(AND(OR(H74="Pass",I74="Complete"),OR(J74="",K74="",L74="")),"Evidence or file missing",""))))))</f>
        <v/>
      </c>
      <c r="N74" s="29"/>
      <c r="O74" s="29"/>
      <c r="P74" s="29"/>
      <c r="Q74" s="29"/>
      <c r="R74" s="29"/>
      <c r="S74" s="29"/>
      <c r="T74" s="29"/>
      <c r="U74" s="29"/>
      <c r="V74" s="29"/>
      <c r="W74" s="29"/>
      <c r="X74" s="29"/>
    </row>
    <row r="75" customFormat="false" ht="44" hidden="false" customHeight="true" outlineLevel="0" collapsed="false">
      <c r="A75" s="29"/>
      <c r="B75" s="39"/>
      <c r="C75" s="39"/>
      <c r="D75" s="29"/>
      <c r="E75" s="29"/>
      <c r="F75" s="29"/>
      <c r="G75" s="29"/>
      <c r="H75" s="34"/>
      <c r="I75" s="34"/>
      <c r="J75" s="34"/>
      <c r="K75" s="34"/>
      <c r="L75" s="34"/>
      <c r="M75" s="35" t="str">
        <f aca="false">IF(A75="",IF(SUMPRODUCT(--(B75:L75&lt;&gt;""))+SUMPRODUCT(--(N75:X75&lt;&gt;""))&gt;0,"Missing ID",""),IF(COUNTIF($A$8:$A$307,A75)&gt;1,"Duplicate ID",IF(OR(B75="",C75="",V75="",W75=""),"Source incomplete",IF(AND(H75&lt;&gt;"Pass",H75&lt;&gt;"Fail",H75&lt;&gt;"Unresolved"),"Choose compliance",IF(AND(I75&lt;&gt;"Not started",I75&lt;&gt;"In progress",I75&lt;&gt;"In review",I75&lt;&gt;"Complete"),"Choose progress",IF(AND(OR(H75="Pass",I75="Complete"),OR(J75="",K75="",L75="")),"Evidence or file missing",""))))))</f>
        <v/>
      </c>
      <c r="N75" s="29"/>
      <c r="O75" s="29"/>
      <c r="P75" s="29"/>
      <c r="Q75" s="29"/>
      <c r="R75" s="29"/>
      <c r="S75" s="29"/>
      <c r="T75" s="29"/>
      <c r="U75" s="29"/>
      <c r="V75" s="29"/>
      <c r="W75" s="29"/>
      <c r="X75" s="29"/>
    </row>
    <row r="76" customFormat="false" ht="44" hidden="false" customHeight="true" outlineLevel="0" collapsed="false">
      <c r="A76" s="29"/>
      <c r="B76" s="39"/>
      <c r="C76" s="39"/>
      <c r="D76" s="29"/>
      <c r="E76" s="29"/>
      <c r="F76" s="29"/>
      <c r="G76" s="29"/>
      <c r="H76" s="34"/>
      <c r="I76" s="34"/>
      <c r="J76" s="34"/>
      <c r="K76" s="34"/>
      <c r="L76" s="34"/>
      <c r="M76" s="35" t="str">
        <f aca="false">IF(A76="",IF(SUMPRODUCT(--(B76:L76&lt;&gt;""))+SUMPRODUCT(--(N76:X76&lt;&gt;""))&gt;0,"Missing ID",""),IF(COUNTIF($A$8:$A$307,A76)&gt;1,"Duplicate ID",IF(OR(B76="",C76="",V76="",W76=""),"Source incomplete",IF(AND(H76&lt;&gt;"Pass",H76&lt;&gt;"Fail",H76&lt;&gt;"Unresolved"),"Choose compliance",IF(AND(I76&lt;&gt;"Not started",I76&lt;&gt;"In progress",I76&lt;&gt;"In review",I76&lt;&gt;"Complete"),"Choose progress",IF(AND(OR(H76="Pass",I76="Complete"),OR(J76="",K76="",L76="")),"Evidence or file missing",""))))))</f>
        <v/>
      </c>
      <c r="N76" s="29"/>
      <c r="O76" s="29"/>
      <c r="P76" s="29"/>
      <c r="Q76" s="29"/>
      <c r="R76" s="29"/>
      <c r="S76" s="29"/>
      <c r="T76" s="29"/>
      <c r="U76" s="29"/>
      <c r="V76" s="29"/>
      <c r="W76" s="29"/>
      <c r="X76" s="29"/>
    </row>
    <row r="77" customFormat="false" ht="44" hidden="false" customHeight="true" outlineLevel="0" collapsed="false">
      <c r="A77" s="29"/>
      <c r="B77" s="39"/>
      <c r="C77" s="39"/>
      <c r="D77" s="29"/>
      <c r="E77" s="29"/>
      <c r="F77" s="29"/>
      <c r="G77" s="29"/>
      <c r="H77" s="34"/>
      <c r="I77" s="34"/>
      <c r="J77" s="34"/>
      <c r="K77" s="34"/>
      <c r="L77" s="34"/>
      <c r="M77" s="35" t="str">
        <f aca="false">IF(A77="",IF(SUMPRODUCT(--(B77:L77&lt;&gt;""))+SUMPRODUCT(--(N77:X77&lt;&gt;""))&gt;0,"Missing ID",""),IF(COUNTIF($A$8:$A$307,A77)&gt;1,"Duplicate ID",IF(OR(B77="",C77="",V77="",W77=""),"Source incomplete",IF(AND(H77&lt;&gt;"Pass",H77&lt;&gt;"Fail",H77&lt;&gt;"Unresolved"),"Choose compliance",IF(AND(I77&lt;&gt;"Not started",I77&lt;&gt;"In progress",I77&lt;&gt;"In review",I77&lt;&gt;"Complete"),"Choose progress",IF(AND(OR(H77="Pass",I77="Complete"),OR(J77="",K77="",L77="")),"Evidence or file missing",""))))))</f>
        <v/>
      </c>
      <c r="N77" s="29"/>
      <c r="O77" s="29"/>
      <c r="P77" s="29"/>
      <c r="Q77" s="29"/>
      <c r="R77" s="29"/>
      <c r="S77" s="29"/>
      <c r="T77" s="29"/>
      <c r="U77" s="29"/>
      <c r="V77" s="29"/>
      <c r="W77" s="29"/>
      <c r="X77" s="29"/>
    </row>
    <row r="78" customFormat="false" ht="44" hidden="false" customHeight="true" outlineLevel="0" collapsed="false">
      <c r="A78" s="29"/>
      <c r="B78" s="39"/>
      <c r="C78" s="39"/>
      <c r="D78" s="29"/>
      <c r="E78" s="29"/>
      <c r="F78" s="29"/>
      <c r="G78" s="29"/>
      <c r="H78" s="34"/>
      <c r="I78" s="34"/>
      <c r="J78" s="34"/>
      <c r="K78" s="34"/>
      <c r="L78" s="34"/>
      <c r="M78" s="35" t="str">
        <f aca="false">IF(A78="",IF(SUMPRODUCT(--(B78:L78&lt;&gt;""))+SUMPRODUCT(--(N78:X78&lt;&gt;""))&gt;0,"Missing ID",""),IF(COUNTIF($A$8:$A$307,A78)&gt;1,"Duplicate ID",IF(OR(B78="",C78="",V78="",W78=""),"Source incomplete",IF(AND(H78&lt;&gt;"Pass",H78&lt;&gt;"Fail",H78&lt;&gt;"Unresolved"),"Choose compliance",IF(AND(I78&lt;&gt;"Not started",I78&lt;&gt;"In progress",I78&lt;&gt;"In review",I78&lt;&gt;"Complete"),"Choose progress",IF(AND(OR(H78="Pass",I78="Complete"),OR(J78="",K78="",L78="")),"Evidence or file missing",""))))))</f>
        <v/>
      </c>
      <c r="N78" s="29"/>
      <c r="O78" s="29"/>
      <c r="P78" s="29"/>
      <c r="Q78" s="29"/>
      <c r="R78" s="29"/>
      <c r="S78" s="29"/>
      <c r="T78" s="29"/>
      <c r="U78" s="29"/>
      <c r="V78" s="29"/>
      <c r="W78" s="29"/>
      <c r="X78" s="29"/>
    </row>
    <row r="79" customFormat="false" ht="44" hidden="false" customHeight="true" outlineLevel="0" collapsed="false">
      <c r="A79" s="29"/>
      <c r="B79" s="39"/>
      <c r="C79" s="39"/>
      <c r="D79" s="29"/>
      <c r="E79" s="29"/>
      <c r="F79" s="29"/>
      <c r="G79" s="29"/>
      <c r="H79" s="34"/>
      <c r="I79" s="34"/>
      <c r="J79" s="34"/>
      <c r="K79" s="34"/>
      <c r="L79" s="34"/>
      <c r="M79" s="35" t="str">
        <f aca="false">IF(A79="",IF(SUMPRODUCT(--(B79:L79&lt;&gt;""))+SUMPRODUCT(--(N79:X79&lt;&gt;""))&gt;0,"Missing ID",""),IF(COUNTIF($A$8:$A$307,A79)&gt;1,"Duplicate ID",IF(OR(B79="",C79="",V79="",W79=""),"Source incomplete",IF(AND(H79&lt;&gt;"Pass",H79&lt;&gt;"Fail",H79&lt;&gt;"Unresolved"),"Choose compliance",IF(AND(I79&lt;&gt;"Not started",I79&lt;&gt;"In progress",I79&lt;&gt;"In review",I79&lt;&gt;"Complete"),"Choose progress",IF(AND(OR(H79="Pass",I79="Complete"),OR(J79="",K79="",L79="")),"Evidence or file missing",""))))))</f>
        <v/>
      </c>
      <c r="N79" s="29"/>
      <c r="O79" s="29"/>
      <c r="P79" s="29"/>
      <c r="Q79" s="29"/>
      <c r="R79" s="29"/>
      <c r="S79" s="29"/>
      <c r="T79" s="29"/>
      <c r="U79" s="29"/>
      <c r="V79" s="29"/>
      <c r="W79" s="29"/>
      <c r="X79" s="29"/>
    </row>
    <row r="80" customFormat="false" ht="44" hidden="false" customHeight="true" outlineLevel="0" collapsed="false">
      <c r="A80" s="29"/>
      <c r="B80" s="39"/>
      <c r="C80" s="39"/>
      <c r="D80" s="29"/>
      <c r="E80" s="29"/>
      <c r="F80" s="29"/>
      <c r="G80" s="29"/>
      <c r="H80" s="34"/>
      <c r="I80" s="34"/>
      <c r="J80" s="34"/>
      <c r="K80" s="34"/>
      <c r="L80" s="34"/>
      <c r="M80" s="35" t="str">
        <f aca="false">IF(A80="",IF(SUMPRODUCT(--(B80:L80&lt;&gt;""))+SUMPRODUCT(--(N80:X80&lt;&gt;""))&gt;0,"Missing ID",""),IF(COUNTIF($A$8:$A$307,A80)&gt;1,"Duplicate ID",IF(OR(B80="",C80="",V80="",W80=""),"Source incomplete",IF(AND(H80&lt;&gt;"Pass",H80&lt;&gt;"Fail",H80&lt;&gt;"Unresolved"),"Choose compliance",IF(AND(I80&lt;&gt;"Not started",I80&lt;&gt;"In progress",I80&lt;&gt;"In review",I80&lt;&gt;"Complete"),"Choose progress",IF(AND(OR(H80="Pass",I80="Complete"),OR(J80="",K80="",L80="")),"Evidence or file missing",""))))))</f>
        <v/>
      </c>
      <c r="N80" s="29"/>
      <c r="O80" s="29"/>
      <c r="P80" s="29"/>
      <c r="Q80" s="29"/>
      <c r="R80" s="29"/>
      <c r="S80" s="29"/>
      <c r="T80" s="29"/>
      <c r="U80" s="29"/>
      <c r="V80" s="29"/>
      <c r="W80" s="29"/>
      <c r="X80" s="29"/>
    </row>
    <row r="81" customFormat="false" ht="44" hidden="false" customHeight="true" outlineLevel="0" collapsed="false">
      <c r="A81" s="29"/>
      <c r="B81" s="39"/>
      <c r="C81" s="39"/>
      <c r="D81" s="29"/>
      <c r="E81" s="29"/>
      <c r="F81" s="29"/>
      <c r="G81" s="29"/>
      <c r="H81" s="34"/>
      <c r="I81" s="34"/>
      <c r="J81" s="34"/>
      <c r="K81" s="34"/>
      <c r="L81" s="34"/>
      <c r="M81" s="35" t="str">
        <f aca="false">IF(A81="",IF(SUMPRODUCT(--(B81:L81&lt;&gt;""))+SUMPRODUCT(--(N81:X81&lt;&gt;""))&gt;0,"Missing ID",""),IF(COUNTIF($A$8:$A$307,A81)&gt;1,"Duplicate ID",IF(OR(B81="",C81="",V81="",W81=""),"Source incomplete",IF(AND(H81&lt;&gt;"Pass",H81&lt;&gt;"Fail",H81&lt;&gt;"Unresolved"),"Choose compliance",IF(AND(I81&lt;&gt;"Not started",I81&lt;&gt;"In progress",I81&lt;&gt;"In review",I81&lt;&gt;"Complete"),"Choose progress",IF(AND(OR(H81="Pass",I81="Complete"),OR(J81="",K81="",L81="")),"Evidence or file missing",""))))))</f>
        <v/>
      </c>
      <c r="N81" s="29"/>
      <c r="O81" s="29"/>
      <c r="P81" s="29"/>
      <c r="Q81" s="29"/>
      <c r="R81" s="29"/>
      <c r="S81" s="29"/>
      <c r="T81" s="29"/>
      <c r="U81" s="29"/>
      <c r="V81" s="29"/>
      <c r="W81" s="29"/>
      <c r="X81" s="29"/>
    </row>
    <row r="82" customFormat="false" ht="44" hidden="false" customHeight="true" outlineLevel="0" collapsed="false">
      <c r="A82" s="29"/>
      <c r="B82" s="39"/>
      <c r="C82" s="39"/>
      <c r="D82" s="29"/>
      <c r="E82" s="29"/>
      <c r="F82" s="29"/>
      <c r="G82" s="29"/>
      <c r="H82" s="34"/>
      <c r="I82" s="34"/>
      <c r="J82" s="34"/>
      <c r="K82" s="34"/>
      <c r="L82" s="34"/>
      <c r="M82" s="35" t="str">
        <f aca="false">IF(A82="",IF(SUMPRODUCT(--(B82:L82&lt;&gt;""))+SUMPRODUCT(--(N82:X82&lt;&gt;""))&gt;0,"Missing ID",""),IF(COUNTIF($A$8:$A$307,A82)&gt;1,"Duplicate ID",IF(OR(B82="",C82="",V82="",W82=""),"Source incomplete",IF(AND(H82&lt;&gt;"Pass",H82&lt;&gt;"Fail",H82&lt;&gt;"Unresolved"),"Choose compliance",IF(AND(I82&lt;&gt;"Not started",I82&lt;&gt;"In progress",I82&lt;&gt;"In review",I82&lt;&gt;"Complete"),"Choose progress",IF(AND(OR(H82="Pass",I82="Complete"),OR(J82="",K82="",L82="")),"Evidence or file missing",""))))))</f>
        <v/>
      </c>
      <c r="N82" s="29"/>
      <c r="O82" s="29"/>
      <c r="P82" s="29"/>
      <c r="Q82" s="29"/>
      <c r="R82" s="29"/>
      <c r="S82" s="29"/>
      <c r="T82" s="29"/>
      <c r="U82" s="29"/>
      <c r="V82" s="29"/>
      <c r="W82" s="29"/>
      <c r="X82" s="29"/>
    </row>
    <row r="83" customFormat="false" ht="44" hidden="false" customHeight="true" outlineLevel="0" collapsed="false">
      <c r="A83" s="29"/>
      <c r="B83" s="39"/>
      <c r="C83" s="39"/>
      <c r="D83" s="29"/>
      <c r="E83" s="29"/>
      <c r="F83" s="29"/>
      <c r="G83" s="29"/>
      <c r="H83" s="34"/>
      <c r="I83" s="34"/>
      <c r="J83" s="34"/>
      <c r="K83" s="34"/>
      <c r="L83" s="34"/>
      <c r="M83" s="35" t="str">
        <f aca="false">IF(A83="",IF(SUMPRODUCT(--(B83:L83&lt;&gt;""))+SUMPRODUCT(--(N83:X83&lt;&gt;""))&gt;0,"Missing ID",""),IF(COUNTIF($A$8:$A$307,A83)&gt;1,"Duplicate ID",IF(OR(B83="",C83="",V83="",W83=""),"Source incomplete",IF(AND(H83&lt;&gt;"Pass",H83&lt;&gt;"Fail",H83&lt;&gt;"Unresolved"),"Choose compliance",IF(AND(I83&lt;&gt;"Not started",I83&lt;&gt;"In progress",I83&lt;&gt;"In review",I83&lt;&gt;"Complete"),"Choose progress",IF(AND(OR(H83="Pass",I83="Complete"),OR(J83="",K83="",L83="")),"Evidence or file missing",""))))))</f>
        <v/>
      </c>
      <c r="N83" s="29"/>
      <c r="O83" s="29"/>
      <c r="P83" s="29"/>
      <c r="Q83" s="29"/>
      <c r="R83" s="29"/>
      <c r="S83" s="29"/>
      <c r="T83" s="29"/>
      <c r="U83" s="29"/>
      <c r="V83" s="29"/>
      <c r="W83" s="29"/>
      <c r="X83" s="29"/>
    </row>
    <row r="84" customFormat="false" ht="44" hidden="false" customHeight="true" outlineLevel="0" collapsed="false">
      <c r="A84" s="29"/>
      <c r="B84" s="39"/>
      <c r="C84" s="39"/>
      <c r="D84" s="29"/>
      <c r="E84" s="29"/>
      <c r="F84" s="29"/>
      <c r="G84" s="29"/>
      <c r="H84" s="34"/>
      <c r="I84" s="34"/>
      <c r="J84" s="34"/>
      <c r="K84" s="34"/>
      <c r="L84" s="34"/>
      <c r="M84" s="35" t="str">
        <f aca="false">IF(A84="",IF(SUMPRODUCT(--(B84:L84&lt;&gt;""))+SUMPRODUCT(--(N84:X84&lt;&gt;""))&gt;0,"Missing ID",""),IF(COUNTIF($A$8:$A$307,A84)&gt;1,"Duplicate ID",IF(OR(B84="",C84="",V84="",W84=""),"Source incomplete",IF(AND(H84&lt;&gt;"Pass",H84&lt;&gt;"Fail",H84&lt;&gt;"Unresolved"),"Choose compliance",IF(AND(I84&lt;&gt;"Not started",I84&lt;&gt;"In progress",I84&lt;&gt;"In review",I84&lt;&gt;"Complete"),"Choose progress",IF(AND(OR(H84="Pass",I84="Complete"),OR(J84="",K84="",L84="")),"Evidence or file missing",""))))))</f>
        <v/>
      </c>
      <c r="N84" s="29"/>
      <c r="O84" s="29"/>
      <c r="P84" s="29"/>
      <c r="Q84" s="29"/>
      <c r="R84" s="29"/>
      <c r="S84" s="29"/>
      <c r="T84" s="29"/>
      <c r="U84" s="29"/>
      <c r="V84" s="29"/>
      <c r="W84" s="29"/>
      <c r="X84" s="29"/>
    </row>
    <row r="85" customFormat="false" ht="44" hidden="false" customHeight="true" outlineLevel="0" collapsed="false">
      <c r="A85" s="29"/>
      <c r="B85" s="39"/>
      <c r="C85" s="39"/>
      <c r="D85" s="29"/>
      <c r="E85" s="29"/>
      <c r="F85" s="29"/>
      <c r="G85" s="29"/>
      <c r="H85" s="34"/>
      <c r="I85" s="34"/>
      <c r="J85" s="34"/>
      <c r="K85" s="34"/>
      <c r="L85" s="34"/>
      <c r="M85" s="35" t="str">
        <f aca="false">IF(A85="",IF(SUMPRODUCT(--(B85:L85&lt;&gt;""))+SUMPRODUCT(--(N85:X85&lt;&gt;""))&gt;0,"Missing ID",""),IF(COUNTIF($A$8:$A$307,A85)&gt;1,"Duplicate ID",IF(OR(B85="",C85="",V85="",W85=""),"Source incomplete",IF(AND(H85&lt;&gt;"Pass",H85&lt;&gt;"Fail",H85&lt;&gt;"Unresolved"),"Choose compliance",IF(AND(I85&lt;&gt;"Not started",I85&lt;&gt;"In progress",I85&lt;&gt;"In review",I85&lt;&gt;"Complete"),"Choose progress",IF(AND(OR(H85="Pass",I85="Complete"),OR(J85="",K85="",L85="")),"Evidence or file missing",""))))))</f>
        <v/>
      </c>
      <c r="N85" s="29"/>
      <c r="O85" s="29"/>
      <c r="P85" s="29"/>
      <c r="Q85" s="29"/>
      <c r="R85" s="29"/>
      <c r="S85" s="29"/>
      <c r="T85" s="29"/>
      <c r="U85" s="29"/>
      <c r="V85" s="29"/>
      <c r="W85" s="29"/>
      <c r="X85" s="29"/>
    </row>
    <row r="86" customFormat="false" ht="44" hidden="false" customHeight="true" outlineLevel="0" collapsed="false">
      <c r="A86" s="29"/>
      <c r="B86" s="39"/>
      <c r="C86" s="39"/>
      <c r="D86" s="29"/>
      <c r="E86" s="29"/>
      <c r="F86" s="29"/>
      <c r="G86" s="29"/>
      <c r="H86" s="34"/>
      <c r="I86" s="34"/>
      <c r="J86" s="34"/>
      <c r="K86" s="34"/>
      <c r="L86" s="34"/>
      <c r="M86" s="35" t="str">
        <f aca="false">IF(A86="",IF(SUMPRODUCT(--(B86:L86&lt;&gt;""))+SUMPRODUCT(--(N86:X86&lt;&gt;""))&gt;0,"Missing ID",""),IF(COUNTIF($A$8:$A$307,A86)&gt;1,"Duplicate ID",IF(OR(B86="",C86="",V86="",W86=""),"Source incomplete",IF(AND(H86&lt;&gt;"Pass",H86&lt;&gt;"Fail",H86&lt;&gt;"Unresolved"),"Choose compliance",IF(AND(I86&lt;&gt;"Not started",I86&lt;&gt;"In progress",I86&lt;&gt;"In review",I86&lt;&gt;"Complete"),"Choose progress",IF(AND(OR(H86="Pass",I86="Complete"),OR(J86="",K86="",L86="")),"Evidence or file missing",""))))))</f>
        <v/>
      </c>
      <c r="N86" s="29"/>
      <c r="O86" s="29"/>
      <c r="P86" s="29"/>
      <c r="Q86" s="29"/>
      <c r="R86" s="29"/>
      <c r="S86" s="29"/>
      <c r="T86" s="29"/>
      <c r="U86" s="29"/>
      <c r="V86" s="29"/>
      <c r="W86" s="29"/>
      <c r="X86" s="29"/>
    </row>
    <row r="87" customFormat="false" ht="44" hidden="false" customHeight="true" outlineLevel="0" collapsed="false">
      <c r="A87" s="29"/>
      <c r="B87" s="39"/>
      <c r="C87" s="39"/>
      <c r="D87" s="29"/>
      <c r="E87" s="29"/>
      <c r="F87" s="29"/>
      <c r="G87" s="29"/>
      <c r="H87" s="34"/>
      <c r="I87" s="34"/>
      <c r="J87" s="34"/>
      <c r="K87" s="34"/>
      <c r="L87" s="34"/>
      <c r="M87" s="35" t="str">
        <f aca="false">IF(A87="",IF(SUMPRODUCT(--(B87:L87&lt;&gt;""))+SUMPRODUCT(--(N87:X87&lt;&gt;""))&gt;0,"Missing ID",""),IF(COUNTIF($A$8:$A$307,A87)&gt;1,"Duplicate ID",IF(OR(B87="",C87="",V87="",W87=""),"Source incomplete",IF(AND(H87&lt;&gt;"Pass",H87&lt;&gt;"Fail",H87&lt;&gt;"Unresolved"),"Choose compliance",IF(AND(I87&lt;&gt;"Not started",I87&lt;&gt;"In progress",I87&lt;&gt;"In review",I87&lt;&gt;"Complete"),"Choose progress",IF(AND(OR(H87="Pass",I87="Complete"),OR(J87="",K87="",L87="")),"Evidence or file missing",""))))))</f>
        <v/>
      </c>
      <c r="N87" s="29"/>
      <c r="O87" s="29"/>
      <c r="P87" s="29"/>
      <c r="Q87" s="29"/>
      <c r="R87" s="29"/>
      <c r="S87" s="29"/>
      <c r="T87" s="29"/>
      <c r="U87" s="29"/>
      <c r="V87" s="29"/>
      <c r="W87" s="29"/>
      <c r="X87" s="29"/>
    </row>
    <row r="88" customFormat="false" ht="44" hidden="false" customHeight="true" outlineLevel="0" collapsed="false">
      <c r="A88" s="29"/>
      <c r="B88" s="39"/>
      <c r="C88" s="39"/>
      <c r="D88" s="29"/>
      <c r="E88" s="29"/>
      <c r="F88" s="29"/>
      <c r="G88" s="29"/>
      <c r="H88" s="34"/>
      <c r="I88" s="34"/>
      <c r="J88" s="34"/>
      <c r="K88" s="34"/>
      <c r="L88" s="34"/>
      <c r="M88" s="35" t="str">
        <f aca="false">IF(A88="",IF(SUMPRODUCT(--(B88:L88&lt;&gt;""))+SUMPRODUCT(--(N88:X88&lt;&gt;""))&gt;0,"Missing ID",""),IF(COUNTIF($A$8:$A$307,A88)&gt;1,"Duplicate ID",IF(OR(B88="",C88="",V88="",W88=""),"Source incomplete",IF(AND(H88&lt;&gt;"Pass",H88&lt;&gt;"Fail",H88&lt;&gt;"Unresolved"),"Choose compliance",IF(AND(I88&lt;&gt;"Not started",I88&lt;&gt;"In progress",I88&lt;&gt;"In review",I88&lt;&gt;"Complete"),"Choose progress",IF(AND(OR(H88="Pass",I88="Complete"),OR(J88="",K88="",L88="")),"Evidence or file missing",""))))))</f>
        <v/>
      </c>
      <c r="N88" s="29"/>
      <c r="O88" s="29"/>
      <c r="P88" s="29"/>
      <c r="Q88" s="29"/>
      <c r="R88" s="29"/>
      <c r="S88" s="29"/>
      <c r="T88" s="29"/>
      <c r="U88" s="29"/>
      <c r="V88" s="29"/>
      <c r="W88" s="29"/>
      <c r="X88" s="29"/>
    </row>
    <row r="89" customFormat="false" ht="44" hidden="false" customHeight="true" outlineLevel="0" collapsed="false">
      <c r="A89" s="29"/>
      <c r="B89" s="39"/>
      <c r="C89" s="39"/>
      <c r="D89" s="29"/>
      <c r="E89" s="29"/>
      <c r="F89" s="29"/>
      <c r="G89" s="29"/>
      <c r="H89" s="34"/>
      <c r="I89" s="34"/>
      <c r="J89" s="34"/>
      <c r="K89" s="34"/>
      <c r="L89" s="34"/>
      <c r="M89" s="35" t="str">
        <f aca="false">IF(A89="",IF(SUMPRODUCT(--(B89:L89&lt;&gt;""))+SUMPRODUCT(--(N89:X89&lt;&gt;""))&gt;0,"Missing ID",""),IF(COUNTIF($A$8:$A$307,A89)&gt;1,"Duplicate ID",IF(OR(B89="",C89="",V89="",W89=""),"Source incomplete",IF(AND(H89&lt;&gt;"Pass",H89&lt;&gt;"Fail",H89&lt;&gt;"Unresolved"),"Choose compliance",IF(AND(I89&lt;&gt;"Not started",I89&lt;&gt;"In progress",I89&lt;&gt;"In review",I89&lt;&gt;"Complete"),"Choose progress",IF(AND(OR(H89="Pass",I89="Complete"),OR(J89="",K89="",L89="")),"Evidence or file missing",""))))))</f>
        <v/>
      </c>
      <c r="N89" s="29"/>
      <c r="O89" s="29"/>
      <c r="P89" s="29"/>
      <c r="Q89" s="29"/>
      <c r="R89" s="29"/>
      <c r="S89" s="29"/>
      <c r="T89" s="29"/>
      <c r="U89" s="29"/>
      <c r="V89" s="29"/>
      <c r="W89" s="29"/>
      <c r="X89" s="29"/>
    </row>
    <row r="90" customFormat="false" ht="44" hidden="false" customHeight="true" outlineLevel="0" collapsed="false">
      <c r="A90" s="29"/>
      <c r="B90" s="39"/>
      <c r="C90" s="39"/>
      <c r="D90" s="29"/>
      <c r="E90" s="29"/>
      <c r="F90" s="29"/>
      <c r="G90" s="29"/>
      <c r="H90" s="34"/>
      <c r="I90" s="34"/>
      <c r="J90" s="34"/>
      <c r="K90" s="34"/>
      <c r="L90" s="34"/>
      <c r="M90" s="35" t="str">
        <f aca="false">IF(A90="",IF(SUMPRODUCT(--(B90:L90&lt;&gt;""))+SUMPRODUCT(--(N90:X90&lt;&gt;""))&gt;0,"Missing ID",""),IF(COUNTIF($A$8:$A$307,A90)&gt;1,"Duplicate ID",IF(OR(B90="",C90="",V90="",W90=""),"Source incomplete",IF(AND(H90&lt;&gt;"Pass",H90&lt;&gt;"Fail",H90&lt;&gt;"Unresolved"),"Choose compliance",IF(AND(I90&lt;&gt;"Not started",I90&lt;&gt;"In progress",I90&lt;&gt;"In review",I90&lt;&gt;"Complete"),"Choose progress",IF(AND(OR(H90="Pass",I90="Complete"),OR(J90="",K90="",L90="")),"Evidence or file missing",""))))))</f>
        <v/>
      </c>
      <c r="N90" s="29"/>
      <c r="O90" s="29"/>
      <c r="P90" s="29"/>
      <c r="Q90" s="29"/>
      <c r="R90" s="29"/>
      <c r="S90" s="29"/>
      <c r="T90" s="29"/>
      <c r="U90" s="29"/>
      <c r="V90" s="29"/>
      <c r="W90" s="29"/>
      <c r="X90" s="29"/>
    </row>
    <row r="91" customFormat="false" ht="44" hidden="false" customHeight="true" outlineLevel="0" collapsed="false">
      <c r="A91" s="29"/>
      <c r="B91" s="39"/>
      <c r="C91" s="39"/>
      <c r="D91" s="29"/>
      <c r="E91" s="29"/>
      <c r="F91" s="29"/>
      <c r="G91" s="29"/>
      <c r="H91" s="34"/>
      <c r="I91" s="34"/>
      <c r="J91" s="34"/>
      <c r="K91" s="34"/>
      <c r="L91" s="34"/>
      <c r="M91" s="35" t="str">
        <f aca="false">IF(A91="",IF(SUMPRODUCT(--(B91:L91&lt;&gt;""))+SUMPRODUCT(--(N91:X91&lt;&gt;""))&gt;0,"Missing ID",""),IF(COUNTIF($A$8:$A$307,A91)&gt;1,"Duplicate ID",IF(OR(B91="",C91="",V91="",W91=""),"Source incomplete",IF(AND(H91&lt;&gt;"Pass",H91&lt;&gt;"Fail",H91&lt;&gt;"Unresolved"),"Choose compliance",IF(AND(I91&lt;&gt;"Not started",I91&lt;&gt;"In progress",I91&lt;&gt;"In review",I91&lt;&gt;"Complete"),"Choose progress",IF(AND(OR(H91="Pass",I91="Complete"),OR(J91="",K91="",L91="")),"Evidence or file missing",""))))))</f>
        <v/>
      </c>
      <c r="N91" s="29"/>
      <c r="O91" s="29"/>
      <c r="P91" s="29"/>
      <c r="Q91" s="29"/>
      <c r="R91" s="29"/>
      <c r="S91" s="29"/>
      <c r="T91" s="29"/>
      <c r="U91" s="29"/>
      <c r="V91" s="29"/>
      <c r="W91" s="29"/>
      <c r="X91" s="29"/>
    </row>
    <row r="92" customFormat="false" ht="44" hidden="false" customHeight="true" outlineLevel="0" collapsed="false">
      <c r="A92" s="29"/>
      <c r="B92" s="39"/>
      <c r="C92" s="39"/>
      <c r="D92" s="29"/>
      <c r="E92" s="29"/>
      <c r="F92" s="29"/>
      <c r="G92" s="29"/>
      <c r="H92" s="34"/>
      <c r="I92" s="34"/>
      <c r="J92" s="34"/>
      <c r="K92" s="34"/>
      <c r="L92" s="34"/>
      <c r="M92" s="35" t="str">
        <f aca="false">IF(A92="",IF(SUMPRODUCT(--(B92:L92&lt;&gt;""))+SUMPRODUCT(--(N92:X92&lt;&gt;""))&gt;0,"Missing ID",""),IF(COUNTIF($A$8:$A$307,A92)&gt;1,"Duplicate ID",IF(OR(B92="",C92="",V92="",W92=""),"Source incomplete",IF(AND(H92&lt;&gt;"Pass",H92&lt;&gt;"Fail",H92&lt;&gt;"Unresolved"),"Choose compliance",IF(AND(I92&lt;&gt;"Not started",I92&lt;&gt;"In progress",I92&lt;&gt;"In review",I92&lt;&gt;"Complete"),"Choose progress",IF(AND(OR(H92="Pass",I92="Complete"),OR(J92="",K92="",L92="")),"Evidence or file missing",""))))))</f>
        <v/>
      </c>
      <c r="N92" s="29"/>
      <c r="O92" s="29"/>
      <c r="P92" s="29"/>
      <c r="Q92" s="29"/>
      <c r="R92" s="29"/>
      <c r="S92" s="29"/>
      <c r="T92" s="29"/>
      <c r="U92" s="29"/>
      <c r="V92" s="29"/>
      <c r="W92" s="29"/>
      <c r="X92" s="29"/>
    </row>
    <row r="93" customFormat="false" ht="44" hidden="false" customHeight="true" outlineLevel="0" collapsed="false">
      <c r="A93" s="29"/>
      <c r="B93" s="39"/>
      <c r="C93" s="39"/>
      <c r="D93" s="29"/>
      <c r="E93" s="29"/>
      <c r="F93" s="29"/>
      <c r="G93" s="29"/>
      <c r="H93" s="34"/>
      <c r="I93" s="34"/>
      <c r="J93" s="34"/>
      <c r="K93" s="34"/>
      <c r="L93" s="34"/>
      <c r="M93" s="35" t="str">
        <f aca="false">IF(A93="",IF(SUMPRODUCT(--(B93:L93&lt;&gt;""))+SUMPRODUCT(--(N93:X93&lt;&gt;""))&gt;0,"Missing ID",""),IF(COUNTIF($A$8:$A$307,A93)&gt;1,"Duplicate ID",IF(OR(B93="",C93="",V93="",W93=""),"Source incomplete",IF(AND(H93&lt;&gt;"Pass",H93&lt;&gt;"Fail",H93&lt;&gt;"Unresolved"),"Choose compliance",IF(AND(I93&lt;&gt;"Not started",I93&lt;&gt;"In progress",I93&lt;&gt;"In review",I93&lt;&gt;"Complete"),"Choose progress",IF(AND(OR(H93="Pass",I93="Complete"),OR(J93="",K93="",L93="")),"Evidence or file missing",""))))))</f>
        <v/>
      </c>
      <c r="N93" s="29"/>
      <c r="O93" s="29"/>
      <c r="P93" s="29"/>
      <c r="Q93" s="29"/>
      <c r="R93" s="29"/>
      <c r="S93" s="29"/>
      <c r="T93" s="29"/>
      <c r="U93" s="29"/>
      <c r="V93" s="29"/>
      <c r="W93" s="29"/>
      <c r="X93" s="29"/>
    </row>
    <row r="94" customFormat="false" ht="44" hidden="false" customHeight="true" outlineLevel="0" collapsed="false">
      <c r="A94" s="29"/>
      <c r="B94" s="39"/>
      <c r="C94" s="39"/>
      <c r="D94" s="29"/>
      <c r="E94" s="29"/>
      <c r="F94" s="29"/>
      <c r="G94" s="29"/>
      <c r="H94" s="34"/>
      <c r="I94" s="34"/>
      <c r="J94" s="34"/>
      <c r="K94" s="34"/>
      <c r="L94" s="34"/>
      <c r="M94" s="35" t="str">
        <f aca="false">IF(A94="",IF(SUMPRODUCT(--(B94:L94&lt;&gt;""))+SUMPRODUCT(--(N94:X94&lt;&gt;""))&gt;0,"Missing ID",""),IF(COUNTIF($A$8:$A$307,A94)&gt;1,"Duplicate ID",IF(OR(B94="",C94="",V94="",W94=""),"Source incomplete",IF(AND(H94&lt;&gt;"Pass",H94&lt;&gt;"Fail",H94&lt;&gt;"Unresolved"),"Choose compliance",IF(AND(I94&lt;&gt;"Not started",I94&lt;&gt;"In progress",I94&lt;&gt;"In review",I94&lt;&gt;"Complete"),"Choose progress",IF(AND(OR(H94="Pass",I94="Complete"),OR(J94="",K94="",L94="")),"Evidence or file missing",""))))))</f>
        <v/>
      </c>
      <c r="N94" s="29"/>
      <c r="O94" s="29"/>
      <c r="P94" s="29"/>
      <c r="Q94" s="29"/>
      <c r="R94" s="29"/>
      <c r="S94" s="29"/>
      <c r="T94" s="29"/>
      <c r="U94" s="29"/>
      <c r="V94" s="29"/>
      <c r="W94" s="29"/>
      <c r="X94" s="29"/>
    </row>
    <row r="95" customFormat="false" ht="44" hidden="false" customHeight="true" outlineLevel="0" collapsed="false">
      <c r="A95" s="29"/>
      <c r="B95" s="39"/>
      <c r="C95" s="39"/>
      <c r="D95" s="29"/>
      <c r="E95" s="29"/>
      <c r="F95" s="29"/>
      <c r="G95" s="29"/>
      <c r="H95" s="34"/>
      <c r="I95" s="34"/>
      <c r="J95" s="34"/>
      <c r="K95" s="34"/>
      <c r="L95" s="34"/>
      <c r="M95" s="35" t="str">
        <f aca="false">IF(A95="",IF(SUMPRODUCT(--(B95:L95&lt;&gt;""))+SUMPRODUCT(--(N95:X95&lt;&gt;""))&gt;0,"Missing ID",""),IF(COUNTIF($A$8:$A$307,A95)&gt;1,"Duplicate ID",IF(OR(B95="",C95="",V95="",W95=""),"Source incomplete",IF(AND(H95&lt;&gt;"Pass",H95&lt;&gt;"Fail",H95&lt;&gt;"Unresolved"),"Choose compliance",IF(AND(I95&lt;&gt;"Not started",I95&lt;&gt;"In progress",I95&lt;&gt;"In review",I95&lt;&gt;"Complete"),"Choose progress",IF(AND(OR(H95="Pass",I95="Complete"),OR(J95="",K95="",L95="")),"Evidence or file missing",""))))))</f>
        <v/>
      </c>
      <c r="N95" s="29"/>
      <c r="O95" s="29"/>
      <c r="P95" s="29"/>
      <c r="Q95" s="29"/>
      <c r="R95" s="29"/>
      <c r="S95" s="29"/>
      <c r="T95" s="29"/>
      <c r="U95" s="29"/>
      <c r="V95" s="29"/>
      <c r="W95" s="29"/>
      <c r="X95" s="29"/>
    </row>
    <row r="96" customFormat="false" ht="44" hidden="false" customHeight="true" outlineLevel="0" collapsed="false">
      <c r="A96" s="29"/>
      <c r="B96" s="39"/>
      <c r="C96" s="39"/>
      <c r="D96" s="29"/>
      <c r="E96" s="29"/>
      <c r="F96" s="29"/>
      <c r="G96" s="29"/>
      <c r="H96" s="34"/>
      <c r="I96" s="34"/>
      <c r="J96" s="34"/>
      <c r="K96" s="34"/>
      <c r="L96" s="34"/>
      <c r="M96" s="35" t="str">
        <f aca="false">IF(A96="",IF(SUMPRODUCT(--(B96:L96&lt;&gt;""))+SUMPRODUCT(--(N96:X96&lt;&gt;""))&gt;0,"Missing ID",""),IF(COUNTIF($A$8:$A$307,A96)&gt;1,"Duplicate ID",IF(OR(B96="",C96="",V96="",W96=""),"Source incomplete",IF(AND(H96&lt;&gt;"Pass",H96&lt;&gt;"Fail",H96&lt;&gt;"Unresolved"),"Choose compliance",IF(AND(I96&lt;&gt;"Not started",I96&lt;&gt;"In progress",I96&lt;&gt;"In review",I96&lt;&gt;"Complete"),"Choose progress",IF(AND(OR(H96="Pass",I96="Complete"),OR(J96="",K96="",L96="")),"Evidence or file missing",""))))))</f>
        <v/>
      </c>
      <c r="N96" s="29"/>
      <c r="O96" s="29"/>
      <c r="P96" s="29"/>
      <c r="Q96" s="29"/>
      <c r="R96" s="29"/>
      <c r="S96" s="29"/>
      <c r="T96" s="29"/>
      <c r="U96" s="29"/>
      <c r="V96" s="29"/>
      <c r="W96" s="29"/>
      <c r="X96" s="29"/>
    </row>
    <row r="97" customFormat="false" ht="44" hidden="false" customHeight="true" outlineLevel="0" collapsed="false">
      <c r="A97" s="29"/>
      <c r="B97" s="39"/>
      <c r="C97" s="39"/>
      <c r="D97" s="29"/>
      <c r="E97" s="29"/>
      <c r="F97" s="29"/>
      <c r="G97" s="29"/>
      <c r="H97" s="34"/>
      <c r="I97" s="34"/>
      <c r="J97" s="34"/>
      <c r="K97" s="34"/>
      <c r="L97" s="34"/>
      <c r="M97" s="35" t="str">
        <f aca="false">IF(A97="",IF(SUMPRODUCT(--(B97:L97&lt;&gt;""))+SUMPRODUCT(--(N97:X97&lt;&gt;""))&gt;0,"Missing ID",""),IF(COUNTIF($A$8:$A$307,A97)&gt;1,"Duplicate ID",IF(OR(B97="",C97="",V97="",W97=""),"Source incomplete",IF(AND(H97&lt;&gt;"Pass",H97&lt;&gt;"Fail",H97&lt;&gt;"Unresolved"),"Choose compliance",IF(AND(I97&lt;&gt;"Not started",I97&lt;&gt;"In progress",I97&lt;&gt;"In review",I97&lt;&gt;"Complete"),"Choose progress",IF(AND(OR(H97="Pass",I97="Complete"),OR(J97="",K97="",L97="")),"Evidence or file missing",""))))))</f>
        <v/>
      </c>
      <c r="N97" s="29"/>
      <c r="O97" s="29"/>
      <c r="P97" s="29"/>
      <c r="Q97" s="29"/>
      <c r="R97" s="29"/>
      <c r="S97" s="29"/>
      <c r="T97" s="29"/>
      <c r="U97" s="29"/>
      <c r="V97" s="29"/>
      <c r="W97" s="29"/>
      <c r="X97" s="29"/>
    </row>
    <row r="98" customFormat="false" ht="44" hidden="false" customHeight="true" outlineLevel="0" collapsed="false">
      <c r="A98" s="29"/>
      <c r="B98" s="39"/>
      <c r="C98" s="39"/>
      <c r="D98" s="29"/>
      <c r="E98" s="29"/>
      <c r="F98" s="29"/>
      <c r="G98" s="29"/>
      <c r="H98" s="34"/>
      <c r="I98" s="34"/>
      <c r="J98" s="34"/>
      <c r="K98" s="34"/>
      <c r="L98" s="34"/>
      <c r="M98" s="35" t="str">
        <f aca="false">IF(A98="",IF(SUMPRODUCT(--(B98:L98&lt;&gt;""))+SUMPRODUCT(--(N98:X98&lt;&gt;""))&gt;0,"Missing ID",""),IF(COUNTIF($A$8:$A$307,A98)&gt;1,"Duplicate ID",IF(OR(B98="",C98="",V98="",W98=""),"Source incomplete",IF(AND(H98&lt;&gt;"Pass",H98&lt;&gt;"Fail",H98&lt;&gt;"Unresolved"),"Choose compliance",IF(AND(I98&lt;&gt;"Not started",I98&lt;&gt;"In progress",I98&lt;&gt;"In review",I98&lt;&gt;"Complete"),"Choose progress",IF(AND(OR(H98="Pass",I98="Complete"),OR(J98="",K98="",L98="")),"Evidence or file missing",""))))))</f>
        <v/>
      </c>
      <c r="N98" s="29"/>
      <c r="O98" s="29"/>
      <c r="P98" s="29"/>
      <c r="Q98" s="29"/>
      <c r="R98" s="29"/>
      <c r="S98" s="29"/>
      <c r="T98" s="29"/>
      <c r="U98" s="29"/>
      <c r="V98" s="29"/>
      <c r="W98" s="29"/>
      <c r="X98" s="29"/>
    </row>
    <row r="99" customFormat="false" ht="44" hidden="false" customHeight="true" outlineLevel="0" collapsed="false">
      <c r="A99" s="29"/>
      <c r="B99" s="39"/>
      <c r="C99" s="39"/>
      <c r="D99" s="29"/>
      <c r="E99" s="29"/>
      <c r="F99" s="29"/>
      <c r="G99" s="29"/>
      <c r="H99" s="34"/>
      <c r="I99" s="34"/>
      <c r="J99" s="34"/>
      <c r="K99" s="34"/>
      <c r="L99" s="34"/>
      <c r="M99" s="35" t="str">
        <f aca="false">IF(A99="",IF(SUMPRODUCT(--(B99:L99&lt;&gt;""))+SUMPRODUCT(--(N99:X99&lt;&gt;""))&gt;0,"Missing ID",""),IF(COUNTIF($A$8:$A$307,A99)&gt;1,"Duplicate ID",IF(OR(B99="",C99="",V99="",W99=""),"Source incomplete",IF(AND(H99&lt;&gt;"Pass",H99&lt;&gt;"Fail",H99&lt;&gt;"Unresolved"),"Choose compliance",IF(AND(I99&lt;&gt;"Not started",I99&lt;&gt;"In progress",I99&lt;&gt;"In review",I99&lt;&gt;"Complete"),"Choose progress",IF(AND(OR(H99="Pass",I99="Complete"),OR(J99="",K99="",L99="")),"Evidence or file missing",""))))))</f>
        <v/>
      </c>
      <c r="N99" s="29"/>
      <c r="O99" s="29"/>
      <c r="P99" s="29"/>
      <c r="Q99" s="29"/>
      <c r="R99" s="29"/>
      <c r="S99" s="29"/>
      <c r="T99" s="29"/>
      <c r="U99" s="29"/>
      <c r="V99" s="29"/>
      <c r="W99" s="29"/>
      <c r="X99" s="29"/>
    </row>
    <row r="100" customFormat="false" ht="44" hidden="false" customHeight="true" outlineLevel="0" collapsed="false">
      <c r="A100" s="29"/>
      <c r="B100" s="39"/>
      <c r="C100" s="39"/>
      <c r="D100" s="29"/>
      <c r="E100" s="29"/>
      <c r="F100" s="29"/>
      <c r="G100" s="29"/>
      <c r="H100" s="34"/>
      <c r="I100" s="34"/>
      <c r="J100" s="34"/>
      <c r="K100" s="34"/>
      <c r="L100" s="34"/>
      <c r="M100" s="35" t="str">
        <f aca="false">IF(A100="",IF(SUMPRODUCT(--(B100:L100&lt;&gt;""))+SUMPRODUCT(--(N100:X100&lt;&gt;""))&gt;0,"Missing ID",""),IF(COUNTIF($A$8:$A$307,A100)&gt;1,"Duplicate ID",IF(OR(B100="",C100="",V100="",W100=""),"Source incomplete",IF(AND(H100&lt;&gt;"Pass",H100&lt;&gt;"Fail",H100&lt;&gt;"Unresolved"),"Choose compliance",IF(AND(I100&lt;&gt;"Not started",I100&lt;&gt;"In progress",I100&lt;&gt;"In review",I100&lt;&gt;"Complete"),"Choose progress",IF(AND(OR(H100="Pass",I100="Complete"),OR(J100="",K100="",L100="")),"Evidence or file missing",""))))))</f>
        <v/>
      </c>
      <c r="N100" s="29"/>
      <c r="O100" s="29"/>
      <c r="P100" s="29"/>
      <c r="Q100" s="29"/>
      <c r="R100" s="29"/>
      <c r="S100" s="29"/>
      <c r="T100" s="29"/>
      <c r="U100" s="29"/>
      <c r="V100" s="29"/>
      <c r="W100" s="29"/>
      <c r="X100" s="29"/>
    </row>
    <row r="101" customFormat="false" ht="44" hidden="false" customHeight="true" outlineLevel="0" collapsed="false">
      <c r="A101" s="29"/>
      <c r="B101" s="39"/>
      <c r="C101" s="39"/>
      <c r="D101" s="29"/>
      <c r="E101" s="29"/>
      <c r="F101" s="29"/>
      <c r="G101" s="29"/>
      <c r="H101" s="34"/>
      <c r="I101" s="34"/>
      <c r="J101" s="34"/>
      <c r="K101" s="34"/>
      <c r="L101" s="34"/>
      <c r="M101" s="35" t="str">
        <f aca="false">IF(A101="",IF(SUMPRODUCT(--(B101:L101&lt;&gt;""))+SUMPRODUCT(--(N101:X101&lt;&gt;""))&gt;0,"Missing ID",""),IF(COUNTIF($A$8:$A$307,A101)&gt;1,"Duplicate ID",IF(OR(B101="",C101="",V101="",W101=""),"Source incomplete",IF(AND(H101&lt;&gt;"Pass",H101&lt;&gt;"Fail",H101&lt;&gt;"Unresolved"),"Choose compliance",IF(AND(I101&lt;&gt;"Not started",I101&lt;&gt;"In progress",I101&lt;&gt;"In review",I101&lt;&gt;"Complete"),"Choose progress",IF(AND(OR(H101="Pass",I101="Complete"),OR(J101="",K101="",L101="")),"Evidence or file missing",""))))))</f>
        <v/>
      </c>
      <c r="N101" s="29"/>
      <c r="O101" s="29"/>
      <c r="P101" s="29"/>
      <c r="Q101" s="29"/>
      <c r="R101" s="29"/>
      <c r="S101" s="29"/>
      <c r="T101" s="29"/>
      <c r="U101" s="29"/>
      <c r="V101" s="29"/>
      <c r="W101" s="29"/>
      <c r="X101" s="29"/>
    </row>
    <row r="102" customFormat="false" ht="44" hidden="false" customHeight="true" outlineLevel="0" collapsed="false">
      <c r="A102" s="29"/>
      <c r="B102" s="39"/>
      <c r="C102" s="39"/>
      <c r="D102" s="29"/>
      <c r="E102" s="29"/>
      <c r="F102" s="29"/>
      <c r="G102" s="29"/>
      <c r="H102" s="34"/>
      <c r="I102" s="34"/>
      <c r="J102" s="34"/>
      <c r="K102" s="34"/>
      <c r="L102" s="34"/>
      <c r="M102" s="35" t="str">
        <f aca="false">IF(A102="",IF(SUMPRODUCT(--(B102:L102&lt;&gt;""))+SUMPRODUCT(--(N102:X102&lt;&gt;""))&gt;0,"Missing ID",""),IF(COUNTIF($A$8:$A$307,A102)&gt;1,"Duplicate ID",IF(OR(B102="",C102="",V102="",W102=""),"Source incomplete",IF(AND(H102&lt;&gt;"Pass",H102&lt;&gt;"Fail",H102&lt;&gt;"Unresolved"),"Choose compliance",IF(AND(I102&lt;&gt;"Not started",I102&lt;&gt;"In progress",I102&lt;&gt;"In review",I102&lt;&gt;"Complete"),"Choose progress",IF(AND(OR(H102="Pass",I102="Complete"),OR(J102="",K102="",L102="")),"Evidence or file missing",""))))))</f>
        <v/>
      </c>
      <c r="N102" s="29"/>
      <c r="O102" s="29"/>
      <c r="P102" s="29"/>
      <c r="Q102" s="29"/>
      <c r="R102" s="29"/>
      <c r="S102" s="29"/>
      <c r="T102" s="29"/>
      <c r="U102" s="29"/>
      <c r="V102" s="29"/>
      <c r="W102" s="29"/>
      <c r="X102" s="29"/>
    </row>
    <row r="103" customFormat="false" ht="44" hidden="false" customHeight="true" outlineLevel="0" collapsed="false">
      <c r="A103" s="29"/>
      <c r="B103" s="39"/>
      <c r="C103" s="39"/>
      <c r="D103" s="29"/>
      <c r="E103" s="29"/>
      <c r="F103" s="29"/>
      <c r="G103" s="29"/>
      <c r="H103" s="34"/>
      <c r="I103" s="34"/>
      <c r="J103" s="34"/>
      <c r="K103" s="34"/>
      <c r="L103" s="34"/>
      <c r="M103" s="35" t="str">
        <f aca="false">IF(A103="",IF(SUMPRODUCT(--(B103:L103&lt;&gt;""))+SUMPRODUCT(--(N103:X103&lt;&gt;""))&gt;0,"Missing ID",""),IF(COUNTIF($A$8:$A$307,A103)&gt;1,"Duplicate ID",IF(OR(B103="",C103="",V103="",W103=""),"Source incomplete",IF(AND(H103&lt;&gt;"Pass",H103&lt;&gt;"Fail",H103&lt;&gt;"Unresolved"),"Choose compliance",IF(AND(I103&lt;&gt;"Not started",I103&lt;&gt;"In progress",I103&lt;&gt;"In review",I103&lt;&gt;"Complete"),"Choose progress",IF(AND(OR(H103="Pass",I103="Complete"),OR(J103="",K103="",L103="")),"Evidence or file missing",""))))))</f>
        <v/>
      </c>
      <c r="N103" s="29"/>
      <c r="O103" s="29"/>
      <c r="P103" s="29"/>
      <c r="Q103" s="29"/>
      <c r="R103" s="29"/>
      <c r="S103" s="29"/>
      <c r="T103" s="29"/>
      <c r="U103" s="29"/>
      <c r="V103" s="29"/>
      <c r="W103" s="29"/>
      <c r="X103" s="29"/>
    </row>
    <row r="104" customFormat="false" ht="44" hidden="false" customHeight="true" outlineLevel="0" collapsed="false">
      <c r="A104" s="29"/>
      <c r="B104" s="39"/>
      <c r="C104" s="39"/>
      <c r="D104" s="29"/>
      <c r="E104" s="29"/>
      <c r="F104" s="29"/>
      <c r="G104" s="29"/>
      <c r="H104" s="34"/>
      <c r="I104" s="34"/>
      <c r="J104" s="34"/>
      <c r="K104" s="34"/>
      <c r="L104" s="34"/>
      <c r="M104" s="35" t="str">
        <f aca="false">IF(A104="",IF(SUMPRODUCT(--(B104:L104&lt;&gt;""))+SUMPRODUCT(--(N104:X104&lt;&gt;""))&gt;0,"Missing ID",""),IF(COUNTIF($A$8:$A$307,A104)&gt;1,"Duplicate ID",IF(OR(B104="",C104="",V104="",W104=""),"Source incomplete",IF(AND(H104&lt;&gt;"Pass",H104&lt;&gt;"Fail",H104&lt;&gt;"Unresolved"),"Choose compliance",IF(AND(I104&lt;&gt;"Not started",I104&lt;&gt;"In progress",I104&lt;&gt;"In review",I104&lt;&gt;"Complete"),"Choose progress",IF(AND(OR(H104="Pass",I104="Complete"),OR(J104="",K104="",L104="")),"Evidence or file missing",""))))))</f>
        <v/>
      </c>
      <c r="N104" s="29"/>
      <c r="O104" s="29"/>
      <c r="P104" s="29"/>
      <c r="Q104" s="29"/>
      <c r="R104" s="29"/>
      <c r="S104" s="29"/>
      <c r="T104" s="29"/>
      <c r="U104" s="29"/>
      <c r="V104" s="29"/>
      <c r="W104" s="29"/>
      <c r="X104" s="29"/>
    </row>
    <row r="105" customFormat="false" ht="44" hidden="false" customHeight="true" outlineLevel="0" collapsed="false">
      <c r="A105" s="29"/>
      <c r="B105" s="39"/>
      <c r="C105" s="39"/>
      <c r="D105" s="29"/>
      <c r="E105" s="29"/>
      <c r="F105" s="29"/>
      <c r="G105" s="29"/>
      <c r="H105" s="34"/>
      <c r="I105" s="34"/>
      <c r="J105" s="34"/>
      <c r="K105" s="34"/>
      <c r="L105" s="34"/>
      <c r="M105" s="35" t="str">
        <f aca="false">IF(A105="",IF(SUMPRODUCT(--(B105:L105&lt;&gt;""))+SUMPRODUCT(--(N105:X105&lt;&gt;""))&gt;0,"Missing ID",""),IF(COUNTIF($A$8:$A$307,A105)&gt;1,"Duplicate ID",IF(OR(B105="",C105="",V105="",W105=""),"Source incomplete",IF(AND(H105&lt;&gt;"Pass",H105&lt;&gt;"Fail",H105&lt;&gt;"Unresolved"),"Choose compliance",IF(AND(I105&lt;&gt;"Not started",I105&lt;&gt;"In progress",I105&lt;&gt;"In review",I105&lt;&gt;"Complete"),"Choose progress",IF(AND(OR(H105="Pass",I105="Complete"),OR(J105="",K105="",L105="")),"Evidence or file missing",""))))))</f>
        <v/>
      </c>
      <c r="N105" s="29"/>
      <c r="O105" s="29"/>
      <c r="P105" s="29"/>
      <c r="Q105" s="29"/>
      <c r="R105" s="29"/>
      <c r="S105" s="29"/>
      <c r="T105" s="29"/>
      <c r="U105" s="29"/>
      <c r="V105" s="29"/>
      <c r="W105" s="29"/>
      <c r="X105" s="29"/>
    </row>
    <row r="106" customFormat="false" ht="44" hidden="false" customHeight="true" outlineLevel="0" collapsed="false">
      <c r="A106" s="29"/>
      <c r="B106" s="39"/>
      <c r="C106" s="39"/>
      <c r="D106" s="29"/>
      <c r="E106" s="29"/>
      <c r="F106" s="29"/>
      <c r="G106" s="29"/>
      <c r="H106" s="34"/>
      <c r="I106" s="34"/>
      <c r="J106" s="34"/>
      <c r="K106" s="34"/>
      <c r="L106" s="34"/>
      <c r="M106" s="35" t="str">
        <f aca="false">IF(A106="",IF(SUMPRODUCT(--(B106:L106&lt;&gt;""))+SUMPRODUCT(--(N106:X106&lt;&gt;""))&gt;0,"Missing ID",""),IF(COUNTIF($A$8:$A$307,A106)&gt;1,"Duplicate ID",IF(OR(B106="",C106="",V106="",W106=""),"Source incomplete",IF(AND(H106&lt;&gt;"Pass",H106&lt;&gt;"Fail",H106&lt;&gt;"Unresolved"),"Choose compliance",IF(AND(I106&lt;&gt;"Not started",I106&lt;&gt;"In progress",I106&lt;&gt;"In review",I106&lt;&gt;"Complete"),"Choose progress",IF(AND(OR(H106="Pass",I106="Complete"),OR(J106="",K106="",L106="")),"Evidence or file missing",""))))))</f>
        <v/>
      </c>
      <c r="N106" s="29"/>
      <c r="O106" s="29"/>
      <c r="P106" s="29"/>
      <c r="Q106" s="29"/>
      <c r="R106" s="29"/>
      <c r="S106" s="29"/>
      <c r="T106" s="29"/>
      <c r="U106" s="29"/>
      <c r="V106" s="29"/>
      <c r="W106" s="29"/>
      <c r="X106" s="29"/>
    </row>
    <row r="107" customFormat="false" ht="44" hidden="false" customHeight="true" outlineLevel="0" collapsed="false">
      <c r="A107" s="29"/>
      <c r="B107" s="39"/>
      <c r="C107" s="39"/>
      <c r="D107" s="29"/>
      <c r="E107" s="29"/>
      <c r="F107" s="29"/>
      <c r="G107" s="29"/>
      <c r="H107" s="34"/>
      <c r="I107" s="34"/>
      <c r="J107" s="34"/>
      <c r="K107" s="34"/>
      <c r="L107" s="34"/>
      <c r="M107" s="35" t="str">
        <f aca="false">IF(A107="",IF(SUMPRODUCT(--(B107:L107&lt;&gt;""))+SUMPRODUCT(--(N107:X107&lt;&gt;""))&gt;0,"Missing ID",""),IF(COUNTIF($A$8:$A$307,A107)&gt;1,"Duplicate ID",IF(OR(B107="",C107="",V107="",W107=""),"Source incomplete",IF(AND(H107&lt;&gt;"Pass",H107&lt;&gt;"Fail",H107&lt;&gt;"Unresolved"),"Choose compliance",IF(AND(I107&lt;&gt;"Not started",I107&lt;&gt;"In progress",I107&lt;&gt;"In review",I107&lt;&gt;"Complete"),"Choose progress",IF(AND(OR(H107="Pass",I107="Complete"),OR(J107="",K107="",L107="")),"Evidence or file missing",""))))))</f>
        <v/>
      </c>
      <c r="N107" s="29"/>
      <c r="O107" s="29"/>
      <c r="P107" s="29"/>
      <c r="Q107" s="29"/>
      <c r="R107" s="29"/>
      <c r="S107" s="29"/>
      <c r="T107" s="29"/>
      <c r="U107" s="29"/>
      <c r="V107" s="29"/>
      <c r="W107" s="29"/>
      <c r="X107" s="29"/>
    </row>
    <row r="108" customFormat="false" ht="44" hidden="false" customHeight="true" outlineLevel="0" collapsed="false">
      <c r="A108" s="29"/>
      <c r="B108" s="39"/>
      <c r="C108" s="39"/>
      <c r="D108" s="29"/>
      <c r="E108" s="29"/>
      <c r="F108" s="29"/>
      <c r="G108" s="29"/>
      <c r="H108" s="34"/>
      <c r="I108" s="34"/>
      <c r="J108" s="34"/>
      <c r="K108" s="34"/>
      <c r="L108" s="34"/>
      <c r="M108" s="35" t="str">
        <f aca="false">IF(A108="",IF(SUMPRODUCT(--(B108:L108&lt;&gt;""))+SUMPRODUCT(--(N108:X108&lt;&gt;""))&gt;0,"Missing ID",""),IF(COUNTIF($A$8:$A$307,A108)&gt;1,"Duplicate ID",IF(OR(B108="",C108="",V108="",W108=""),"Source incomplete",IF(AND(H108&lt;&gt;"Pass",H108&lt;&gt;"Fail",H108&lt;&gt;"Unresolved"),"Choose compliance",IF(AND(I108&lt;&gt;"Not started",I108&lt;&gt;"In progress",I108&lt;&gt;"In review",I108&lt;&gt;"Complete"),"Choose progress",IF(AND(OR(H108="Pass",I108="Complete"),OR(J108="",K108="",L108="")),"Evidence or file missing",""))))))</f>
        <v/>
      </c>
      <c r="N108" s="29"/>
      <c r="O108" s="29"/>
      <c r="P108" s="29"/>
      <c r="Q108" s="29"/>
      <c r="R108" s="29"/>
      <c r="S108" s="29"/>
      <c r="T108" s="29"/>
      <c r="U108" s="29"/>
      <c r="V108" s="29"/>
      <c r="W108" s="29"/>
      <c r="X108" s="29"/>
    </row>
    <row r="109" customFormat="false" ht="44" hidden="false" customHeight="true" outlineLevel="0" collapsed="false">
      <c r="A109" s="29"/>
      <c r="B109" s="39"/>
      <c r="C109" s="39"/>
      <c r="D109" s="29"/>
      <c r="E109" s="29"/>
      <c r="F109" s="29"/>
      <c r="G109" s="29"/>
      <c r="H109" s="34"/>
      <c r="I109" s="34"/>
      <c r="J109" s="34"/>
      <c r="K109" s="34"/>
      <c r="L109" s="34"/>
      <c r="M109" s="35" t="str">
        <f aca="false">IF(A109="",IF(SUMPRODUCT(--(B109:L109&lt;&gt;""))+SUMPRODUCT(--(N109:X109&lt;&gt;""))&gt;0,"Missing ID",""),IF(COUNTIF($A$8:$A$307,A109)&gt;1,"Duplicate ID",IF(OR(B109="",C109="",V109="",W109=""),"Source incomplete",IF(AND(H109&lt;&gt;"Pass",H109&lt;&gt;"Fail",H109&lt;&gt;"Unresolved"),"Choose compliance",IF(AND(I109&lt;&gt;"Not started",I109&lt;&gt;"In progress",I109&lt;&gt;"In review",I109&lt;&gt;"Complete"),"Choose progress",IF(AND(OR(H109="Pass",I109="Complete"),OR(J109="",K109="",L109="")),"Evidence or file missing",""))))))</f>
        <v/>
      </c>
      <c r="N109" s="29"/>
      <c r="O109" s="29"/>
      <c r="P109" s="29"/>
      <c r="Q109" s="29"/>
      <c r="R109" s="29"/>
      <c r="S109" s="29"/>
      <c r="T109" s="29"/>
      <c r="U109" s="29"/>
      <c r="V109" s="29"/>
      <c r="W109" s="29"/>
      <c r="X109" s="29"/>
    </row>
    <row r="110" customFormat="false" ht="44" hidden="false" customHeight="true" outlineLevel="0" collapsed="false">
      <c r="A110" s="29"/>
      <c r="B110" s="39"/>
      <c r="C110" s="39"/>
      <c r="D110" s="29"/>
      <c r="E110" s="29"/>
      <c r="F110" s="29"/>
      <c r="G110" s="29"/>
      <c r="H110" s="34"/>
      <c r="I110" s="34"/>
      <c r="J110" s="34"/>
      <c r="K110" s="34"/>
      <c r="L110" s="34"/>
      <c r="M110" s="35" t="str">
        <f aca="false">IF(A110="",IF(SUMPRODUCT(--(B110:L110&lt;&gt;""))+SUMPRODUCT(--(N110:X110&lt;&gt;""))&gt;0,"Missing ID",""),IF(COUNTIF($A$8:$A$307,A110)&gt;1,"Duplicate ID",IF(OR(B110="",C110="",V110="",W110=""),"Source incomplete",IF(AND(H110&lt;&gt;"Pass",H110&lt;&gt;"Fail",H110&lt;&gt;"Unresolved"),"Choose compliance",IF(AND(I110&lt;&gt;"Not started",I110&lt;&gt;"In progress",I110&lt;&gt;"In review",I110&lt;&gt;"Complete"),"Choose progress",IF(AND(OR(H110="Pass",I110="Complete"),OR(J110="",K110="",L110="")),"Evidence or file missing",""))))))</f>
        <v/>
      </c>
      <c r="N110" s="29"/>
      <c r="O110" s="29"/>
      <c r="P110" s="29"/>
      <c r="Q110" s="29"/>
      <c r="R110" s="29"/>
      <c r="S110" s="29"/>
      <c r="T110" s="29"/>
      <c r="U110" s="29"/>
      <c r="V110" s="29"/>
      <c r="W110" s="29"/>
      <c r="X110" s="29"/>
    </row>
    <row r="111" customFormat="false" ht="44" hidden="false" customHeight="true" outlineLevel="0" collapsed="false">
      <c r="A111" s="29"/>
      <c r="B111" s="39"/>
      <c r="C111" s="39"/>
      <c r="D111" s="29"/>
      <c r="E111" s="29"/>
      <c r="F111" s="29"/>
      <c r="G111" s="29"/>
      <c r="H111" s="34"/>
      <c r="I111" s="34"/>
      <c r="J111" s="34"/>
      <c r="K111" s="34"/>
      <c r="L111" s="34"/>
      <c r="M111" s="35" t="str">
        <f aca="false">IF(A111="",IF(SUMPRODUCT(--(B111:L111&lt;&gt;""))+SUMPRODUCT(--(N111:X111&lt;&gt;""))&gt;0,"Missing ID",""),IF(COUNTIF($A$8:$A$307,A111)&gt;1,"Duplicate ID",IF(OR(B111="",C111="",V111="",W111=""),"Source incomplete",IF(AND(H111&lt;&gt;"Pass",H111&lt;&gt;"Fail",H111&lt;&gt;"Unresolved"),"Choose compliance",IF(AND(I111&lt;&gt;"Not started",I111&lt;&gt;"In progress",I111&lt;&gt;"In review",I111&lt;&gt;"Complete"),"Choose progress",IF(AND(OR(H111="Pass",I111="Complete"),OR(J111="",K111="",L111="")),"Evidence or file missing",""))))))</f>
        <v/>
      </c>
      <c r="N111" s="29"/>
      <c r="O111" s="29"/>
      <c r="P111" s="29"/>
      <c r="Q111" s="29"/>
      <c r="R111" s="29"/>
      <c r="S111" s="29"/>
      <c r="T111" s="29"/>
      <c r="U111" s="29"/>
      <c r="V111" s="29"/>
      <c r="W111" s="29"/>
      <c r="X111" s="29"/>
    </row>
    <row r="112" customFormat="false" ht="44" hidden="false" customHeight="true" outlineLevel="0" collapsed="false">
      <c r="A112" s="29"/>
      <c r="B112" s="39"/>
      <c r="C112" s="39"/>
      <c r="D112" s="29"/>
      <c r="E112" s="29"/>
      <c r="F112" s="29"/>
      <c r="G112" s="29"/>
      <c r="H112" s="34"/>
      <c r="I112" s="34"/>
      <c r="J112" s="34"/>
      <c r="K112" s="34"/>
      <c r="L112" s="34"/>
      <c r="M112" s="35" t="str">
        <f aca="false">IF(A112="",IF(SUMPRODUCT(--(B112:L112&lt;&gt;""))+SUMPRODUCT(--(N112:X112&lt;&gt;""))&gt;0,"Missing ID",""),IF(COUNTIF($A$8:$A$307,A112)&gt;1,"Duplicate ID",IF(OR(B112="",C112="",V112="",W112=""),"Source incomplete",IF(AND(H112&lt;&gt;"Pass",H112&lt;&gt;"Fail",H112&lt;&gt;"Unresolved"),"Choose compliance",IF(AND(I112&lt;&gt;"Not started",I112&lt;&gt;"In progress",I112&lt;&gt;"In review",I112&lt;&gt;"Complete"),"Choose progress",IF(AND(OR(H112="Pass",I112="Complete"),OR(J112="",K112="",L112="")),"Evidence or file missing",""))))))</f>
        <v/>
      </c>
      <c r="N112" s="29"/>
      <c r="O112" s="29"/>
      <c r="P112" s="29"/>
      <c r="Q112" s="29"/>
      <c r="R112" s="29"/>
      <c r="S112" s="29"/>
      <c r="T112" s="29"/>
      <c r="U112" s="29"/>
      <c r="V112" s="29"/>
      <c r="W112" s="29"/>
      <c r="X112" s="29"/>
    </row>
    <row r="113" customFormat="false" ht="44" hidden="false" customHeight="true" outlineLevel="0" collapsed="false">
      <c r="A113" s="29"/>
      <c r="B113" s="39"/>
      <c r="C113" s="39"/>
      <c r="D113" s="29"/>
      <c r="E113" s="29"/>
      <c r="F113" s="29"/>
      <c r="G113" s="29"/>
      <c r="H113" s="34"/>
      <c r="I113" s="34"/>
      <c r="J113" s="34"/>
      <c r="K113" s="34"/>
      <c r="L113" s="34"/>
      <c r="M113" s="35" t="str">
        <f aca="false">IF(A113="",IF(SUMPRODUCT(--(B113:L113&lt;&gt;""))+SUMPRODUCT(--(N113:X113&lt;&gt;""))&gt;0,"Missing ID",""),IF(COUNTIF($A$8:$A$307,A113)&gt;1,"Duplicate ID",IF(OR(B113="",C113="",V113="",W113=""),"Source incomplete",IF(AND(H113&lt;&gt;"Pass",H113&lt;&gt;"Fail",H113&lt;&gt;"Unresolved"),"Choose compliance",IF(AND(I113&lt;&gt;"Not started",I113&lt;&gt;"In progress",I113&lt;&gt;"In review",I113&lt;&gt;"Complete"),"Choose progress",IF(AND(OR(H113="Pass",I113="Complete"),OR(J113="",K113="",L113="")),"Evidence or file missing",""))))))</f>
        <v/>
      </c>
      <c r="N113" s="29"/>
      <c r="O113" s="29"/>
      <c r="P113" s="29"/>
      <c r="Q113" s="29"/>
      <c r="R113" s="29"/>
      <c r="S113" s="29"/>
      <c r="T113" s="29"/>
      <c r="U113" s="29"/>
      <c r="V113" s="29"/>
      <c r="W113" s="29"/>
      <c r="X113" s="29"/>
    </row>
    <row r="114" customFormat="false" ht="44" hidden="false" customHeight="true" outlineLevel="0" collapsed="false">
      <c r="A114" s="29"/>
      <c r="B114" s="39"/>
      <c r="C114" s="39"/>
      <c r="D114" s="29"/>
      <c r="E114" s="29"/>
      <c r="F114" s="29"/>
      <c r="G114" s="29"/>
      <c r="H114" s="34"/>
      <c r="I114" s="34"/>
      <c r="J114" s="34"/>
      <c r="K114" s="34"/>
      <c r="L114" s="34"/>
      <c r="M114" s="35" t="str">
        <f aca="false">IF(A114="",IF(SUMPRODUCT(--(B114:L114&lt;&gt;""))+SUMPRODUCT(--(N114:X114&lt;&gt;""))&gt;0,"Missing ID",""),IF(COUNTIF($A$8:$A$307,A114)&gt;1,"Duplicate ID",IF(OR(B114="",C114="",V114="",W114=""),"Source incomplete",IF(AND(H114&lt;&gt;"Pass",H114&lt;&gt;"Fail",H114&lt;&gt;"Unresolved"),"Choose compliance",IF(AND(I114&lt;&gt;"Not started",I114&lt;&gt;"In progress",I114&lt;&gt;"In review",I114&lt;&gt;"Complete"),"Choose progress",IF(AND(OR(H114="Pass",I114="Complete"),OR(J114="",K114="",L114="")),"Evidence or file missing",""))))))</f>
        <v/>
      </c>
      <c r="N114" s="29"/>
      <c r="O114" s="29"/>
      <c r="P114" s="29"/>
      <c r="Q114" s="29"/>
      <c r="R114" s="29"/>
      <c r="S114" s="29"/>
      <c r="T114" s="29"/>
      <c r="U114" s="29"/>
      <c r="V114" s="29"/>
      <c r="W114" s="29"/>
      <c r="X114" s="29"/>
    </row>
    <row r="115" customFormat="false" ht="44" hidden="false" customHeight="true" outlineLevel="0" collapsed="false">
      <c r="A115" s="29"/>
      <c r="B115" s="39"/>
      <c r="C115" s="39"/>
      <c r="D115" s="29"/>
      <c r="E115" s="29"/>
      <c r="F115" s="29"/>
      <c r="G115" s="29"/>
      <c r="H115" s="34"/>
      <c r="I115" s="34"/>
      <c r="J115" s="34"/>
      <c r="K115" s="34"/>
      <c r="L115" s="34"/>
      <c r="M115" s="35" t="str">
        <f aca="false">IF(A115="",IF(SUMPRODUCT(--(B115:L115&lt;&gt;""))+SUMPRODUCT(--(N115:X115&lt;&gt;""))&gt;0,"Missing ID",""),IF(COUNTIF($A$8:$A$307,A115)&gt;1,"Duplicate ID",IF(OR(B115="",C115="",V115="",W115=""),"Source incomplete",IF(AND(H115&lt;&gt;"Pass",H115&lt;&gt;"Fail",H115&lt;&gt;"Unresolved"),"Choose compliance",IF(AND(I115&lt;&gt;"Not started",I115&lt;&gt;"In progress",I115&lt;&gt;"In review",I115&lt;&gt;"Complete"),"Choose progress",IF(AND(OR(H115="Pass",I115="Complete"),OR(J115="",K115="",L115="")),"Evidence or file missing",""))))))</f>
        <v/>
      </c>
      <c r="N115" s="29"/>
      <c r="O115" s="29"/>
      <c r="P115" s="29"/>
      <c r="Q115" s="29"/>
      <c r="R115" s="29"/>
      <c r="S115" s="29"/>
      <c r="T115" s="29"/>
      <c r="U115" s="29"/>
      <c r="V115" s="29"/>
      <c r="W115" s="29"/>
      <c r="X115" s="29"/>
    </row>
    <row r="116" customFormat="false" ht="44" hidden="false" customHeight="true" outlineLevel="0" collapsed="false">
      <c r="A116" s="29"/>
      <c r="B116" s="39"/>
      <c r="C116" s="39"/>
      <c r="D116" s="29"/>
      <c r="E116" s="29"/>
      <c r="F116" s="29"/>
      <c r="G116" s="29"/>
      <c r="H116" s="34"/>
      <c r="I116" s="34"/>
      <c r="J116" s="34"/>
      <c r="K116" s="34"/>
      <c r="L116" s="34"/>
      <c r="M116" s="35" t="str">
        <f aca="false">IF(A116="",IF(SUMPRODUCT(--(B116:L116&lt;&gt;""))+SUMPRODUCT(--(N116:X116&lt;&gt;""))&gt;0,"Missing ID",""),IF(COUNTIF($A$8:$A$307,A116)&gt;1,"Duplicate ID",IF(OR(B116="",C116="",V116="",W116=""),"Source incomplete",IF(AND(H116&lt;&gt;"Pass",H116&lt;&gt;"Fail",H116&lt;&gt;"Unresolved"),"Choose compliance",IF(AND(I116&lt;&gt;"Not started",I116&lt;&gt;"In progress",I116&lt;&gt;"In review",I116&lt;&gt;"Complete"),"Choose progress",IF(AND(OR(H116="Pass",I116="Complete"),OR(J116="",K116="",L116="")),"Evidence or file missing",""))))))</f>
        <v/>
      </c>
      <c r="N116" s="29"/>
      <c r="O116" s="29"/>
      <c r="P116" s="29"/>
      <c r="Q116" s="29"/>
      <c r="R116" s="29"/>
      <c r="S116" s="29"/>
      <c r="T116" s="29"/>
      <c r="U116" s="29"/>
      <c r="V116" s="29"/>
      <c r="W116" s="29"/>
      <c r="X116" s="29"/>
    </row>
    <row r="117" customFormat="false" ht="44" hidden="false" customHeight="true" outlineLevel="0" collapsed="false">
      <c r="A117" s="29"/>
      <c r="B117" s="39"/>
      <c r="C117" s="39"/>
      <c r="D117" s="29"/>
      <c r="E117" s="29"/>
      <c r="F117" s="29"/>
      <c r="G117" s="29"/>
      <c r="H117" s="34"/>
      <c r="I117" s="34"/>
      <c r="J117" s="34"/>
      <c r="K117" s="34"/>
      <c r="L117" s="34"/>
      <c r="M117" s="35" t="str">
        <f aca="false">IF(A117="",IF(SUMPRODUCT(--(B117:L117&lt;&gt;""))+SUMPRODUCT(--(N117:X117&lt;&gt;""))&gt;0,"Missing ID",""),IF(COUNTIF($A$8:$A$307,A117)&gt;1,"Duplicate ID",IF(OR(B117="",C117="",V117="",W117=""),"Source incomplete",IF(AND(H117&lt;&gt;"Pass",H117&lt;&gt;"Fail",H117&lt;&gt;"Unresolved"),"Choose compliance",IF(AND(I117&lt;&gt;"Not started",I117&lt;&gt;"In progress",I117&lt;&gt;"In review",I117&lt;&gt;"Complete"),"Choose progress",IF(AND(OR(H117="Pass",I117="Complete"),OR(J117="",K117="",L117="")),"Evidence or file missing",""))))))</f>
        <v/>
      </c>
      <c r="N117" s="29"/>
      <c r="O117" s="29"/>
      <c r="P117" s="29"/>
      <c r="Q117" s="29"/>
      <c r="R117" s="29"/>
      <c r="S117" s="29"/>
      <c r="T117" s="29"/>
      <c r="U117" s="29"/>
      <c r="V117" s="29"/>
      <c r="W117" s="29"/>
      <c r="X117" s="29"/>
    </row>
    <row r="118" customFormat="false" ht="44" hidden="false" customHeight="true" outlineLevel="0" collapsed="false">
      <c r="A118" s="29"/>
      <c r="B118" s="39"/>
      <c r="C118" s="39"/>
      <c r="D118" s="29"/>
      <c r="E118" s="29"/>
      <c r="F118" s="29"/>
      <c r="G118" s="29"/>
      <c r="H118" s="34"/>
      <c r="I118" s="34"/>
      <c r="J118" s="34"/>
      <c r="K118" s="34"/>
      <c r="L118" s="34"/>
      <c r="M118" s="35" t="str">
        <f aca="false">IF(A118="",IF(SUMPRODUCT(--(B118:L118&lt;&gt;""))+SUMPRODUCT(--(N118:X118&lt;&gt;""))&gt;0,"Missing ID",""),IF(COUNTIF($A$8:$A$307,A118)&gt;1,"Duplicate ID",IF(OR(B118="",C118="",V118="",W118=""),"Source incomplete",IF(AND(H118&lt;&gt;"Pass",H118&lt;&gt;"Fail",H118&lt;&gt;"Unresolved"),"Choose compliance",IF(AND(I118&lt;&gt;"Not started",I118&lt;&gt;"In progress",I118&lt;&gt;"In review",I118&lt;&gt;"Complete"),"Choose progress",IF(AND(OR(H118="Pass",I118="Complete"),OR(J118="",K118="",L118="")),"Evidence or file missing",""))))))</f>
        <v/>
      </c>
      <c r="N118" s="29"/>
      <c r="O118" s="29"/>
      <c r="P118" s="29"/>
      <c r="Q118" s="29"/>
      <c r="R118" s="29"/>
      <c r="S118" s="29"/>
      <c r="T118" s="29"/>
      <c r="U118" s="29"/>
      <c r="V118" s="29"/>
      <c r="W118" s="29"/>
      <c r="X118" s="29"/>
    </row>
    <row r="119" customFormat="false" ht="44" hidden="false" customHeight="true" outlineLevel="0" collapsed="false">
      <c r="A119" s="29"/>
      <c r="B119" s="39"/>
      <c r="C119" s="39"/>
      <c r="D119" s="29"/>
      <c r="E119" s="29"/>
      <c r="F119" s="29"/>
      <c r="G119" s="29"/>
      <c r="H119" s="34"/>
      <c r="I119" s="34"/>
      <c r="J119" s="34"/>
      <c r="K119" s="34"/>
      <c r="L119" s="34"/>
      <c r="M119" s="35" t="str">
        <f aca="false">IF(A119="",IF(SUMPRODUCT(--(B119:L119&lt;&gt;""))+SUMPRODUCT(--(N119:X119&lt;&gt;""))&gt;0,"Missing ID",""),IF(COUNTIF($A$8:$A$307,A119)&gt;1,"Duplicate ID",IF(OR(B119="",C119="",V119="",W119=""),"Source incomplete",IF(AND(H119&lt;&gt;"Pass",H119&lt;&gt;"Fail",H119&lt;&gt;"Unresolved"),"Choose compliance",IF(AND(I119&lt;&gt;"Not started",I119&lt;&gt;"In progress",I119&lt;&gt;"In review",I119&lt;&gt;"Complete"),"Choose progress",IF(AND(OR(H119="Pass",I119="Complete"),OR(J119="",K119="",L119="")),"Evidence or file missing",""))))))</f>
        <v/>
      </c>
      <c r="N119" s="29"/>
      <c r="O119" s="29"/>
      <c r="P119" s="29"/>
      <c r="Q119" s="29"/>
      <c r="R119" s="29"/>
      <c r="S119" s="29"/>
      <c r="T119" s="29"/>
      <c r="U119" s="29"/>
      <c r="V119" s="29"/>
      <c r="W119" s="29"/>
      <c r="X119" s="29"/>
    </row>
    <row r="120" customFormat="false" ht="44" hidden="false" customHeight="true" outlineLevel="0" collapsed="false">
      <c r="A120" s="29"/>
      <c r="B120" s="39"/>
      <c r="C120" s="39"/>
      <c r="D120" s="29"/>
      <c r="E120" s="29"/>
      <c r="F120" s="29"/>
      <c r="G120" s="29"/>
      <c r="H120" s="34"/>
      <c r="I120" s="34"/>
      <c r="J120" s="34"/>
      <c r="K120" s="34"/>
      <c r="L120" s="34"/>
      <c r="M120" s="35" t="str">
        <f aca="false">IF(A120="",IF(SUMPRODUCT(--(B120:L120&lt;&gt;""))+SUMPRODUCT(--(N120:X120&lt;&gt;""))&gt;0,"Missing ID",""),IF(COUNTIF($A$8:$A$307,A120)&gt;1,"Duplicate ID",IF(OR(B120="",C120="",V120="",W120=""),"Source incomplete",IF(AND(H120&lt;&gt;"Pass",H120&lt;&gt;"Fail",H120&lt;&gt;"Unresolved"),"Choose compliance",IF(AND(I120&lt;&gt;"Not started",I120&lt;&gt;"In progress",I120&lt;&gt;"In review",I120&lt;&gt;"Complete"),"Choose progress",IF(AND(OR(H120="Pass",I120="Complete"),OR(J120="",K120="",L120="")),"Evidence or file missing",""))))))</f>
        <v/>
      </c>
      <c r="N120" s="29"/>
      <c r="O120" s="29"/>
      <c r="P120" s="29"/>
      <c r="Q120" s="29"/>
      <c r="R120" s="29"/>
      <c r="S120" s="29"/>
      <c r="T120" s="29"/>
      <c r="U120" s="29"/>
      <c r="V120" s="29"/>
      <c r="W120" s="29"/>
      <c r="X120" s="29"/>
    </row>
    <row r="121" customFormat="false" ht="44" hidden="false" customHeight="true" outlineLevel="0" collapsed="false">
      <c r="A121" s="29"/>
      <c r="B121" s="39"/>
      <c r="C121" s="39"/>
      <c r="D121" s="29"/>
      <c r="E121" s="29"/>
      <c r="F121" s="29"/>
      <c r="G121" s="29"/>
      <c r="H121" s="34"/>
      <c r="I121" s="34"/>
      <c r="J121" s="34"/>
      <c r="K121" s="34"/>
      <c r="L121" s="34"/>
      <c r="M121" s="35" t="str">
        <f aca="false">IF(A121="",IF(SUMPRODUCT(--(B121:L121&lt;&gt;""))+SUMPRODUCT(--(N121:X121&lt;&gt;""))&gt;0,"Missing ID",""),IF(COUNTIF($A$8:$A$307,A121)&gt;1,"Duplicate ID",IF(OR(B121="",C121="",V121="",W121=""),"Source incomplete",IF(AND(H121&lt;&gt;"Pass",H121&lt;&gt;"Fail",H121&lt;&gt;"Unresolved"),"Choose compliance",IF(AND(I121&lt;&gt;"Not started",I121&lt;&gt;"In progress",I121&lt;&gt;"In review",I121&lt;&gt;"Complete"),"Choose progress",IF(AND(OR(H121="Pass",I121="Complete"),OR(J121="",K121="",L121="")),"Evidence or file missing",""))))))</f>
        <v/>
      </c>
      <c r="N121" s="29"/>
      <c r="O121" s="29"/>
      <c r="P121" s="29"/>
      <c r="Q121" s="29"/>
      <c r="R121" s="29"/>
      <c r="S121" s="29"/>
      <c r="T121" s="29"/>
      <c r="U121" s="29"/>
      <c r="V121" s="29"/>
      <c r="W121" s="29"/>
      <c r="X121" s="29"/>
    </row>
    <row r="122" customFormat="false" ht="44" hidden="false" customHeight="true" outlineLevel="0" collapsed="false">
      <c r="A122" s="29"/>
      <c r="B122" s="39"/>
      <c r="C122" s="39"/>
      <c r="D122" s="29"/>
      <c r="E122" s="29"/>
      <c r="F122" s="29"/>
      <c r="G122" s="29"/>
      <c r="H122" s="34"/>
      <c r="I122" s="34"/>
      <c r="J122" s="34"/>
      <c r="K122" s="34"/>
      <c r="L122" s="34"/>
      <c r="M122" s="35" t="str">
        <f aca="false">IF(A122="",IF(SUMPRODUCT(--(B122:L122&lt;&gt;""))+SUMPRODUCT(--(N122:X122&lt;&gt;""))&gt;0,"Missing ID",""),IF(COUNTIF($A$8:$A$307,A122)&gt;1,"Duplicate ID",IF(OR(B122="",C122="",V122="",W122=""),"Source incomplete",IF(AND(H122&lt;&gt;"Pass",H122&lt;&gt;"Fail",H122&lt;&gt;"Unresolved"),"Choose compliance",IF(AND(I122&lt;&gt;"Not started",I122&lt;&gt;"In progress",I122&lt;&gt;"In review",I122&lt;&gt;"Complete"),"Choose progress",IF(AND(OR(H122="Pass",I122="Complete"),OR(J122="",K122="",L122="")),"Evidence or file missing",""))))))</f>
        <v/>
      </c>
      <c r="N122" s="29"/>
      <c r="O122" s="29"/>
      <c r="P122" s="29"/>
      <c r="Q122" s="29"/>
      <c r="R122" s="29"/>
      <c r="S122" s="29"/>
      <c r="T122" s="29"/>
      <c r="U122" s="29"/>
      <c r="V122" s="29"/>
      <c r="W122" s="29"/>
      <c r="X122" s="29"/>
    </row>
    <row r="123" customFormat="false" ht="44" hidden="false" customHeight="true" outlineLevel="0" collapsed="false">
      <c r="A123" s="29"/>
      <c r="B123" s="39"/>
      <c r="C123" s="39"/>
      <c r="D123" s="29"/>
      <c r="E123" s="29"/>
      <c r="F123" s="29"/>
      <c r="G123" s="29"/>
      <c r="H123" s="34"/>
      <c r="I123" s="34"/>
      <c r="J123" s="34"/>
      <c r="K123" s="34"/>
      <c r="L123" s="34"/>
      <c r="M123" s="35" t="str">
        <f aca="false">IF(A123="",IF(SUMPRODUCT(--(B123:L123&lt;&gt;""))+SUMPRODUCT(--(N123:X123&lt;&gt;""))&gt;0,"Missing ID",""),IF(COUNTIF($A$8:$A$307,A123)&gt;1,"Duplicate ID",IF(OR(B123="",C123="",V123="",W123=""),"Source incomplete",IF(AND(H123&lt;&gt;"Pass",H123&lt;&gt;"Fail",H123&lt;&gt;"Unresolved"),"Choose compliance",IF(AND(I123&lt;&gt;"Not started",I123&lt;&gt;"In progress",I123&lt;&gt;"In review",I123&lt;&gt;"Complete"),"Choose progress",IF(AND(OR(H123="Pass",I123="Complete"),OR(J123="",K123="",L123="")),"Evidence or file missing",""))))))</f>
        <v/>
      </c>
      <c r="N123" s="29"/>
      <c r="O123" s="29"/>
      <c r="P123" s="29"/>
      <c r="Q123" s="29"/>
      <c r="R123" s="29"/>
      <c r="S123" s="29"/>
      <c r="T123" s="29"/>
      <c r="U123" s="29"/>
      <c r="V123" s="29"/>
      <c r="W123" s="29"/>
      <c r="X123" s="29"/>
    </row>
    <row r="124" customFormat="false" ht="44" hidden="false" customHeight="true" outlineLevel="0" collapsed="false">
      <c r="A124" s="29"/>
      <c r="B124" s="39"/>
      <c r="C124" s="39"/>
      <c r="D124" s="29"/>
      <c r="E124" s="29"/>
      <c r="F124" s="29"/>
      <c r="G124" s="29"/>
      <c r="H124" s="34"/>
      <c r="I124" s="34"/>
      <c r="J124" s="34"/>
      <c r="K124" s="34"/>
      <c r="L124" s="34"/>
      <c r="M124" s="35" t="str">
        <f aca="false">IF(A124="",IF(SUMPRODUCT(--(B124:L124&lt;&gt;""))+SUMPRODUCT(--(N124:X124&lt;&gt;""))&gt;0,"Missing ID",""),IF(COUNTIF($A$8:$A$307,A124)&gt;1,"Duplicate ID",IF(OR(B124="",C124="",V124="",W124=""),"Source incomplete",IF(AND(H124&lt;&gt;"Pass",H124&lt;&gt;"Fail",H124&lt;&gt;"Unresolved"),"Choose compliance",IF(AND(I124&lt;&gt;"Not started",I124&lt;&gt;"In progress",I124&lt;&gt;"In review",I124&lt;&gt;"Complete"),"Choose progress",IF(AND(OR(H124="Pass",I124="Complete"),OR(J124="",K124="",L124="")),"Evidence or file missing",""))))))</f>
        <v/>
      </c>
      <c r="N124" s="29"/>
      <c r="O124" s="29"/>
      <c r="P124" s="29"/>
      <c r="Q124" s="29"/>
      <c r="R124" s="29"/>
      <c r="S124" s="29"/>
      <c r="T124" s="29"/>
      <c r="U124" s="29"/>
      <c r="V124" s="29"/>
      <c r="W124" s="29"/>
      <c r="X124" s="29"/>
    </row>
    <row r="125" customFormat="false" ht="44" hidden="false" customHeight="true" outlineLevel="0" collapsed="false">
      <c r="A125" s="29"/>
      <c r="B125" s="39"/>
      <c r="C125" s="39"/>
      <c r="D125" s="29"/>
      <c r="E125" s="29"/>
      <c r="F125" s="29"/>
      <c r="G125" s="29"/>
      <c r="H125" s="34"/>
      <c r="I125" s="34"/>
      <c r="J125" s="34"/>
      <c r="K125" s="34"/>
      <c r="L125" s="34"/>
      <c r="M125" s="35" t="str">
        <f aca="false">IF(A125="",IF(SUMPRODUCT(--(B125:L125&lt;&gt;""))+SUMPRODUCT(--(N125:X125&lt;&gt;""))&gt;0,"Missing ID",""),IF(COUNTIF($A$8:$A$307,A125)&gt;1,"Duplicate ID",IF(OR(B125="",C125="",V125="",W125=""),"Source incomplete",IF(AND(H125&lt;&gt;"Pass",H125&lt;&gt;"Fail",H125&lt;&gt;"Unresolved"),"Choose compliance",IF(AND(I125&lt;&gt;"Not started",I125&lt;&gt;"In progress",I125&lt;&gt;"In review",I125&lt;&gt;"Complete"),"Choose progress",IF(AND(OR(H125="Pass",I125="Complete"),OR(J125="",K125="",L125="")),"Evidence or file missing",""))))))</f>
        <v/>
      </c>
      <c r="N125" s="29"/>
      <c r="O125" s="29"/>
      <c r="P125" s="29"/>
      <c r="Q125" s="29"/>
      <c r="R125" s="29"/>
      <c r="S125" s="29"/>
      <c r="T125" s="29"/>
      <c r="U125" s="29"/>
      <c r="V125" s="29"/>
      <c r="W125" s="29"/>
      <c r="X125" s="29"/>
    </row>
    <row r="126" customFormat="false" ht="44" hidden="false" customHeight="true" outlineLevel="0" collapsed="false">
      <c r="A126" s="29"/>
      <c r="B126" s="39"/>
      <c r="C126" s="39"/>
      <c r="D126" s="29"/>
      <c r="E126" s="29"/>
      <c r="F126" s="29"/>
      <c r="G126" s="29"/>
      <c r="H126" s="34"/>
      <c r="I126" s="34"/>
      <c r="J126" s="34"/>
      <c r="K126" s="34"/>
      <c r="L126" s="34"/>
      <c r="M126" s="35" t="str">
        <f aca="false">IF(A126="",IF(SUMPRODUCT(--(B126:L126&lt;&gt;""))+SUMPRODUCT(--(N126:X126&lt;&gt;""))&gt;0,"Missing ID",""),IF(COUNTIF($A$8:$A$307,A126)&gt;1,"Duplicate ID",IF(OR(B126="",C126="",V126="",W126=""),"Source incomplete",IF(AND(H126&lt;&gt;"Pass",H126&lt;&gt;"Fail",H126&lt;&gt;"Unresolved"),"Choose compliance",IF(AND(I126&lt;&gt;"Not started",I126&lt;&gt;"In progress",I126&lt;&gt;"In review",I126&lt;&gt;"Complete"),"Choose progress",IF(AND(OR(H126="Pass",I126="Complete"),OR(J126="",K126="",L126="")),"Evidence or file missing",""))))))</f>
        <v/>
      </c>
      <c r="N126" s="29"/>
      <c r="O126" s="29"/>
      <c r="P126" s="29"/>
      <c r="Q126" s="29"/>
      <c r="R126" s="29"/>
      <c r="S126" s="29"/>
      <c r="T126" s="29"/>
      <c r="U126" s="29"/>
      <c r="V126" s="29"/>
      <c r="W126" s="29"/>
      <c r="X126" s="29"/>
    </row>
    <row r="127" customFormat="false" ht="44" hidden="false" customHeight="true" outlineLevel="0" collapsed="false">
      <c r="A127" s="29"/>
      <c r="B127" s="39"/>
      <c r="C127" s="39"/>
      <c r="D127" s="29"/>
      <c r="E127" s="29"/>
      <c r="F127" s="29"/>
      <c r="G127" s="29"/>
      <c r="H127" s="34"/>
      <c r="I127" s="34"/>
      <c r="J127" s="34"/>
      <c r="K127" s="34"/>
      <c r="L127" s="34"/>
      <c r="M127" s="35" t="str">
        <f aca="false">IF(A127="",IF(SUMPRODUCT(--(B127:L127&lt;&gt;""))+SUMPRODUCT(--(N127:X127&lt;&gt;""))&gt;0,"Missing ID",""),IF(COUNTIF($A$8:$A$307,A127)&gt;1,"Duplicate ID",IF(OR(B127="",C127="",V127="",W127=""),"Source incomplete",IF(AND(H127&lt;&gt;"Pass",H127&lt;&gt;"Fail",H127&lt;&gt;"Unresolved"),"Choose compliance",IF(AND(I127&lt;&gt;"Not started",I127&lt;&gt;"In progress",I127&lt;&gt;"In review",I127&lt;&gt;"Complete"),"Choose progress",IF(AND(OR(H127="Pass",I127="Complete"),OR(J127="",K127="",L127="")),"Evidence or file missing",""))))))</f>
        <v/>
      </c>
      <c r="N127" s="29"/>
      <c r="O127" s="29"/>
      <c r="P127" s="29"/>
      <c r="Q127" s="29"/>
      <c r="R127" s="29"/>
      <c r="S127" s="29"/>
      <c r="T127" s="29"/>
      <c r="U127" s="29"/>
      <c r="V127" s="29"/>
      <c r="W127" s="29"/>
      <c r="X127" s="29"/>
    </row>
    <row r="128" customFormat="false" ht="44" hidden="false" customHeight="true" outlineLevel="0" collapsed="false">
      <c r="A128" s="29"/>
      <c r="B128" s="39"/>
      <c r="C128" s="39"/>
      <c r="D128" s="29"/>
      <c r="E128" s="29"/>
      <c r="F128" s="29"/>
      <c r="G128" s="29"/>
      <c r="H128" s="34"/>
      <c r="I128" s="34"/>
      <c r="J128" s="34"/>
      <c r="K128" s="34"/>
      <c r="L128" s="34"/>
      <c r="M128" s="35" t="str">
        <f aca="false">IF(A128="",IF(SUMPRODUCT(--(B128:L128&lt;&gt;""))+SUMPRODUCT(--(N128:X128&lt;&gt;""))&gt;0,"Missing ID",""),IF(COUNTIF($A$8:$A$307,A128)&gt;1,"Duplicate ID",IF(OR(B128="",C128="",V128="",W128=""),"Source incomplete",IF(AND(H128&lt;&gt;"Pass",H128&lt;&gt;"Fail",H128&lt;&gt;"Unresolved"),"Choose compliance",IF(AND(I128&lt;&gt;"Not started",I128&lt;&gt;"In progress",I128&lt;&gt;"In review",I128&lt;&gt;"Complete"),"Choose progress",IF(AND(OR(H128="Pass",I128="Complete"),OR(J128="",K128="",L128="")),"Evidence or file missing",""))))))</f>
        <v/>
      </c>
      <c r="N128" s="29"/>
      <c r="O128" s="29"/>
      <c r="P128" s="29"/>
      <c r="Q128" s="29"/>
      <c r="R128" s="29"/>
      <c r="S128" s="29"/>
      <c r="T128" s="29"/>
      <c r="U128" s="29"/>
      <c r="V128" s="29"/>
      <c r="W128" s="29"/>
      <c r="X128" s="29"/>
    </row>
    <row r="129" customFormat="false" ht="44" hidden="false" customHeight="true" outlineLevel="0" collapsed="false">
      <c r="A129" s="29"/>
      <c r="B129" s="39"/>
      <c r="C129" s="39"/>
      <c r="D129" s="29"/>
      <c r="E129" s="29"/>
      <c r="F129" s="29"/>
      <c r="G129" s="29"/>
      <c r="H129" s="34"/>
      <c r="I129" s="34"/>
      <c r="J129" s="34"/>
      <c r="K129" s="34"/>
      <c r="L129" s="34"/>
      <c r="M129" s="35" t="str">
        <f aca="false">IF(A129="",IF(SUMPRODUCT(--(B129:L129&lt;&gt;""))+SUMPRODUCT(--(N129:X129&lt;&gt;""))&gt;0,"Missing ID",""),IF(COUNTIF($A$8:$A$307,A129)&gt;1,"Duplicate ID",IF(OR(B129="",C129="",V129="",W129=""),"Source incomplete",IF(AND(H129&lt;&gt;"Pass",H129&lt;&gt;"Fail",H129&lt;&gt;"Unresolved"),"Choose compliance",IF(AND(I129&lt;&gt;"Not started",I129&lt;&gt;"In progress",I129&lt;&gt;"In review",I129&lt;&gt;"Complete"),"Choose progress",IF(AND(OR(H129="Pass",I129="Complete"),OR(J129="",K129="",L129="")),"Evidence or file missing",""))))))</f>
        <v/>
      </c>
      <c r="N129" s="29"/>
      <c r="O129" s="29"/>
      <c r="P129" s="29"/>
      <c r="Q129" s="29"/>
      <c r="R129" s="29"/>
      <c r="S129" s="29"/>
      <c r="T129" s="29"/>
      <c r="U129" s="29"/>
      <c r="V129" s="29"/>
      <c r="W129" s="29"/>
      <c r="X129" s="29"/>
    </row>
    <row r="130" customFormat="false" ht="44" hidden="false" customHeight="true" outlineLevel="0" collapsed="false">
      <c r="A130" s="29"/>
      <c r="B130" s="39"/>
      <c r="C130" s="39"/>
      <c r="D130" s="29"/>
      <c r="E130" s="29"/>
      <c r="F130" s="29"/>
      <c r="G130" s="29"/>
      <c r="H130" s="34"/>
      <c r="I130" s="34"/>
      <c r="J130" s="34"/>
      <c r="K130" s="34"/>
      <c r="L130" s="34"/>
      <c r="M130" s="35" t="str">
        <f aca="false">IF(A130="",IF(SUMPRODUCT(--(B130:L130&lt;&gt;""))+SUMPRODUCT(--(N130:X130&lt;&gt;""))&gt;0,"Missing ID",""),IF(COUNTIF($A$8:$A$307,A130)&gt;1,"Duplicate ID",IF(OR(B130="",C130="",V130="",W130=""),"Source incomplete",IF(AND(H130&lt;&gt;"Pass",H130&lt;&gt;"Fail",H130&lt;&gt;"Unresolved"),"Choose compliance",IF(AND(I130&lt;&gt;"Not started",I130&lt;&gt;"In progress",I130&lt;&gt;"In review",I130&lt;&gt;"Complete"),"Choose progress",IF(AND(OR(H130="Pass",I130="Complete"),OR(J130="",K130="",L130="")),"Evidence or file missing",""))))))</f>
        <v/>
      </c>
      <c r="N130" s="29"/>
      <c r="O130" s="29"/>
      <c r="P130" s="29"/>
      <c r="Q130" s="29"/>
      <c r="R130" s="29"/>
      <c r="S130" s="29"/>
      <c r="T130" s="29"/>
      <c r="U130" s="29"/>
      <c r="V130" s="29"/>
      <c r="W130" s="29"/>
      <c r="X130" s="29"/>
    </row>
    <row r="131" customFormat="false" ht="44" hidden="false" customHeight="true" outlineLevel="0" collapsed="false">
      <c r="A131" s="29"/>
      <c r="B131" s="39"/>
      <c r="C131" s="39"/>
      <c r="D131" s="29"/>
      <c r="E131" s="29"/>
      <c r="F131" s="29"/>
      <c r="G131" s="29"/>
      <c r="H131" s="34"/>
      <c r="I131" s="34"/>
      <c r="J131" s="34"/>
      <c r="K131" s="34"/>
      <c r="L131" s="34"/>
      <c r="M131" s="35" t="str">
        <f aca="false">IF(A131="",IF(SUMPRODUCT(--(B131:L131&lt;&gt;""))+SUMPRODUCT(--(N131:X131&lt;&gt;""))&gt;0,"Missing ID",""),IF(COUNTIF($A$8:$A$307,A131)&gt;1,"Duplicate ID",IF(OR(B131="",C131="",V131="",W131=""),"Source incomplete",IF(AND(H131&lt;&gt;"Pass",H131&lt;&gt;"Fail",H131&lt;&gt;"Unresolved"),"Choose compliance",IF(AND(I131&lt;&gt;"Not started",I131&lt;&gt;"In progress",I131&lt;&gt;"In review",I131&lt;&gt;"Complete"),"Choose progress",IF(AND(OR(H131="Pass",I131="Complete"),OR(J131="",K131="",L131="")),"Evidence or file missing",""))))))</f>
        <v/>
      </c>
      <c r="N131" s="29"/>
      <c r="O131" s="29"/>
      <c r="P131" s="29"/>
      <c r="Q131" s="29"/>
      <c r="R131" s="29"/>
      <c r="S131" s="29"/>
      <c r="T131" s="29"/>
      <c r="U131" s="29"/>
      <c r="V131" s="29"/>
      <c r="W131" s="29"/>
      <c r="X131" s="29"/>
    </row>
    <row r="132" customFormat="false" ht="44" hidden="false" customHeight="true" outlineLevel="0" collapsed="false">
      <c r="A132" s="29"/>
      <c r="B132" s="39"/>
      <c r="C132" s="39"/>
      <c r="D132" s="29"/>
      <c r="E132" s="29"/>
      <c r="F132" s="29"/>
      <c r="G132" s="29"/>
      <c r="H132" s="34"/>
      <c r="I132" s="34"/>
      <c r="J132" s="34"/>
      <c r="K132" s="34"/>
      <c r="L132" s="34"/>
      <c r="M132" s="35" t="str">
        <f aca="false">IF(A132="",IF(SUMPRODUCT(--(B132:L132&lt;&gt;""))+SUMPRODUCT(--(N132:X132&lt;&gt;""))&gt;0,"Missing ID",""),IF(COUNTIF($A$8:$A$307,A132)&gt;1,"Duplicate ID",IF(OR(B132="",C132="",V132="",W132=""),"Source incomplete",IF(AND(H132&lt;&gt;"Pass",H132&lt;&gt;"Fail",H132&lt;&gt;"Unresolved"),"Choose compliance",IF(AND(I132&lt;&gt;"Not started",I132&lt;&gt;"In progress",I132&lt;&gt;"In review",I132&lt;&gt;"Complete"),"Choose progress",IF(AND(OR(H132="Pass",I132="Complete"),OR(J132="",K132="",L132="")),"Evidence or file missing",""))))))</f>
        <v/>
      </c>
      <c r="N132" s="29"/>
      <c r="O132" s="29"/>
      <c r="P132" s="29"/>
      <c r="Q132" s="29"/>
      <c r="R132" s="29"/>
      <c r="S132" s="29"/>
      <c r="T132" s="29"/>
      <c r="U132" s="29"/>
      <c r="V132" s="29"/>
      <c r="W132" s="29"/>
      <c r="X132" s="29"/>
    </row>
    <row r="133" customFormat="false" ht="44" hidden="false" customHeight="true" outlineLevel="0" collapsed="false">
      <c r="A133" s="29"/>
      <c r="B133" s="39"/>
      <c r="C133" s="39"/>
      <c r="D133" s="29"/>
      <c r="E133" s="29"/>
      <c r="F133" s="29"/>
      <c r="G133" s="29"/>
      <c r="H133" s="34"/>
      <c r="I133" s="34"/>
      <c r="J133" s="34"/>
      <c r="K133" s="34"/>
      <c r="L133" s="34"/>
      <c r="M133" s="35" t="str">
        <f aca="false">IF(A133="",IF(SUMPRODUCT(--(B133:L133&lt;&gt;""))+SUMPRODUCT(--(N133:X133&lt;&gt;""))&gt;0,"Missing ID",""),IF(COUNTIF($A$8:$A$307,A133)&gt;1,"Duplicate ID",IF(OR(B133="",C133="",V133="",W133=""),"Source incomplete",IF(AND(H133&lt;&gt;"Pass",H133&lt;&gt;"Fail",H133&lt;&gt;"Unresolved"),"Choose compliance",IF(AND(I133&lt;&gt;"Not started",I133&lt;&gt;"In progress",I133&lt;&gt;"In review",I133&lt;&gt;"Complete"),"Choose progress",IF(AND(OR(H133="Pass",I133="Complete"),OR(J133="",K133="",L133="")),"Evidence or file missing",""))))))</f>
        <v/>
      </c>
      <c r="N133" s="29"/>
      <c r="O133" s="29"/>
      <c r="P133" s="29"/>
      <c r="Q133" s="29"/>
      <c r="R133" s="29"/>
      <c r="S133" s="29"/>
      <c r="T133" s="29"/>
      <c r="U133" s="29"/>
      <c r="V133" s="29"/>
      <c r="W133" s="29"/>
      <c r="X133" s="29"/>
    </row>
    <row r="134" customFormat="false" ht="44" hidden="false" customHeight="true" outlineLevel="0" collapsed="false">
      <c r="A134" s="29"/>
      <c r="B134" s="39"/>
      <c r="C134" s="39"/>
      <c r="D134" s="29"/>
      <c r="E134" s="29"/>
      <c r="F134" s="29"/>
      <c r="G134" s="29"/>
      <c r="H134" s="34"/>
      <c r="I134" s="34"/>
      <c r="J134" s="34"/>
      <c r="K134" s="34"/>
      <c r="L134" s="34"/>
      <c r="M134" s="35" t="str">
        <f aca="false">IF(A134="",IF(SUMPRODUCT(--(B134:L134&lt;&gt;""))+SUMPRODUCT(--(N134:X134&lt;&gt;""))&gt;0,"Missing ID",""),IF(COUNTIF($A$8:$A$307,A134)&gt;1,"Duplicate ID",IF(OR(B134="",C134="",V134="",W134=""),"Source incomplete",IF(AND(H134&lt;&gt;"Pass",H134&lt;&gt;"Fail",H134&lt;&gt;"Unresolved"),"Choose compliance",IF(AND(I134&lt;&gt;"Not started",I134&lt;&gt;"In progress",I134&lt;&gt;"In review",I134&lt;&gt;"Complete"),"Choose progress",IF(AND(OR(H134="Pass",I134="Complete"),OR(J134="",K134="",L134="")),"Evidence or file missing",""))))))</f>
        <v/>
      </c>
      <c r="N134" s="29"/>
      <c r="O134" s="29"/>
      <c r="P134" s="29"/>
      <c r="Q134" s="29"/>
      <c r="R134" s="29"/>
      <c r="S134" s="29"/>
      <c r="T134" s="29"/>
      <c r="U134" s="29"/>
      <c r="V134" s="29"/>
      <c r="W134" s="29"/>
      <c r="X134" s="29"/>
    </row>
    <row r="135" customFormat="false" ht="44" hidden="false" customHeight="true" outlineLevel="0" collapsed="false">
      <c r="A135" s="29"/>
      <c r="B135" s="39"/>
      <c r="C135" s="39"/>
      <c r="D135" s="29"/>
      <c r="E135" s="29"/>
      <c r="F135" s="29"/>
      <c r="G135" s="29"/>
      <c r="H135" s="34"/>
      <c r="I135" s="34"/>
      <c r="J135" s="34"/>
      <c r="K135" s="34"/>
      <c r="L135" s="34"/>
      <c r="M135" s="35" t="str">
        <f aca="false">IF(A135="",IF(SUMPRODUCT(--(B135:L135&lt;&gt;""))+SUMPRODUCT(--(N135:X135&lt;&gt;""))&gt;0,"Missing ID",""),IF(COUNTIF($A$8:$A$307,A135)&gt;1,"Duplicate ID",IF(OR(B135="",C135="",V135="",W135=""),"Source incomplete",IF(AND(H135&lt;&gt;"Pass",H135&lt;&gt;"Fail",H135&lt;&gt;"Unresolved"),"Choose compliance",IF(AND(I135&lt;&gt;"Not started",I135&lt;&gt;"In progress",I135&lt;&gt;"In review",I135&lt;&gt;"Complete"),"Choose progress",IF(AND(OR(H135="Pass",I135="Complete"),OR(J135="",K135="",L135="")),"Evidence or file missing",""))))))</f>
        <v/>
      </c>
      <c r="N135" s="29"/>
      <c r="O135" s="29"/>
      <c r="P135" s="29"/>
      <c r="Q135" s="29"/>
      <c r="R135" s="29"/>
      <c r="S135" s="29"/>
      <c r="T135" s="29"/>
      <c r="U135" s="29"/>
      <c r="V135" s="29"/>
      <c r="W135" s="29"/>
      <c r="X135" s="29"/>
    </row>
    <row r="136" customFormat="false" ht="44" hidden="false" customHeight="true" outlineLevel="0" collapsed="false">
      <c r="A136" s="29"/>
      <c r="B136" s="39"/>
      <c r="C136" s="39"/>
      <c r="D136" s="29"/>
      <c r="E136" s="29"/>
      <c r="F136" s="29"/>
      <c r="G136" s="29"/>
      <c r="H136" s="34"/>
      <c r="I136" s="34"/>
      <c r="J136" s="34"/>
      <c r="K136" s="34"/>
      <c r="L136" s="34"/>
      <c r="M136" s="35" t="str">
        <f aca="false">IF(A136="",IF(SUMPRODUCT(--(B136:L136&lt;&gt;""))+SUMPRODUCT(--(N136:X136&lt;&gt;""))&gt;0,"Missing ID",""),IF(COUNTIF($A$8:$A$307,A136)&gt;1,"Duplicate ID",IF(OR(B136="",C136="",V136="",W136=""),"Source incomplete",IF(AND(H136&lt;&gt;"Pass",H136&lt;&gt;"Fail",H136&lt;&gt;"Unresolved"),"Choose compliance",IF(AND(I136&lt;&gt;"Not started",I136&lt;&gt;"In progress",I136&lt;&gt;"In review",I136&lt;&gt;"Complete"),"Choose progress",IF(AND(OR(H136="Pass",I136="Complete"),OR(J136="",K136="",L136="")),"Evidence or file missing",""))))))</f>
        <v/>
      </c>
      <c r="N136" s="29"/>
      <c r="O136" s="29"/>
      <c r="P136" s="29"/>
      <c r="Q136" s="29"/>
      <c r="R136" s="29"/>
      <c r="S136" s="29"/>
      <c r="T136" s="29"/>
      <c r="U136" s="29"/>
      <c r="V136" s="29"/>
      <c r="W136" s="29"/>
      <c r="X136" s="29"/>
    </row>
    <row r="137" customFormat="false" ht="44" hidden="false" customHeight="true" outlineLevel="0" collapsed="false">
      <c r="A137" s="29"/>
      <c r="B137" s="39"/>
      <c r="C137" s="39"/>
      <c r="D137" s="29"/>
      <c r="E137" s="29"/>
      <c r="F137" s="29"/>
      <c r="G137" s="29"/>
      <c r="H137" s="34"/>
      <c r="I137" s="34"/>
      <c r="J137" s="34"/>
      <c r="K137" s="34"/>
      <c r="L137" s="34"/>
      <c r="M137" s="35" t="str">
        <f aca="false">IF(A137="",IF(SUMPRODUCT(--(B137:L137&lt;&gt;""))+SUMPRODUCT(--(N137:X137&lt;&gt;""))&gt;0,"Missing ID",""),IF(COUNTIF($A$8:$A$307,A137)&gt;1,"Duplicate ID",IF(OR(B137="",C137="",V137="",W137=""),"Source incomplete",IF(AND(H137&lt;&gt;"Pass",H137&lt;&gt;"Fail",H137&lt;&gt;"Unresolved"),"Choose compliance",IF(AND(I137&lt;&gt;"Not started",I137&lt;&gt;"In progress",I137&lt;&gt;"In review",I137&lt;&gt;"Complete"),"Choose progress",IF(AND(OR(H137="Pass",I137="Complete"),OR(J137="",K137="",L137="")),"Evidence or file missing",""))))))</f>
        <v/>
      </c>
      <c r="N137" s="29"/>
      <c r="O137" s="29"/>
      <c r="P137" s="29"/>
      <c r="Q137" s="29"/>
      <c r="R137" s="29"/>
      <c r="S137" s="29"/>
      <c r="T137" s="29"/>
      <c r="U137" s="29"/>
      <c r="V137" s="29"/>
      <c r="W137" s="29"/>
      <c r="X137" s="29"/>
    </row>
    <row r="138" customFormat="false" ht="44" hidden="false" customHeight="true" outlineLevel="0" collapsed="false">
      <c r="A138" s="29"/>
      <c r="B138" s="39"/>
      <c r="C138" s="39"/>
      <c r="D138" s="29"/>
      <c r="E138" s="29"/>
      <c r="F138" s="29"/>
      <c r="G138" s="29"/>
      <c r="H138" s="34"/>
      <c r="I138" s="34"/>
      <c r="J138" s="34"/>
      <c r="K138" s="34"/>
      <c r="L138" s="34"/>
      <c r="M138" s="35" t="str">
        <f aca="false">IF(A138="",IF(SUMPRODUCT(--(B138:L138&lt;&gt;""))+SUMPRODUCT(--(N138:X138&lt;&gt;""))&gt;0,"Missing ID",""),IF(COUNTIF($A$8:$A$307,A138)&gt;1,"Duplicate ID",IF(OR(B138="",C138="",V138="",W138=""),"Source incomplete",IF(AND(H138&lt;&gt;"Pass",H138&lt;&gt;"Fail",H138&lt;&gt;"Unresolved"),"Choose compliance",IF(AND(I138&lt;&gt;"Not started",I138&lt;&gt;"In progress",I138&lt;&gt;"In review",I138&lt;&gt;"Complete"),"Choose progress",IF(AND(OR(H138="Pass",I138="Complete"),OR(J138="",K138="",L138="")),"Evidence or file missing",""))))))</f>
        <v/>
      </c>
      <c r="N138" s="29"/>
      <c r="O138" s="29"/>
      <c r="P138" s="29"/>
      <c r="Q138" s="29"/>
      <c r="R138" s="29"/>
      <c r="S138" s="29"/>
      <c r="T138" s="29"/>
      <c r="U138" s="29"/>
      <c r="V138" s="29"/>
      <c r="W138" s="29"/>
      <c r="X138" s="29"/>
    </row>
    <row r="139" customFormat="false" ht="44" hidden="false" customHeight="true" outlineLevel="0" collapsed="false">
      <c r="A139" s="29"/>
      <c r="B139" s="39"/>
      <c r="C139" s="39"/>
      <c r="D139" s="29"/>
      <c r="E139" s="29"/>
      <c r="F139" s="29"/>
      <c r="G139" s="29"/>
      <c r="H139" s="34"/>
      <c r="I139" s="34"/>
      <c r="J139" s="34"/>
      <c r="K139" s="34"/>
      <c r="L139" s="34"/>
      <c r="M139" s="35" t="str">
        <f aca="false">IF(A139="",IF(SUMPRODUCT(--(B139:L139&lt;&gt;""))+SUMPRODUCT(--(N139:X139&lt;&gt;""))&gt;0,"Missing ID",""),IF(COUNTIF($A$8:$A$307,A139)&gt;1,"Duplicate ID",IF(OR(B139="",C139="",V139="",W139=""),"Source incomplete",IF(AND(H139&lt;&gt;"Pass",H139&lt;&gt;"Fail",H139&lt;&gt;"Unresolved"),"Choose compliance",IF(AND(I139&lt;&gt;"Not started",I139&lt;&gt;"In progress",I139&lt;&gt;"In review",I139&lt;&gt;"Complete"),"Choose progress",IF(AND(OR(H139="Pass",I139="Complete"),OR(J139="",K139="",L139="")),"Evidence or file missing",""))))))</f>
        <v/>
      </c>
      <c r="N139" s="29"/>
      <c r="O139" s="29"/>
      <c r="P139" s="29"/>
      <c r="Q139" s="29"/>
      <c r="R139" s="29"/>
      <c r="S139" s="29"/>
      <c r="T139" s="29"/>
      <c r="U139" s="29"/>
      <c r="V139" s="29"/>
      <c r="W139" s="29"/>
      <c r="X139" s="29"/>
    </row>
    <row r="140" customFormat="false" ht="44" hidden="false" customHeight="true" outlineLevel="0" collapsed="false">
      <c r="A140" s="29"/>
      <c r="B140" s="39"/>
      <c r="C140" s="39"/>
      <c r="D140" s="29"/>
      <c r="E140" s="29"/>
      <c r="F140" s="29"/>
      <c r="G140" s="29"/>
      <c r="H140" s="34"/>
      <c r="I140" s="34"/>
      <c r="J140" s="34"/>
      <c r="K140" s="34"/>
      <c r="L140" s="34"/>
      <c r="M140" s="35" t="str">
        <f aca="false">IF(A140="",IF(SUMPRODUCT(--(B140:L140&lt;&gt;""))+SUMPRODUCT(--(N140:X140&lt;&gt;""))&gt;0,"Missing ID",""),IF(COUNTIF($A$8:$A$307,A140)&gt;1,"Duplicate ID",IF(OR(B140="",C140="",V140="",W140=""),"Source incomplete",IF(AND(H140&lt;&gt;"Pass",H140&lt;&gt;"Fail",H140&lt;&gt;"Unresolved"),"Choose compliance",IF(AND(I140&lt;&gt;"Not started",I140&lt;&gt;"In progress",I140&lt;&gt;"In review",I140&lt;&gt;"Complete"),"Choose progress",IF(AND(OR(H140="Pass",I140="Complete"),OR(J140="",K140="",L140="")),"Evidence or file missing",""))))))</f>
        <v/>
      </c>
      <c r="N140" s="29"/>
      <c r="O140" s="29"/>
      <c r="P140" s="29"/>
      <c r="Q140" s="29"/>
      <c r="R140" s="29"/>
      <c r="S140" s="29"/>
      <c r="T140" s="29"/>
      <c r="U140" s="29"/>
      <c r="V140" s="29"/>
      <c r="W140" s="29"/>
      <c r="X140" s="29"/>
    </row>
    <row r="141" customFormat="false" ht="44" hidden="false" customHeight="true" outlineLevel="0" collapsed="false">
      <c r="A141" s="29"/>
      <c r="B141" s="39"/>
      <c r="C141" s="39"/>
      <c r="D141" s="29"/>
      <c r="E141" s="29"/>
      <c r="F141" s="29"/>
      <c r="G141" s="29"/>
      <c r="H141" s="34"/>
      <c r="I141" s="34"/>
      <c r="J141" s="34"/>
      <c r="K141" s="34"/>
      <c r="L141" s="34"/>
      <c r="M141" s="35" t="str">
        <f aca="false">IF(A141="",IF(SUMPRODUCT(--(B141:L141&lt;&gt;""))+SUMPRODUCT(--(N141:X141&lt;&gt;""))&gt;0,"Missing ID",""),IF(COUNTIF($A$8:$A$307,A141)&gt;1,"Duplicate ID",IF(OR(B141="",C141="",V141="",W141=""),"Source incomplete",IF(AND(H141&lt;&gt;"Pass",H141&lt;&gt;"Fail",H141&lt;&gt;"Unresolved"),"Choose compliance",IF(AND(I141&lt;&gt;"Not started",I141&lt;&gt;"In progress",I141&lt;&gt;"In review",I141&lt;&gt;"Complete"),"Choose progress",IF(AND(OR(H141="Pass",I141="Complete"),OR(J141="",K141="",L141="")),"Evidence or file missing",""))))))</f>
        <v/>
      </c>
      <c r="N141" s="29"/>
      <c r="O141" s="29"/>
      <c r="P141" s="29"/>
      <c r="Q141" s="29"/>
      <c r="R141" s="29"/>
      <c r="S141" s="29"/>
      <c r="T141" s="29"/>
      <c r="U141" s="29"/>
      <c r="V141" s="29"/>
      <c r="W141" s="29"/>
      <c r="X141" s="29"/>
    </row>
    <row r="142" customFormat="false" ht="44" hidden="false" customHeight="true" outlineLevel="0" collapsed="false">
      <c r="A142" s="29"/>
      <c r="B142" s="39"/>
      <c r="C142" s="39"/>
      <c r="D142" s="29"/>
      <c r="E142" s="29"/>
      <c r="F142" s="29"/>
      <c r="G142" s="29"/>
      <c r="H142" s="34"/>
      <c r="I142" s="34"/>
      <c r="J142" s="34"/>
      <c r="K142" s="34"/>
      <c r="L142" s="34"/>
      <c r="M142" s="35" t="str">
        <f aca="false">IF(A142="",IF(SUMPRODUCT(--(B142:L142&lt;&gt;""))+SUMPRODUCT(--(N142:X142&lt;&gt;""))&gt;0,"Missing ID",""),IF(COUNTIF($A$8:$A$307,A142)&gt;1,"Duplicate ID",IF(OR(B142="",C142="",V142="",W142=""),"Source incomplete",IF(AND(H142&lt;&gt;"Pass",H142&lt;&gt;"Fail",H142&lt;&gt;"Unresolved"),"Choose compliance",IF(AND(I142&lt;&gt;"Not started",I142&lt;&gt;"In progress",I142&lt;&gt;"In review",I142&lt;&gt;"Complete"),"Choose progress",IF(AND(OR(H142="Pass",I142="Complete"),OR(J142="",K142="",L142="")),"Evidence or file missing",""))))))</f>
        <v/>
      </c>
      <c r="N142" s="29"/>
      <c r="O142" s="29"/>
      <c r="P142" s="29"/>
      <c r="Q142" s="29"/>
      <c r="R142" s="29"/>
      <c r="S142" s="29"/>
      <c r="T142" s="29"/>
      <c r="U142" s="29"/>
      <c r="V142" s="29"/>
      <c r="W142" s="29"/>
      <c r="X142" s="29"/>
    </row>
    <row r="143" customFormat="false" ht="44" hidden="false" customHeight="true" outlineLevel="0" collapsed="false">
      <c r="A143" s="29"/>
      <c r="B143" s="39"/>
      <c r="C143" s="39"/>
      <c r="D143" s="29"/>
      <c r="E143" s="29"/>
      <c r="F143" s="29"/>
      <c r="G143" s="29"/>
      <c r="H143" s="34"/>
      <c r="I143" s="34"/>
      <c r="J143" s="34"/>
      <c r="K143" s="34"/>
      <c r="L143" s="34"/>
      <c r="M143" s="35" t="str">
        <f aca="false">IF(A143="",IF(SUMPRODUCT(--(B143:L143&lt;&gt;""))+SUMPRODUCT(--(N143:X143&lt;&gt;""))&gt;0,"Missing ID",""),IF(COUNTIF($A$8:$A$307,A143)&gt;1,"Duplicate ID",IF(OR(B143="",C143="",V143="",W143=""),"Source incomplete",IF(AND(H143&lt;&gt;"Pass",H143&lt;&gt;"Fail",H143&lt;&gt;"Unresolved"),"Choose compliance",IF(AND(I143&lt;&gt;"Not started",I143&lt;&gt;"In progress",I143&lt;&gt;"In review",I143&lt;&gt;"Complete"),"Choose progress",IF(AND(OR(H143="Pass",I143="Complete"),OR(J143="",K143="",L143="")),"Evidence or file missing",""))))))</f>
        <v/>
      </c>
      <c r="N143" s="29"/>
      <c r="O143" s="29"/>
      <c r="P143" s="29"/>
      <c r="Q143" s="29"/>
      <c r="R143" s="29"/>
      <c r="S143" s="29"/>
      <c r="T143" s="29"/>
      <c r="U143" s="29"/>
      <c r="V143" s="29"/>
      <c r="W143" s="29"/>
      <c r="X143" s="29"/>
    </row>
    <row r="144" customFormat="false" ht="44" hidden="false" customHeight="true" outlineLevel="0" collapsed="false">
      <c r="A144" s="29"/>
      <c r="B144" s="39"/>
      <c r="C144" s="39"/>
      <c r="D144" s="29"/>
      <c r="E144" s="29"/>
      <c r="F144" s="29"/>
      <c r="G144" s="29"/>
      <c r="H144" s="34"/>
      <c r="I144" s="34"/>
      <c r="J144" s="34"/>
      <c r="K144" s="34"/>
      <c r="L144" s="34"/>
      <c r="M144" s="35" t="str">
        <f aca="false">IF(A144="",IF(SUMPRODUCT(--(B144:L144&lt;&gt;""))+SUMPRODUCT(--(N144:X144&lt;&gt;""))&gt;0,"Missing ID",""),IF(COUNTIF($A$8:$A$307,A144)&gt;1,"Duplicate ID",IF(OR(B144="",C144="",V144="",W144=""),"Source incomplete",IF(AND(H144&lt;&gt;"Pass",H144&lt;&gt;"Fail",H144&lt;&gt;"Unresolved"),"Choose compliance",IF(AND(I144&lt;&gt;"Not started",I144&lt;&gt;"In progress",I144&lt;&gt;"In review",I144&lt;&gt;"Complete"),"Choose progress",IF(AND(OR(H144="Pass",I144="Complete"),OR(J144="",K144="",L144="")),"Evidence or file missing",""))))))</f>
        <v/>
      </c>
      <c r="N144" s="29"/>
      <c r="O144" s="29"/>
      <c r="P144" s="29"/>
      <c r="Q144" s="29"/>
      <c r="R144" s="29"/>
      <c r="S144" s="29"/>
      <c r="T144" s="29"/>
      <c r="U144" s="29"/>
      <c r="V144" s="29"/>
      <c r="W144" s="29"/>
      <c r="X144" s="29"/>
    </row>
    <row r="145" customFormat="false" ht="44" hidden="false" customHeight="true" outlineLevel="0" collapsed="false">
      <c r="A145" s="29"/>
      <c r="B145" s="39"/>
      <c r="C145" s="39"/>
      <c r="D145" s="29"/>
      <c r="E145" s="29"/>
      <c r="F145" s="29"/>
      <c r="G145" s="29"/>
      <c r="H145" s="34"/>
      <c r="I145" s="34"/>
      <c r="J145" s="34"/>
      <c r="K145" s="34"/>
      <c r="L145" s="34"/>
      <c r="M145" s="35" t="str">
        <f aca="false">IF(A145="",IF(SUMPRODUCT(--(B145:L145&lt;&gt;""))+SUMPRODUCT(--(N145:X145&lt;&gt;""))&gt;0,"Missing ID",""),IF(COUNTIF($A$8:$A$307,A145)&gt;1,"Duplicate ID",IF(OR(B145="",C145="",V145="",W145=""),"Source incomplete",IF(AND(H145&lt;&gt;"Pass",H145&lt;&gt;"Fail",H145&lt;&gt;"Unresolved"),"Choose compliance",IF(AND(I145&lt;&gt;"Not started",I145&lt;&gt;"In progress",I145&lt;&gt;"In review",I145&lt;&gt;"Complete"),"Choose progress",IF(AND(OR(H145="Pass",I145="Complete"),OR(J145="",K145="",L145="")),"Evidence or file missing",""))))))</f>
        <v/>
      </c>
      <c r="N145" s="29"/>
      <c r="O145" s="29"/>
      <c r="P145" s="29"/>
      <c r="Q145" s="29"/>
      <c r="R145" s="29"/>
      <c r="S145" s="29"/>
      <c r="T145" s="29"/>
      <c r="U145" s="29"/>
      <c r="V145" s="29"/>
      <c r="W145" s="29"/>
      <c r="X145" s="29"/>
    </row>
    <row r="146" customFormat="false" ht="44" hidden="false" customHeight="true" outlineLevel="0" collapsed="false">
      <c r="A146" s="29"/>
      <c r="B146" s="39"/>
      <c r="C146" s="39"/>
      <c r="D146" s="29"/>
      <c r="E146" s="29"/>
      <c r="F146" s="29"/>
      <c r="G146" s="29"/>
      <c r="H146" s="34"/>
      <c r="I146" s="34"/>
      <c r="J146" s="34"/>
      <c r="K146" s="34"/>
      <c r="L146" s="34"/>
      <c r="M146" s="35" t="str">
        <f aca="false">IF(A146="",IF(SUMPRODUCT(--(B146:L146&lt;&gt;""))+SUMPRODUCT(--(N146:X146&lt;&gt;""))&gt;0,"Missing ID",""),IF(COUNTIF($A$8:$A$307,A146)&gt;1,"Duplicate ID",IF(OR(B146="",C146="",V146="",W146=""),"Source incomplete",IF(AND(H146&lt;&gt;"Pass",H146&lt;&gt;"Fail",H146&lt;&gt;"Unresolved"),"Choose compliance",IF(AND(I146&lt;&gt;"Not started",I146&lt;&gt;"In progress",I146&lt;&gt;"In review",I146&lt;&gt;"Complete"),"Choose progress",IF(AND(OR(H146="Pass",I146="Complete"),OR(J146="",K146="",L146="")),"Evidence or file missing",""))))))</f>
        <v/>
      </c>
      <c r="N146" s="29"/>
      <c r="O146" s="29"/>
      <c r="P146" s="29"/>
      <c r="Q146" s="29"/>
      <c r="R146" s="29"/>
      <c r="S146" s="29"/>
      <c r="T146" s="29"/>
      <c r="U146" s="29"/>
      <c r="V146" s="29"/>
      <c r="W146" s="29"/>
      <c r="X146" s="29"/>
    </row>
    <row r="147" customFormat="false" ht="44" hidden="false" customHeight="true" outlineLevel="0" collapsed="false">
      <c r="A147" s="29"/>
      <c r="B147" s="39"/>
      <c r="C147" s="39"/>
      <c r="D147" s="29"/>
      <c r="E147" s="29"/>
      <c r="F147" s="29"/>
      <c r="G147" s="29"/>
      <c r="H147" s="34"/>
      <c r="I147" s="34"/>
      <c r="J147" s="34"/>
      <c r="K147" s="34"/>
      <c r="L147" s="34"/>
      <c r="M147" s="35" t="str">
        <f aca="false">IF(A147="",IF(SUMPRODUCT(--(B147:L147&lt;&gt;""))+SUMPRODUCT(--(N147:X147&lt;&gt;""))&gt;0,"Missing ID",""),IF(COUNTIF($A$8:$A$307,A147)&gt;1,"Duplicate ID",IF(OR(B147="",C147="",V147="",W147=""),"Source incomplete",IF(AND(H147&lt;&gt;"Pass",H147&lt;&gt;"Fail",H147&lt;&gt;"Unresolved"),"Choose compliance",IF(AND(I147&lt;&gt;"Not started",I147&lt;&gt;"In progress",I147&lt;&gt;"In review",I147&lt;&gt;"Complete"),"Choose progress",IF(AND(OR(H147="Pass",I147="Complete"),OR(J147="",K147="",L147="")),"Evidence or file missing",""))))))</f>
        <v/>
      </c>
      <c r="N147" s="29"/>
      <c r="O147" s="29"/>
      <c r="P147" s="29"/>
      <c r="Q147" s="29"/>
      <c r="R147" s="29"/>
      <c r="S147" s="29"/>
      <c r="T147" s="29"/>
      <c r="U147" s="29"/>
      <c r="V147" s="29"/>
      <c r="W147" s="29"/>
      <c r="X147" s="29"/>
    </row>
    <row r="148" customFormat="false" ht="44" hidden="false" customHeight="true" outlineLevel="0" collapsed="false">
      <c r="A148" s="29"/>
      <c r="B148" s="39"/>
      <c r="C148" s="39"/>
      <c r="D148" s="29"/>
      <c r="E148" s="29"/>
      <c r="F148" s="29"/>
      <c r="G148" s="29"/>
      <c r="H148" s="34"/>
      <c r="I148" s="34"/>
      <c r="J148" s="34"/>
      <c r="K148" s="34"/>
      <c r="L148" s="34"/>
      <c r="M148" s="35" t="str">
        <f aca="false">IF(A148="",IF(SUMPRODUCT(--(B148:L148&lt;&gt;""))+SUMPRODUCT(--(N148:X148&lt;&gt;""))&gt;0,"Missing ID",""),IF(COUNTIF($A$8:$A$307,A148)&gt;1,"Duplicate ID",IF(OR(B148="",C148="",V148="",W148=""),"Source incomplete",IF(AND(H148&lt;&gt;"Pass",H148&lt;&gt;"Fail",H148&lt;&gt;"Unresolved"),"Choose compliance",IF(AND(I148&lt;&gt;"Not started",I148&lt;&gt;"In progress",I148&lt;&gt;"In review",I148&lt;&gt;"Complete"),"Choose progress",IF(AND(OR(H148="Pass",I148="Complete"),OR(J148="",K148="",L148="")),"Evidence or file missing",""))))))</f>
        <v/>
      </c>
      <c r="N148" s="29"/>
      <c r="O148" s="29"/>
      <c r="P148" s="29"/>
      <c r="Q148" s="29"/>
      <c r="R148" s="29"/>
      <c r="S148" s="29"/>
      <c r="T148" s="29"/>
      <c r="U148" s="29"/>
      <c r="V148" s="29"/>
      <c r="W148" s="29"/>
      <c r="X148" s="29"/>
    </row>
    <row r="149" customFormat="false" ht="44" hidden="false" customHeight="true" outlineLevel="0" collapsed="false">
      <c r="A149" s="29"/>
      <c r="B149" s="39"/>
      <c r="C149" s="39"/>
      <c r="D149" s="29"/>
      <c r="E149" s="29"/>
      <c r="F149" s="29"/>
      <c r="G149" s="29"/>
      <c r="H149" s="34"/>
      <c r="I149" s="34"/>
      <c r="J149" s="34"/>
      <c r="K149" s="34"/>
      <c r="L149" s="34"/>
      <c r="M149" s="35" t="str">
        <f aca="false">IF(A149="",IF(SUMPRODUCT(--(B149:L149&lt;&gt;""))+SUMPRODUCT(--(N149:X149&lt;&gt;""))&gt;0,"Missing ID",""),IF(COUNTIF($A$8:$A$307,A149)&gt;1,"Duplicate ID",IF(OR(B149="",C149="",V149="",W149=""),"Source incomplete",IF(AND(H149&lt;&gt;"Pass",H149&lt;&gt;"Fail",H149&lt;&gt;"Unresolved"),"Choose compliance",IF(AND(I149&lt;&gt;"Not started",I149&lt;&gt;"In progress",I149&lt;&gt;"In review",I149&lt;&gt;"Complete"),"Choose progress",IF(AND(OR(H149="Pass",I149="Complete"),OR(J149="",K149="",L149="")),"Evidence or file missing",""))))))</f>
        <v/>
      </c>
      <c r="N149" s="29"/>
      <c r="O149" s="29"/>
      <c r="P149" s="29"/>
      <c r="Q149" s="29"/>
      <c r="R149" s="29"/>
      <c r="S149" s="29"/>
      <c r="T149" s="29"/>
      <c r="U149" s="29"/>
      <c r="V149" s="29"/>
      <c r="W149" s="29"/>
      <c r="X149" s="29"/>
    </row>
    <row r="150" customFormat="false" ht="44" hidden="false" customHeight="true" outlineLevel="0" collapsed="false">
      <c r="A150" s="29"/>
      <c r="B150" s="39"/>
      <c r="C150" s="39"/>
      <c r="D150" s="29"/>
      <c r="E150" s="29"/>
      <c r="F150" s="29"/>
      <c r="G150" s="29"/>
      <c r="H150" s="34"/>
      <c r="I150" s="34"/>
      <c r="J150" s="34"/>
      <c r="K150" s="34"/>
      <c r="L150" s="34"/>
      <c r="M150" s="35" t="str">
        <f aca="false">IF(A150="",IF(SUMPRODUCT(--(B150:L150&lt;&gt;""))+SUMPRODUCT(--(N150:X150&lt;&gt;""))&gt;0,"Missing ID",""),IF(COUNTIF($A$8:$A$307,A150)&gt;1,"Duplicate ID",IF(OR(B150="",C150="",V150="",W150=""),"Source incomplete",IF(AND(H150&lt;&gt;"Pass",H150&lt;&gt;"Fail",H150&lt;&gt;"Unresolved"),"Choose compliance",IF(AND(I150&lt;&gt;"Not started",I150&lt;&gt;"In progress",I150&lt;&gt;"In review",I150&lt;&gt;"Complete"),"Choose progress",IF(AND(OR(H150="Pass",I150="Complete"),OR(J150="",K150="",L150="")),"Evidence or file missing",""))))))</f>
        <v/>
      </c>
      <c r="N150" s="29"/>
      <c r="O150" s="29"/>
      <c r="P150" s="29"/>
      <c r="Q150" s="29"/>
      <c r="R150" s="29"/>
      <c r="S150" s="29"/>
      <c r="T150" s="29"/>
      <c r="U150" s="29"/>
      <c r="V150" s="29"/>
      <c r="W150" s="29"/>
      <c r="X150" s="29"/>
    </row>
    <row r="151" customFormat="false" ht="44" hidden="false" customHeight="true" outlineLevel="0" collapsed="false">
      <c r="A151" s="29"/>
      <c r="B151" s="39"/>
      <c r="C151" s="39"/>
      <c r="D151" s="29"/>
      <c r="E151" s="29"/>
      <c r="F151" s="29"/>
      <c r="G151" s="29"/>
      <c r="H151" s="34"/>
      <c r="I151" s="34"/>
      <c r="J151" s="34"/>
      <c r="K151" s="34"/>
      <c r="L151" s="34"/>
      <c r="M151" s="35" t="str">
        <f aca="false">IF(A151="",IF(SUMPRODUCT(--(B151:L151&lt;&gt;""))+SUMPRODUCT(--(N151:X151&lt;&gt;""))&gt;0,"Missing ID",""),IF(COUNTIF($A$8:$A$307,A151)&gt;1,"Duplicate ID",IF(OR(B151="",C151="",V151="",W151=""),"Source incomplete",IF(AND(H151&lt;&gt;"Pass",H151&lt;&gt;"Fail",H151&lt;&gt;"Unresolved"),"Choose compliance",IF(AND(I151&lt;&gt;"Not started",I151&lt;&gt;"In progress",I151&lt;&gt;"In review",I151&lt;&gt;"Complete"),"Choose progress",IF(AND(OR(H151="Pass",I151="Complete"),OR(J151="",K151="",L151="")),"Evidence or file missing",""))))))</f>
        <v/>
      </c>
      <c r="N151" s="29"/>
      <c r="O151" s="29"/>
      <c r="P151" s="29"/>
      <c r="Q151" s="29"/>
      <c r="R151" s="29"/>
      <c r="S151" s="29"/>
      <c r="T151" s="29"/>
      <c r="U151" s="29"/>
      <c r="V151" s="29"/>
      <c r="W151" s="29"/>
      <c r="X151" s="29"/>
    </row>
    <row r="152" customFormat="false" ht="44" hidden="false" customHeight="true" outlineLevel="0" collapsed="false">
      <c r="A152" s="29"/>
      <c r="B152" s="39"/>
      <c r="C152" s="39"/>
      <c r="D152" s="29"/>
      <c r="E152" s="29"/>
      <c r="F152" s="29"/>
      <c r="G152" s="29"/>
      <c r="H152" s="34"/>
      <c r="I152" s="34"/>
      <c r="J152" s="34"/>
      <c r="K152" s="34"/>
      <c r="L152" s="34"/>
      <c r="M152" s="35" t="str">
        <f aca="false">IF(A152="",IF(SUMPRODUCT(--(B152:L152&lt;&gt;""))+SUMPRODUCT(--(N152:X152&lt;&gt;""))&gt;0,"Missing ID",""),IF(COUNTIF($A$8:$A$307,A152)&gt;1,"Duplicate ID",IF(OR(B152="",C152="",V152="",W152=""),"Source incomplete",IF(AND(H152&lt;&gt;"Pass",H152&lt;&gt;"Fail",H152&lt;&gt;"Unresolved"),"Choose compliance",IF(AND(I152&lt;&gt;"Not started",I152&lt;&gt;"In progress",I152&lt;&gt;"In review",I152&lt;&gt;"Complete"),"Choose progress",IF(AND(OR(H152="Pass",I152="Complete"),OR(J152="",K152="",L152="")),"Evidence or file missing",""))))))</f>
        <v/>
      </c>
      <c r="N152" s="29"/>
      <c r="O152" s="29"/>
      <c r="P152" s="29"/>
      <c r="Q152" s="29"/>
      <c r="R152" s="29"/>
      <c r="S152" s="29"/>
      <c r="T152" s="29"/>
      <c r="U152" s="29"/>
      <c r="V152" s="29"/>
      <c r="W152" s="29"/>
      <c r="X152" s="29"/>
    </row>
    <row r="153" customFormat="false" ht="44" hidden="false" customHeight="true" outlineLevel="0" collapsed="false">
      <c r="A153" s="29"/>
      <c r="B153" s="39"/>
      <c r="C153" s="39"/>
      <c r="D153" s="29"/>
      <c r="E153" s="29"/>
      <c r="F153" s="29"/>
      <c r="G153" s="29"/>
      <c r="H153" s="34"/>
      <c r="I153" s="34"/>
      <c r="J153" s="34"/>
      <c r="K153" s="34"/>
      <c r="L153" s="34"/>
      <c r="M153" s="35" t="str">
        <f aca="false">IF(A153="",IF(SUMPRODUCT(--(B153:L153&lt;&gt;""))+SUMPRODUCT(--(N153:X153&lt;&gt;""))&gt;0,"Missing ID",""),IF(COUNTIF($A$8:$A$307,A153)&gt;1,"Duplicate ID",IF(OR(B153="",C153="",V153="",W153=""),"Source incomplete",IF(AND(H153&lt;&gt;"Pass",H153&lt;&gt;"Fail",H153&lt;&gt;"Unresolved"),"Choose compliance",IF(AND(I153&lt;&gt;"Not started",I153&lt;&gt;"In progress",I153&lt;&gt;"In review",I153&lt;&gt;"Complete"),"Choose progress",IF(AND(OR(H153="Pass",I153="Complete"),OR(J153="",K153="",L153="")),"Evidence or file missing",""))))))</f>
        <v/>
      </c>
      <c r="N153" s="29"/>
      <c r="O153" s="29"/>
      <c r="P153" s="29"/>
      <c r="Q153" s="29"/>
      <c r="R153" s="29"/>
      <c r="S153" s="29"/>
      <c r="T153" s="29"/>
      <c r="U153" s="29"/>
      <c r="V153" s="29"/>
      <c r="W153" s="29"/>
      <c r="X153" s="29"/>
    </row>
    <row r="154" customFormat="false" ht="44" hidden="false" customHeight="true" outlineLevel="0" collapsed="false">
      <c r="A154" s="29"/>
      <c r="B154" s="39"/>
      <c r="C154" s="39"/>
      <c r="D154" s="29"/>
      <c r="E154" s="29"/>
      <c r="F154" s="29"/>
      <c r="G154" s="29"/>
      <c r="H154" s="34"/>
      <c r="I154" s="34"/>
      <c r="J154" s="34"/>
      <c r="K154" s="34"/>
      <c r="L154" s="34"/>
      <c r="M154" s="35" t="str">
        <f aca="false">IF(A154="",IF(SUMPRODUCT(--(B154:L154&lt;&gt;""))+SUMPRODUCT(--(N154:X154&lt;&gt;""))&gt;0,"Missing ID",""),IF(COUNTIF($A$8:$A$307,A154)&gt;1,"Duplicate ID",IF(OR(B154="",C154="",V154="",W154=""),"Source incomplete",IF(AND(H154&lt;&gt;"Pass",H154&lt;&gt;"Fail",H154&lt;&gt;"Unresolved"),"Choose compliance",IF(AND(I154&lt;&gt;"Not started",I154&lt;&gt;"In progress",I154&lt;&gt;"In review",I154&lt;&gt;"Complete"),"Choose progress",IF(AND(OR(H154="Pass",I154="Complete"),OR(J154="",K154="",L154="")),"Evidence or file missing",""))))))</f>
        <v/>
      </c>
      <c r="N154" s="29"/>
      <c r="O154" s="29"/>
      <c r="P154" s="29"/>
      <c r="Q154" s="29"/>
      <c r="R154" s="29"/>
      <c r="S154" s="29"/>
      <c r="T154" s="29"/>
      <c r="U154" s="29"/>
      <c r="V154" s="29"/>
      <c r="W154" s="29"/>
      <c r="X154" s="29"/>
    </row>
    <row r="155" customFormat="false" ht="44" hidden="false" customHeight="true" outlineLevel="0" collapsed="false">
      <c r="A155" s="29"/>
      <c r="B155" s="39"/>
      <c r="C155" s="39"/>
      <c r="D155" s="29"/>
      <c r="E155" s="29"/>
      <c r="F155" s="29"/>
      <c r="G155" s="29"/>
      <c r="H155" s="34"/>
      <c r="I155" s="34"/>
      <c r="J155" s="34"/>
      <c r="K155" s="34"/>
      <c r="L155" s="34"/>
      <c r="M155" s="35" t="str">
        <f aca="false">IF(A155="",IF(SUMPRODUCT(--(B155:L155&lt;&gt;""))+SUMPRODUCT(--(N155:X155&lt;&gt;""))&gt;0,"Missing ID",""),IF(COUNTIF($A$8:$A$307,A155)&gt;1,"Duplicate ID",IF(OR(B155="",C155="",V155="",W155=""),"Source incomplete",IF(AND(H155&lt;&gt;"Pass",H155&lt;&gt;"Fail",H155&lt;&gt;"Unresolved"),"Choose compliance",IF(AND(I155&lt;&gt;"Not started",I155&lt;&gt;"In progress",I155&lt;&gt;"In review",I155&lt;&gt;"Complete"),"Choose progress",IF(AND(OR(H155="Pass",I155="Complete"),OR(J155="",K155="",L155="")),"Evidence or file missing",""))))))</f>
        <v/>
      </c>
      <c r="N155" s="29"/>
      <c r="O155" s="29"/>
      <c r="P155" s="29"/>
      <c r="Q155" s="29"/>
      <c r="R155" s="29"/>
      <c r="S155" s="29"/>
      <c r="T155" s="29"/>
      <c r="U155" s="29"/>
      <c r="V155" s="29"/>
      <c r="W155" s="29"/>
      <c r="X155" s="29"/>
    </row>
    <row r="156" customFormat="false" ht="44" hidden="false" customHeight="true" outlineLevel="0" collapsed="false">
      <c r="A156" s="29"/>
      <c r="B156" s="39"/>
      <c r="C156" s="39"/>
      <c r="D156" s="29"/>
      <c r="E156" s="29"/>
      <c r="F156" s="29"/>
      <c r="G156" s="29"/>
      <c r="H156" s="34"/>
      <c r="I156" s="34"/>
      <c r="J156" s="34"/>
      <c r="K156" s="34"/>
      <c r="L156" s="34"/>
      <c r="M156" s="35" t="str">
        <f aca="false">IF(A156="",IF(SUMPRODUCT(--(B156:L156&lt;&gt;""))+SUMPRODUCT(--(N156:X156&lt;&gt;""))&gt;0,"Missing ID",""),IF(COUNTIF($A$8:$A$307,A156)&gt;1,"Duplicate ID",IF(OR(B156="",C156="",V156="",W156=""),"Source incomplete",IF(AND(H156&lt;&gt;"Pass",H156&lt;&gt;"Fail",H156&lt;&gt;"Unresolved"),"Choose compliance",IF(AND(I156&lt;&gt;"Not started",I156&lt;&gt;"In progress",I156&lt;&gt;"In review",I156&lt;&gt;"Complete"),"Choose progress",IF(AND(OR(H156="Pass",I156="Complete"),OR(J156="",K156="",L156="")),"Evidence or file missing",""))))))</f>
        <v/>
      </c>
      <c r="N156" s="29"/>
      <c r="O156" s="29"/>
      <c r="P156" s="29"/>
      <c r="Q156" s="29"/>
      <c r="R156" s="29"/>
      <c r="S156" s="29"/>
      <c r="T156" s="29"/>
      <c r="U156" s="29"/>
      <c r="V156" s="29"/>
      <c r="W156" s="29"/>
      <c r="X156" s="29"/>
    </row>
    <row r="157" customFormat="false" ht="44" hidden="false" customHeight="true" outlineLevel="0" collapsed="false">
      <c r="A157" s="29"/>
      <c r="B157" s="39"/>
      <c r="C157" s="39"/>
      <c r="D157" s="29"/>
      <c r="E157" s="29"/>
      <c r="F157" s="29"/>
      <c r="G157" s="29"/>
      <c r="H157" s="34"/>
      <c r="I157" s="34"/>
      <c r="J157" s="34"/>
      <c r="K157" s="34"/>
      <c r="L157" s="34"/>
      <c r="M157" s="35" t="str">
        <f aca="false">IF(A157="",IF(SUMPRODUCT(--(B157:L157&lt;&gt;""))+SUMPRODUCT(--(N157:X157&lt;&gt;""))&gt;0,"Missing ID",""),IF(COUNTIF($A$8:$A$307,A157)&gt;1,"Duplicate ID",IF(OR(B157="",C157="",V157="",W157=""),"Source incomplete",IF(AND(H157&lt;&gt;"Pass",H157&lt;&gt;"Fail",H157&lt;&gt;"Unresolved"),"Choose compliance",IF(AND(I157&lt;&gt;"Not started",I157&lt;&gt;"In progress",I157&lt;&gt;"In review",I157&lt;&gt;"Complete"),"Choose progress",IF(AND(OR(H157="Pass",I157="Complete"),OR(J157="",K157="",L157="")),"Evidence or file missing",""))))))</f>
        <v/>
      </c>
      <c r="N157" s="29"/>
      <c r="O157" s="29"/>
      <c r="P157" s="29"/>
      <c r="Q157" s="29"/>
      <c r="R157" s="29"/>
      <c r="S157" s="29"/>
      <c r="T157" s="29"/>
      <c r="U157" s="29"/>
      <c r="V157" s="29"/>
      <c r="W157" s="29"/>
      <c r="X157" s="29"/>
    </row>
    <row r="158" customFormat="false" ht="44" hidden="false" customHeight="true" outlineLevel="0" collapsed="false">
      <c r="A158" s="29"/>
      <c r="B158" s="39"/>
      <c r="C158" s="39"/>
      <c r="D158" s="29"/>
      <c r="E158" s="29"/>
      <c r="F158" s="29"/>
      <c r="G158" s="29"/>
      <c r="H158" s="34"/>
      <c r="I158" s="34"/>
      <c r="J158" s="34"/>
      <c r="K158" s="34"/>
      <c r="L158" s="34"/>
      <c r="M158" s="35" t="str">
        <f aca="false">IF(A158="",IF(SUMPRODUCT(--(B158:L158&lt;&gt;""))+SUMPRODUCT(--(N158:X158&lt;&gt;""))&gt;0,"Missing ID",""),IF(COUNTIF($A$8:$A$307,A158)&gt;1,"Duplicate ID",IF(OR(B158="",C158="",V158="",W158=""),"Source incomplete",IF(AND(H158&lt;&gt;"Pass",H158&lt;&gt;"Fail",H158&lt;&gt;"Unresolved"),"Choose compliance",IF(AND(I158&lt;&gt;"Not started",I158&lt;&gt;"In progress",I158&lt;&gt;"In review",I158&lt;&gt;"Complete"),"Choose progress",IF(AND(OR(H158="Pass",I158="Complete"),OR(J158="",K158="",L158="")),"Evidence or file missing",""))))))</f>
        <v/>
      </c>
      <c r="N158" s="29"/>
      <c r="O158" s="29"/>
      <c r="P158" s="29"/>
      <c r="Q158" s="29"/>
      <c r="R158" s="29"/>
      <c r="S158" s="29"/>
      <c r="T158" s="29"/>
      <c r="U158" s="29"/>
      <c r="V158" s="29"/>
      <c r="W158" s="29"/>
      <c r="X158" s="29"/>
    </row>
    <row r="159" customFormat="false" ht="44" hidden="false" customHeight="true" outlineLevel="0" collapsed="false">
      <c r="A159" s="29"/>
      <c r="B159" s="39"/>
      <c r="C159" s="39"/>
      <c r="D159" s="29"/>
      <c r="E159" s="29"/>
      <c r="F159" s="29"/>
      <c r="G159" s="29"/>
      <c r="H159" s="34"/>
      <c r="I159" s="34"/>
      <c r="J159" s="34"/>
      <c r="K159" s="34"/>
      <c r="L159" s="34"/>
      <c r="M159" s="35" t="str">
        <f aca="false">IF(A159="",IF(SUMPRODUCT(--(B159:L159&lt;&gt;""))+SUMPRODUCT(--(N159:X159&lt;&gt;""))&gt;0,"Missing ID",""),IF(COUNTIF($A$8:$A$307,A159)&gt;1,"Duplicate ID",IF(OR(B159="",C159="",V159="",W159=""),"Source incomplete",IF(AND(H159&lt;&gt;"Pass",H159&lt;&gt;"Fail",H159&lt;&gt;"Unresolved"),"Choose compliance",IF(AND(I159&lt;&gt;"Not started",I159&lt;&gt;"In progress",I159&lt;&gt;"In review",I159&lt;&gt;"Complete"),"Choose progress",IF(AND(OR(H159="Pass",I159="Complete"),OR(J159="",K159="",L159="")),"Evidence or file missing",""))))))</f>
        <v/>
      </c>
      <c r="N159" s="29"/>
      <c r="O159" s="29"/>
      <c r="P159" s="29"/>
      <c r="Q159" s="29"/>
      <c r="R159" s="29"/>
      <c r="S159" s="29"/>
      <c r="T159" s="29"/>
      <c r="U159" s="29"/>
      <c r="V159" s="29"/>
      <c r="W159" s="29"/>
      <c r="X159" s="29"/>
    </row>
    <row r="160" customFormat="false" ht="44" hidden="false" customHeight="true" outlineLevel="0" collapsed="false">
      <c r="A160" s="29"/>
      <c r="B160" s="39"/>
      <c r="C160" s="39"/>
      <c r="D160" s="29"/>
      <c r="E160" s="29"/>
      <c r="F160" s="29"/>
      <c r="G160" s="29"/>
      <c r="H160" s="34"/>
      <c r="I160" s="34"/>
      <c r="J160" s="34"/>
      <c r="K160" s="34"/>
      <c r="L160" s="34"/>
      <c r="M160" s="35" t="str">
        <f aca="false">IF(A160="",IF(SUMPRODUCT(--(B160:L160&lt;&gt;""))+SUMPRODUCT(--(N160:X160&lt;&gt;""))&gt;0,"Missing ID",""),IF(COUNTIF($A$8:$A$307,A160)&gt;1,"Duplicate ID",IF(OR(B160="",C160="",V160="",W160=""),"Source incomplete",IF(AND(H160&lt;&gt;"Pass",H160&lt;&gt;"Fail",H160&lt;&gt;"Unresolved"),"Choose compliance",IF(AND(I160&lt;&gt;"Not started",I160&lt;&gt;"In progress",I160&lt;&gt;"In review",I160&lt;&gt;"Complete"),"Choose progress",IF(AND(OR(H160="Pass",I160="Complete"),OR(J160="",K160="",L160="")),"Evidence or file missing",""))))))</f>
        <v/>
      </c>
      <c r="N160" s="29"/>
      <c r="O160" s="29"/>
      <c r="P160" s="29"/>
      <c r="Q160" s="29"/>
      <c r="R160" s="29"/>
      <c r="S160" s="29"/>
      <c r="T160" s="29"/>
      <c r="U160" s="29"/>
      <c r="V160" s="29"/>
      <c r="W160" s="29"/>
      <c r="X160" s="29"/>
    </row>
    <row r="161" customFormat="false" ht="44" hidden="false" customHeight="true" outlineLevel="0" collapsed="false">
      <c r="A161" s="29"/>
      <c r="B161" s="39"/>
      <c r="C161" s="39"/>
      <c r="D161" s="29"/>
      <c r="E161" s="29"/>
      <c r="F161" s="29"/>
      <c r="G161" s="29"/>
      <c r="H161" s="34"/>
      <c r="I161" s="34"/>
      <c r="J161" s="34"/>
      <c r="K161" s="34"/>
      <c r="L161" s="34"/>
      <c r="M161" s="35" t="str">
        <f aca="false">IF(A161="",IF(SUMPRODUCT(--(B161:L161&lt;&gt;""))+SUMPRODUCT(--(N161:X161&lt;&gt;""))&gt;0,"Missing ID",""),IF(COUNTIF($A$8:$A$307,A161)&gt;1,"Duplicate ID",IF(OR(B161="",C161="",V161="",W161=""),"Source incomplete",IF(AND(H161&lt;&gt;"Pass",H161&lt;&gt;"Fail",H161&lt;&gt;"Unresolved"),"Choose compliance",IF(AND(I161&lt;&gt;"Not started",I161&lt;&gt;"In progress",I161&lt;&gt;"In review",I161&lt;&gt;"Complete"),"Choose progress",IF(AND(OR(H161="Pass",I161="Complete"),OR(J161="",K161="",L161="")),"Evidence or file missing",""))))))</f>
        <v/>
      </c>
      <c r="N161" s="29"/>
      <c r="O161" s="29"/>
      <c r="P161" s="29"/>
      <c r="Q161" s="29"/>
      <c r="R161" s="29"/>
      <c r="S161" s="29"/>
      <c r="T161" s="29"/>
      <c r="U161" s="29"/>
      <c r="V161" s="29"/>
      <c r="W161" s="29"/>
      <c r="X161" s="29"/>
    </row>
    <row r="162" customFormat="false" ht="44" hidden="false" customHeight="true" outlineLevel="0" collapsed="false">
      <c r="A162" s="29"/>
      <c r="B162" s="39"/>
      <c r="C162" s="39"/>
      <c r="D162" s="29"/>
      <c r="E162" s="29"/>
      <c r="F162" s="29"/>
      <c r="G162" s="29"/>
      <c r="H162" s="34"/>
      <c r="I162" s="34"/>
      <c r="J162" s="34"/>
      <c r="K162" s="34"/>
      <c r="L162" s="34"/>
      <c r="M162" s="35" t="str">
        <f aca="false">IF(A162="",IF(SUMPRODUCT(--(B162:L162&lt;&gt;""))+SUMPRODUCT(--(N162:X162&lt;&gt;""))&gt;0,"Missing ID",""),IF(COUNTIF($A$8:$A$307,A162)&gt;1,"Duplicate ID",IF(OR(B162="",C162="",V162="",W162=""),"Source incomplete",IF(AND(H162&lt;&gt;"Pass",H162&lt;&gt;"Fail",H162&lt;&gt;"Unresolved"),"Choose compliance",IF(AND(I162&lt;&gt;"Not started",I162&lt;&gt;"In progress",I162&lt;&gt;"In review",I162&lt;&gt;"Complete"),"Choose progress",IF(AND(OR(H162="Pass",I162="Complete"),OR(J162="",K162="",L162="")),"Evidence or file missing",""))))))</f>
        <v/>
      </c>
      <c r="N162" s="29"/>
      <c r="O162" s="29"/>
      <c r="P162" s="29"/>
      <c r="Q162" s="29"/>
      <c r="R162" s="29"/>
      <c r="S162" s="29"/>
      <c r="T162" s="29"/>
      <c r="U162" s="29"/>
      <c r="V162" s="29"/>
      <c r="W162" s="29"/>
      <c r="X162" s="29"/>
    </row>
    <row r="163" customFormat="false" ht="44" hidden="false" customHeight="true" outlineLevel="0" collapsed="false">
      <c r="A163" s="29"/>
      <c r="B163" s="39"/>
      <c r="C163" s="39"/>
      <c r="D163" s="29"/>
      <c r="E163" s="29"/>
      <c r="F163" s="29"/>
      <c r="G163" s="29"/>
      <c r="H163" s="34"/>
      <c r="I163" s="34"/>
      <c r="J163" s="34"/>
      <c r="K163" s="34"/>
      <c r="L163" s="34"/>
      <c r="M163" s="35" t="str">
        <f aca="false">IF(A163="",IF(SUMPRODUCT(--(B163:L163&lt;&gt;""))+SUMPRODUCT(--(N163:X163&lt;&gt;""))&gt;0,"Missing ID",""),IF(COUNTIF($A$8:$A$307,A163)&gt;1,"Duplicate ID",IF(OR(B163="",C163="",V163="",W163=""),"Source incomplete",IF(AND(H163&lt;&gt;"Pass",H163&lt;&gt;"Fail",H163&lt;&gt;"Unresolved"),"Choose compliance",IF(AND(I163&lt;&gt;"Not started",I163&lt;&gt;"In progress",I163&lt;&gt;"In review",I163&lt;&gt;"Complete"),"Choose progress",IF(AND(OR(H163="Pass",I163="Complete"),OR(J163="",K163="",L163="")),"Evidence or file missing",""))))))</f>
        <v/>
      </c>
      <c r="N163" s="29"/>
      <c r="O163" s="29"/>
      <c r="P163" s="29"/>
      <c r="Q163" s="29"/>
      <c r="R163" s="29"/>
      <c r="S163" s="29"/>
      <c r="T163" s="29"/>
      <c r="U163" s="29"/>
      <c r="V163" s="29"/>
      <c r="W163" s="29"/>
      <c r="X163" s="29"/>
    </row>
    <row r="164" customFormat="false" ht="44" hidden="false" customHeight="true" outlineLevel="0" collapsed="false">
      <c r="A164" s="29"/>
      <c r="B164" s="39"/>
      <c r="C164" s="39"/>
      <c r="D164" s="29"/>
      <c r="E164" s="29"/>
      <c r="F164" s="29"/>
      <c r="G164" s="29"/>
      <c r="H164" s="34"/>
      <c r="I164" s="34"/>
      <c r="J164" s="34"/>
      <c r="K164" s="34"/>
      <c r="L164" s="34"/>
      <c r="M164" s="35" t="str">
        <f aca="false">IF(A164="",IF(SUMPRODUCT(--(B164:L164&lt;&gt;""))+SUMPRODUCT(--(N164:X164&lt;&gt;""))&gt;0,"Missing ID",""),IF(COUNTIF($A$8:$A$307,A164)&gt;1,"Duplicate ID",IF(OR(B164="",C164="",V164="",W164=""),"Source incomplete",IF(AND(H164&lt;&gt;"Pass",H164&lt;&gt;"Fail",H164&lt;&gt;"Unresolved"),"Choose compliance",IF(AND(I164&lt;&gt;"Not started",I164&lt;&gt;"In progress",I164&lt;&gt;"In review",I164&lt;&gt;"Complete"),"Choose progress",IF(AND(OR(H164="Pass",I164="Complete"),OR(J164="",K164="",L164="")),"Evidence or file missing",""))))))</f>
        <v/>
      </c>
      <c r="N164" s="29"/>
      <c r="O164" s="29"/>
      <c r="P164" s="29"/>
      <c r="Q164" s="29"/>
      <c r="R164" s="29"/>
      <c r="S164" s="29"/>
      <c r="T164" s="29"/>
      <c r="U164" s="29"/>
      <c r="V164" s="29"/>
      <c r="W164" s="29"/>
      <c r="X164" s="29"/>
    </row>
    <row r="165" customFormat="false" ht="44" hidden="false" customHeight="true" outlineLevel="0" collapsed="false">
      <c r="A165" s="29"/>
      <c r="B165" s="39"/>
      <c r="C165" s="39"/>
      <c r="D165" s="29"/>
      <c r="E165" s="29"/>
      <c r="F165" s="29"/>
      <c r="G165" s="29"/>
      <c r="H165" s="34"/>
      <c r="I165" s="34"/>
      <c r="J165" s="34"/>
      <c r="K165" s="34"/>
      <c r="L165" s="34"/>
      <c r="M165" s="35" t="str">
        <f aca="false">IF(A165="",IF(SUMPRODUCT(--(B165:L165&lt;&gt;""))+SUMPRODUCT(--(N165:X165&lt;&gt;""))&gt;0,"Missing ID",""),IF(COUNTIF($A$8:$A$307,A165)&gt;1,"Duplicate ID",IF(OR(B165="",C165="",V165="",W165=""),"Source incomplete",IF(AND(H165&lt;&gt;"Pass",H165&lt;&gt;"Fail",H165&lt;&gt;"Unresolved"),"Choose compliance",IF(AND(I165&lt;&gt;"Not started",I165&lt;&gt;"In progress",I165&lt;&gt;"In review",I165&lt;&gt;"Complete"),"Choose progress",IF(AND(OR(H165="Pass",I165="Complete"),OR(J165="",K165="",L165="")),"Evidence or file missing",""))))))</f>
        <v/>
      </c>
      <c r="N165" s="29"/>
      <c r="O165" s="29"/>
      <c r="P165" s="29"/>
      <c r="Q165" s="29"/>
      <c r="R165" s="29"/>
      <c r="S165" s="29"/>
      <c r="T165" s="29"/>
      <c r="U165" s="29"/>
      <c r="V165" s="29"/>
      <c r="W165" s="29"/>
      <c r="X165" s="29"/>
    </row>
    <row r="166" customFormat="false" ht="44" hidden="false" customHeight="true" outlineLevel="0" collapsed="false">
      <c r="A166" s="29"/>
      <c r="B166" s="39"/>
      <c r="C166" s="39"/>
      <c r="D166" s="29"/>
      <c r="E166" s="29"/>
      <c r="F166" s="29"/>
      <c r="G166" s="29"/>
      <c r="H166" s="34"/>
      <c r="I166" s="34"/>
      <c r="J166" s="34"/>
      <c r="K166" s="34"/>
      <c r="L166" s="34"/>
      <c r="M166" s="35" t="str">
        <f aca="false">IF(A166="",IF(SUMPRODUCT(--(B166:L166&lt;&gt;""))+SUMPRODUCT(--(N166:X166&lt;&gt;""))&gt;0,"Missing ID",""),IF(COUNTIF($A$8:$A$307,A166)&gt;1,"Duplicate ID",IF(OR(B166="",C166="",V166="",W166=""),"Source incomplete",IF(AND(H166&lt;&gt;"Pass",H166&lt;&gt;"Fail",H166&lt;&gt;"Unresolved"),"Choose compliance",IF(AND(I166&lt;&gt;"Not started",I166&lt;&gt;"In progress",I166&lt;&gt;"In review",I166&lt;&gt;"Complete"),"Choose progress",IF(AND(OR(H166="Pass",I166="Complete"),OR(J166="",K166="",L166="")),"Evidence or file missing",""))))))</f>
        <v/>
      </c>
      <c r="N166" s="29"/>
      <c r="O166" s="29"/>
      <c r="P166" s="29"/>
      <c r="Q166" s="29"/>
      <c r="R166" s="29"/>
      <c r="S166" s="29"/>
      <c r="T166" s="29"/>
      <c r="U166" s="29"/>
      <c r="V166" s="29"/>
      <c r="W166" s="29"/>
      <c r="X166" s="29"/>
    </row>
    <row r="167" customFormat="false" ht="44" hidden="false" customHeight="true" outlineLevel="0" collapsed="false">
      <c r="A167" s="29"/>
      <c r="B167" s="39"/>
      <c r="C167" s="39"/>
      <c r="D167" s="29"/>
      <c r="E167" s="29"/>
      <c r="F167" s="29"/>
      <c r="G167" s="29"/>
      <c r="H167" s="34"/>
      <c r="I167" s="34"/>
      <c r="J167" s="34"/>
      <c r="K167" s="34"/>
      <c r="L167" s="34"/>
      <c r="M167" s="35" t="str">
        <f aca="false">IF(A167="",IF(SUMPRODUCT(--(B167:L167&lt;&gt;""))+SUMPRODUCT(--(N167:X167&lt;&gt;""))&gt;0,"Missing ID",""),IF(COUNTIF($A$8:$A$307,A167)&gt;1,"Duplicate ID",IF(OR(B167="",C167="",V167="",W167=""),"Source incomplete",IF(AND(H167&lt;&gt;"Pass",H167&lt;&gt;"Fail",H167&lt;&gt;"Unresolved"),"Choose compliance",IF(AND(I167&lt;&gt;"Not started",I167&lt;&gt;"In progress",I167&lt;&gt;"In review",I167&lt;&gt;"Complete"),"Choose progress",IF(AND(OR(H167="Pass",I167="Complete"),OR(J167="",K167="",L167="")),"Evidence or file missing",""))))))</f>
        <v/>
      </c>
      <c r="N167" s="29"/>
      <c r="O167" s="29"/>
      <c r="P167" s="29"/>
      <c r="Q167" s="29"/>
      <c r="R167" s="29"/>
      <c r="S167" s="29"/>
      <c r="T167" s="29"/>
      <c r="U167" s="29"/>
      <c r="V167" s="29"/>
      <c r="W167" s="29"/>
      <c r="X167" s="29"/>
    </row>
    <row r="168" customFormat="false" ht="44" hidden="false" customHeight="true" outlineLevel="0" collapsed="false">
      <c r="A168" s="29"/>
      <c r="B168" s="39"/>
      <c r="C168" s="39"/>
      <c r="D168" s="29"/>
      <c r="E168" s="29"/>
      <c r="F168" s="29"/>
      <c r="G168" s="29"/>
      <c r="H168" s="34"/>
      <c r="I168" s="34"/>
      <c r="J168" s="34"/>
      <c r="K168" s="34"/>
      <c r="L168" s="34"/>
      <c r="M168" s="35" t="str">
        <f aca="false">IF(A168="",IF(SUMPRODUCT(--(B168:L168&lt;&gt;""))+SUMPRODUCT(--(N168:X168&lt;&gt;""))&gt;0,"Missing ID",""),IF(COUNTIF($A$8:$A$307,A168)&gt;1,"Duplicate ID",IF(OR(B168="",C168="",V168="",W168=""),"Source incomplete",IF(AND(H168&lt;&gt;"Pass",H168&lt;&gt;"Fail",H168&lt;&gt;"Unresolved"),"Choose compliance",IF(AND(I168&lt;&gt;"Not started",I168&lt;&gt;"In progress",I168&lt;&gt;"In review",I168&lt;&gt;"Complete"),"Choose progress",IF(AND(OR(H168="Pass",I168="Complete"),OR(J168="",K168="",L168="")),"Evidence or file missing",""))))))</f>
        <v/>
      </c>
      <c r="N168" s="29"/>
      <c r="O168" s="29"/>
      <c r="P168" s="29"/>
      <c r="Q168" s="29"/>
      <c r="R168" s="29"/>
      <c r="S168" s="29"/>
      <c r="T168" s="29"/>
      <c r="U168" s="29"/>
      <c r="V168" s="29"/>
      <c r="W168" s="29"/>
      <c r="X168" s="29"/>
    </row>
    <row r="169" customFormat="false" ht="44" hidden="false" customHeight="true" outlineLevel="0" collapsed="false">
      <c r="A169" s="29"/>
      <c r="B169" s="39"/>
      <c r="C169" s="39"/>
      <c r="D169" s="29"/>
      <c r="E169" s="29"/>
      <c r="F169" s="29"/>
      <c r="G169" s="29"/>
      <c r="H169" s="34"/>
      <c r="I169" s="34"/>
      <c r="J169" s="34"/>
      <c r="K169" s="34"/>
      <c r="L169" s="34"/>
      <c r="M169" s="35" t="str">
        <f aca="false">IF(A169="",IF(SUMPRODUCT(--(B169:L169&lt;&gt;""))+SUMPRODUCT(--(N169:X169&lt;&gt;""))&gt;0,"Missing ID",""),IF(COUNTIF($A$8:$A$307,A169)&gt;1,"Duplicate ID",IF(OR(B169="",C169="",V169="",W169=""),"Source incomplete",IF(AND(H169&lt;&gt;"Pass",H169&lt;&gt;"Fail",H169&lt;&gt;"Unresolved"),"Choose compliance",IF(AND(I169&lt;&gt;"Not started",I169&lt;&gt;"In progress",I169&lt;&gt;"In review",I169&lt;&gt;"Complete"),"Choose progress",IF(AND(OR(H169="Pass",I169="Complete"),OR(J169="",K169="",L169="")),"Evidence or file missing",""))))))</f>
        <v/>
      </c>
      <c r="N169" s="29"/>
      <c r="O169" s="29"/>
      <c r="P169" s="29"/>
      <c r="Q169" s="29"/>
      <c r="R169" s="29"/>
      <c r="S169" s="29"/>
      <c r="T169" s="29"/>
      <c r="U169" s="29"/>
      <c r="V169" s="29"/>
      <c r="W169" s="29"/>
      <c r="X169" s="29"/>
    </row>
    <row r="170" customFormat="false" ht="44" hidden="false" customHeight="true" outlineLevel="0" collapsed="false">
      <c r="A170" s="29"/>
      <c r="B170" s="39"/>
      <c r="C170" s="39"/>
      <c r="D170" s="29"/>
      <c r="E170" s="29"/>
      <c r="F170" s="29"/>
      <c r="G170" s="29"/>
      <c r="H170" s="34"/>
      <c r="I170" s="34"/>
      <c r="J170" s="34"/>
      <c r="K170" s="34"/>
      <c r="L170" s="34"/>
      <c r="M170" s="35" t="str">
        <f aca="false">IF(A170="",IF(SUMPRODUCT(--(B170:L170&lt;&gt;""))+SUMPRODUCT(--(N170:X170&lt;&gt;""))&gt;0,"Missing ID",""),IF(COUNTIF($A$8:$A$307,A170)&gt;1,"Duplicate ID",IF(OR(B170="",C170="",V170="",W170=""),"Source incomplete",IF(AND(H170&lt;&gt;"Pass",H170&lt;&gt;"Fail",H170&lt;&gt;"Unresolved"),"Choose compliance",IF(AND(I170&lt;&gt;"Not started",I170&lt;&gt;"In progress",I170&lt;&gt;"In review",I170&lt;&gt;"Complete"),"Choose progress",IF(AND(OR(H170="Pass",I170="Complete"),OR(J170="",K170="",L170="")),"Evidence or file missing",""))))))</f>
        <v/>
      </c>
      <c r="N170" s="29"/>
      <c r="O170" s="29"/>
      <c r="P170" s="29"/>
      <c r="Q170" s="29"/>
      <c r="R170" s="29"/>
      <c r="S170" s="29"/>
      <c r="T170" s="29"/>
      <c r="U170" s="29"/>
      <c r="V170" s="29"/>
      <c r="W170" s="29"/>
      <c r="X170" s="29"/>
    </row>
    <row r="171" customFormat="false" ht="44" hidden="false" customHeight="true" outlineLevel="0" collapsed="false">
      <c r="A171" s="29"/>
      <c r="B171" s="39"/>
      <c r="C171" s="39"/>
      <c r="D171" s="29"/>
      <c r="E171" s="29"/>
      <c r="F171" s="29"/>
      <c r="G171" s="29"/>
      <c r="H171" s="34"/>
      <c r="I171" s="34"/>
      <c r="J171" s="34"/>
      <c r="K171" s="34"/>
      <c r="L171" s="34"/>
      <c r="M171" s="35" t="str">
        <f aca="false">IF(A171="",IF(SUMPRODUCT(--(B171:L171&lt;&gt;""))+SUMPRODUCT(--(N171:X171&lt;&gt;""))&gt;0,"Missing ID",""),IF(COUNTIF($A$8:$A$307,A171)&gt;1,"Duplicate ID",IF(OR(B171="",C171="",V171="",W171=""),"Source incomplete",IF(AND(H171&lt;&gt;"Pass",H171&lt;&gt;"Fail",H171&lt;&gt;"Unresolved"),"Choose compliance",IF(AND(I171&lt;&gt;"Not started",I171&lt;&gt;"In progress",I171&lt;&gt;"In review",I171&lt;&gt;"Complete"),"Choose progress",IF(AND(OR(H171="Pass",I171="Complete"),OR(J171="",K171="",L171="")),"Evidence or file missing",""))))))</f>
        <v/>
      </c>
      <c r="N171" s="29"/>
      <c r="O171" s="29"/>
      <c r="P171" s="29"/>
      <c r="Q171" s="29"/>
      <c r="R171" s="29"/>
      <c r="S171" s="29"/>
      <c r="T171" s="29"/>
      <c r="U171" s="29"/>
      <c r="V171" s="29"/>
      <c r="W171" s="29"/>
      <c r="X171" s="29"/>
    </row>
    <row r="172" customFormat="false" ht="44" hidden="false" customHeight="true" outlineLevel="0" collapsed="false">
      <c r="A172" s="29"/>
      <c r="B172" s="39"/>
      <c r="C172" s="39"/>
      <c r="D172" s="29"/>
      <c r="E172" s="29"/>
      <c r="F172" s="29"/>
      <c r="G172" s="29"/>
      <c r="H172" s="34"/>
      <c r="I172" s="34"/>
      <c r="J172" s="34"/>
      <c r="K172" s="34"/>
      <c r="L172" s="34"/>
      <c r="M172" s="35" t="str">
        <f aca="false">IF(A172="",IF(SUMPRODUCT(--(B172:L172&lt;&gt;""))+SUMPRODUCT(--(N172:X172&lt;&gt;""))&gt;0,"Missing ID",""),IF(COUNTIF($A$8:$A$307,A172)&gt;1,"Duplicate ID",IF(OR(B172="",C172="",V172="",W172=""),"Source incomplete",IF(AND(H172&lt;&gt;"Pass",H172&lt;&gt;"Fail",H172&lt;&gt;"Unresolved"),"Choose compliance",IF(AND(I172&lt;&gt;"Not started",I172&lt;&gt;"In progress",I172&lt;&gt;"In review",I172&lt;&gt;"Complete"),"Choose progress",IF(AND(OR(H172="Pass",I172="Complete"),OR(J172="",K172="",L172="")),"Evidence or file missing",""))))))</f>
        <v/>
      </c>
      <c r="N172" s="29"/>
      <c r="O172" s="29"/>
      <c r="P172" s="29"/>
      <c r="Q172" s="29"/>
      <c r="R172" s="29"/>
      <c r="S172" s="29"/>
      <c r="T172" s="29"/>
      <c r="U172" s="29"/>
      <c r="V172" s="29"/>
      <c r="W172" s="29"/>
      <c r="X172" s="29"/>
    </row>
    <row r="173" customFormat="false" ht="44" hidden="false" customHeight="true" outlineLevel="0" collapsed="false">
      <c r="A173" s="29"/>
      <c r="B173" s="39"/>
      <c r="C173" s="39"/>
      <c r="D173" s="29"/>
      <c r="E173" s="29"/>
      <c r="F173" s="29"/>
      <c r="G173" s="29"/>
      <c r="H173" s="34"/>
      <c r="I173" s="34"/>
      <c r="J173" s="34"/>
      <c r="K173" s="34"/>
      <c r="L173" s="34"/>
      <c r="M173" s="35" t="str">
        <f aca="false">IF(A173="",IF(SUMPRODUCT(--(B173:L173&lt;&gt;""))+SUMPRODUCT(--(N173:X173&lt;&gt;""))&gt;0,"Missing ID",""),IF(COUNTIF($A$8:$A$307,A173)&gt;1,"Duplicate ID",IF(OR(B173="",C173="",V173="",W173=""),"Source incomplete",IF(AND(H173&lt;&gt;"Pass",H173&lt;&gt;"Fail",H173&lt;&gt;"Unresolved"),"Choose compliance",IF(AND(I173&lt;&gt;"Not started",I173&lt;&gt;"In progress",I173&lt;&gt;"In review",I173&lt;&gt;"Complete"),"Choose progress",IF(AND(OR(H173="Pass",I173="Complete"),OR(J173="",K173="",L173="")),"Evidence or file missing",""))))))</f>
        <v/>
      </c>
      <c r="N173" s="29"/>
      <c r="O173" s="29"/>
      <c r="P173" s="29"/>
      <c r="Q173" s="29"/>
      <c r="R173" s="29"/>
      <c r="S173" s="29"/>
      <c r="T173" s="29"/>
      <c r="U173" s="29"/>
      <c r="V173" s="29"/>
      <c r="W173" s="29"/>
      <c r="X173" s="29"/>
    </row>
    <row r="174" customFormat="false" ht="44" hidden="false" customHeight="true" outlineLevel="0" collapsed="false">
      <c r="A174" s="29"/>
      <c r="B174" s="39"/>
      <c r="C174" s="39"/>
      <c r="D174" s="29"/>
      <c r="E174" s="29"/>
      <c r="F174" s="29"/>
      <c r="G174" s="29"/>
      <c r="H174" s="34"/>
      <c r="I174" s="34"/>
      <c r="J174" s="34"/>
      <c r="K174" s="34"/>
      <c r="L174" s="34"/>
      <c r="M174" s="35" t="str">
        <f aca="false">IF(A174="",IF(SUMPRODUCT(--(B174:L174&lt;&gt;""))+SUMPRODUCT(--(N174:X174&lt;&gt;""))&gt;0,"Missing ID",""),IF(COUNTIF($A$8:$A$307,A174)&gt;1,"Duplicate ID",IF(OR(B174="",C174="",V174="",W174=""),"Source incomplete",IF(AND(H174&lt;&gt;"Pass",H174&lt;&gt;"Fail",H174&lt;&gt;"Unresolved"),"Choose compliance",IF(AND(I174&lt;&gt;"Not started",I174&lt;&gt;"In progress",I174&lt;&gt;"In review",I174&lt;&gt;"Complete"),"Choose progress",IF(AND(OR(H174="Pass",I174="Complete"),OR(J174="",K174="",L174="")),"Evidence or file missing",""))))))</f>
        <v/>
      </c>
      <c r="N174" s="29"/>
      <c r="O174" s="29"/>
      <c r="P174" s="29"/>
      <c r="Q174" s="29"/>
      <c r="R174" s="29"/>
      <c r="S174" s="29"/>
      <c r="T174" s="29"/>
      <c r="U174" s="29"/>
      <c r="V174" s="29"/>
      <c r="W174" s="29"/>
      <c r="X174" s="29"/>
    </row>
    <row r="175" customFormat="false" ht="44" hidden="false" customHeight="true" outlineLevel="0" collapsed="false">
      <c r="A175" s="29"/>
      <c r="B175" s="39"/>
      <c r="C175" s="39"/>
      <c r="D175" s="29"/>
      <c r="E175" s="29"/>
      <c r="F175" s="29"/>
      <c r="G175" s="29"/>
      <c r="H175" s="34"/>
      <c r="I175" s="34"/>
      <c r="J175" s="34"/>
      <c r="K175" s="34"/>
      <c r="L175" s="34"/>
      <c r="M175" s="35" t="str">
        <f aca="false">IF(A175="",IF(SUMPRODUCT(--(B175:L175&lt;&gt;""))+SUMPRODUCT(--(N175:X175&lt;&gt;""))&gt;0,"Missing ID",""),IF(COUNTIF($A$8:$A$307,A175)&gt;1,"Duplicate ID",IF(OR(B175="",C175="",V175="",W175=""),"Source incomplete",IF(AND(H175&lt;&gt;"Pass",H175&lt;&gt;"Fail",H175&lt;&gt;"Unresolved"),"Choose compliance",IF(AND(I175&lt;&gt;"Not started",I175&lt;&gt;"In progress",I175&lt;&gt;"In review",I175&lt;&gt;"Complete"),"Choose progress",IF(AND(OR(H175="Pass",I175="Complete"),OR(J175="",K175="",L175="")),"Evidence or file missing",""))))))</f>
        <v/>
      </c>
      <c r="N175" s="29"/>
      <c r="O175" s="29"/>
      <c r="P175" s="29"/>
      <c r="Q175" s="29"/>
      <c r="R175" s="29"/>
      <c r="S175" s="29"/>
      <c r="T175" s="29"/>
      <c r="U175" s="29"/>
      <c r="V175" s="29"/>
      <c r="W175" s="29"/>
      <c r="X175" s="29"/>
    </row>
    <row r="176" customFormat="false" ht="44" hidden="false" customHeight="true" outlineLevel="0" collapsed="false">
      <c r="A176" s="29"/>
      <c r="B176" s="39"/>
      <c r="C176" s="39"/>
      <c r="D176" s="29"/>
      <c r="E176" s="29"/>
      <c r="F176" s="29"/>
      <c r="G176" s="29"/>
      <c r="H176" s="34"/>
      <c r="I176" s="34"/>
      <c r="J176" s="34"/>
      <c r="K176" s="34"/>
      <c r="L176" s="34"/>
      <c r="M176" s="35" t="str">
        <f aca="false">IF(A176="",IF(SUMPRODUCT(--(B176:L176&lt;&gt;""))+SUMPRODUCT(--(N176:X176&lt;&gt;""))&gt;0,"Missing ID",""),IF(COUNTIF($A$8:$A$307,A176)&gt;1,"Duplicate ID",IF(OR(B176="",C176="",V176="",W176=""),"Source incomplete",IF(AND(H176&lt;&gt;"Pass",H176&lt;&gt;"Fail",H176&lt;&gt;"Unresolved"),"Choose compliance",IF(AND(I176&lt;&gt;"Not started",I176&lt;&gt;"In progress",I176&lt;&gt;"In review",I176&lt;&gt;"Complete"),"Choose progress",IF(AND(OR(H176="Pass",I176="Complete"),OR(J176="",K176="",L176="")),"Evidence or file missing",""))))))</f>
        <v/>
      </c>
      <c r="N176" s="29"/>
      <c r="O176" s="29"/>
      <c r="P176" s="29"/>
      <c r="Q176" s="29"/>
      <c r="R176" s="29"/>
      <c r="S176" s="29"/>
      <c r="T176" s="29"/>
      <c r="U176" s="29"/>
      <c r="V176" s="29"/>
      <c r="W176" s="29"/>
      <c r="X176" s="29"/>
    </row>
    <row r="177" customFormat="false" ht="44" hidden="false" customHeight="true" outlineLevel="0" collapsed="false">
      <c r="A177" s="29"/>
      <c r="B177" s="39"/>
      <c r="C177" s="39"/>
      <c r="D177" s="29"/>
      <c r="E177" s="29"/>
      <c r="F177" s="29"/>
      <c r="G177" s="29"/>
      <c r="H177" s="34"/>
      <c r="I177" s="34"/>
      <c r="J177" s="34"/>
      <c r="K177" s="34"/>
      <c r="L177" s="34"/>
      <c r="M177" s="35" t="str">
        <f aca="false">IF(A177="",IF(SUMPRODUCT(--(B177:L177&lt;&gt;""))+SUMPRODUCT(--(N177:X177&lt;&gt;""))&gt;0,"Missing ID",""),IF(COUNTIF($A$8:$A$307,A177)&gt;1,"Duplicate ID",IF(OR(B177="",C177="",V177="",W177=""),"Source incomplete",IF(AND(H177&lt;&gt;"Pass",H177&lt;&gt;"Fail",H177&lt;&gt;"Unresolved"),"Choose compliance",IF(AND(I177&lt;&gt;"Not started",I177&lt;&gt;"In progress",I177&lt;&gt;"In review",I177&lt;&gt;"Complete"),"Choose progress",IF(AND(OR(H177="Pass",I177="Complete"),OR(J177="",K177="",L177="")),"Evidence or file missing",""))))))</f>
        <v/>
      </c>
      <c r="N177" s="29"/>
      <c r="O177" s="29"/>
      <c r="P177" s="29"/>
      <c r="Q177" s="29"/>
      <c r="R177" s="29"/>
      <c r="S177" s="29"/>
      <c r="T177" s="29"/>
      <c r="U177" s="29"/>
      <c r="V177" s="29"/>
      <c r="W177" s="29"/>
      <c r="X177" s="29"/>
    </row>
    <row r="178" customFormat="false" ht="44" hidden="false" customHeight="true" outlineLevel="0" collapsed="false">
      <c r="A178" s="29"/>
      <c r="B178" s="39"/>
      <c r="C178" s="39"/>
      <c r="D178" s="29"/>
      <c r="E178" s="29"/>
      <c r="F178" s="29"/>
      <c r="G178" s="29"/>
      <c r="H178" s="34"/>
      <c r="I178" s="34"/>
      <c r="J178" s="34"/>
      <c r="K178" s="34"/>
      <c r="L178" s="34"/>
      <c r="M178" s="35" t="str">
        <f aca="false">IF(A178="",IF(SUMPRODUCT(--(B178:L178&lt;&gt;""))+SUMPRODUCT(--(N178:X178&lt;&gt;""))&gt;0,"Missing ID",""),IF(COUNTIF($A$8:$A$307,A178)&gt;1,"Duplicate ID",IF(OR(B178="",C178="",V178="",W178=""),"Source incomplete",IF(AND(H178&lt;&gt;"Pass",H178&lt;&gt;"Fail",H178&lt;&gt;"Unresolved"),"Choose compliance",IF(AND(I178&lt;&gt;"Not started",I178&lt;&gt;"In progress",I178&lt;&gt;"In review",I178&lt;&gt;"Complete"),"Choose progress",IF(AND(OR(H178="Pass",I178="Complete"),OR(J178="",K178="",L178="")),"Evidence or file missing",""))))))</f>
        <v/>
      </c>
      <c r="N178" s="29"/>
      <c r="O178" s="29"/>
      <c r="P178" s="29"/>
      <c r="Q178" s="29"/>
      <c r="R178" s="29"/>
      <c r="S178" s="29"/>
      <c r="T178" s="29"/>
      <c r="U178" s="29"/>
      <c r="V178" s="29"/>
      <c r="W178" s="29"/>
      <c r="X178" s="29"/>
    </row>
    <row r="179" customFormat="false" ht="44" hidden="false" customHeight="true" outlineLevel="0" collapsed="false">
      <c r="A179" s="29"/>
      <c r="B179" s="39"/>
      <c r="C179" s="39"/>
      <c r="D179" s="29"/>
      <c r="E179" s="29"/>
      <c r="F179" s="29"/>
      <c r="G179" s="29"/>
      <c r="H179" s="34"/>
      <c r="I179" s="34"/>
      <c r="J179" s="34"/>
      <c r="K179" s="34"/>
      <c r="L179" s="34"/>
      <c r="M179" s="35" t="str">
        <f aca="false">IF(A179="",IF(SUMPRODUCT(--(B179:L179&lt;&gt;""))+SUMPRODUCT(--(N179:X179&lt;&gt;""))&gt;0,"Missing ID",""),IF(COUNTIF($A$8:$A$307,A179)&gt;1,"Duplicate ID",IF(OR(B179="",C179="",V179="",W179=""),"Source incomplete",IF(AND(H179&lt;&gt;"Pass",H179&lt;&gt;"Fail",H179&lt;&gt;"Unresolved"),"Choose compliance",IF(AND(I179&lt;&gt;"Not started",I179&lt;&gt;"In progress",I179&lt;&gt;"In review",I179&lt;&gt;"Complete"),"Choose progress",IF(AND(OR(H179="Pass",I179="Complete"),OR(J179="",K179="",L179="")),"Evidence or file missing",""))))))</f>
        <v/>
      </c>
      <c r="N179" s="29"/>
      <c r="O179" s="29"/>
      <c r="P179" s="29"/>
      <c r="Q179" s="29"/>
      <c r="R179" s="29"/>
      <c r="S179" s="29"/>
      <c r="T179" s="29"/>
      <c r="U179" s="29"/>
      <c r="V179" s="29"/>
      <c r="W179" s="29"/>
      <c r="X179" s="29"/>
    </row>
    <row r="180" customFormat="false" ht="44" hidden="false" customHeight="true" outlineLevel="0" collapsed="false">
      <c r="A180" s="29"/>
      <c r="B180" s="39"/>
      <c r="C180" s="39"/>
      <c r="D180" s="29"/>
      <c r="E180" s="29"/>
      <c r="F180" s="29"/>
      <c r="G180" s="29"/>
      <c r="H180" s="34"/>
      <c r="I180" s="34"/>
      <c r="J180" s="34"/>
      <c r="K180" s="34"/>
      <c r="L180" s="34"/>
      <c r="M180" s="35" t="str">
        <f aca="false">IF(A180="",IF(SUMPRODUCT(--(B180:L180&lt;&gt;""))+SUMPRODUCT(--(N180:X180&lt;&gt;""))&gt;0,"Missing ID",""),IF(COUNTIF($A$8:$A$307,A180)&gt;1,"Duplicate ID",IF(OR(B180="",C180="",V180="",W180=""),"Source incomplete",IF(AND(H180&lt;&gt;"Pass",H180&lt;&gt;"Fail",H180&lt;&gt;"Unresolved"),"Choose compliance",IF(AND(I180&lt;&gt;"Not started",I180&lt;&gt;"In progress",I180&lt;&gt;"In review",I180&lt;&gt;"Complete"),"Choose progress",IF(AND(OR(H180="Pass",I180="Complete"),OR(J180="",K180="",L180="")),"Evidence or file missing",""))))))</f>
        <v/>
      </c>
      <c r="N180" s="29"/>
      <c r="O180" s="29"/>
      <c r="P180" s="29"/>
      <c r="Q180" s="29"/>
      <c r="R180" s="29"/>
      <c r="S180" s="29"/>
      <c r="T180" s="29"/>
      <c r="U180" s="29"/>
      <c r="V180" s="29"/>
      <c r="W180" s="29"/>
      <c r="X180" s="29"/>
    </row>
    <row r="181" customFormat="false" ht="44" hidden="false" customHeight="true" outlineLevel="0" collapsed="false">
      <c r="A181" s="29"/>
      <c r="B181" s="39"/>
      <c r="C181" s="39"/>
      <c r="D181" s="29"/>
      <c r="E181" s="29"/>
      <c r="F181" s="29"/>
      <c r="G181" s="29"/>
      <c r="H181" s="34"/>
      <c r="I181" s="34"/>
      <c r="J181" s="34"/>
      <c r="K181" s="34"/>
      <c r="L181" s="34"/>
      <c r="M181" s="35" t="str">
        <f aca="false">IF(A181="",IF(SUMPRODUCT(--(B181:L181&lt;&gt;""))+SUMPRODUCT(--(N181:X181&lt;&gt;""))&gt;0,"Missing ID",""),IF(COUNTIF($A$8:$A$307,A181)&gt;1,"Duplicate ID",IF(OR(B181="",C181="",V181="",W181=""),"Source incomplete",IF(AND(H181&lt;&gt;"Pass",H181&lt;&gt;"Fail",H181&lt;&gt;"Unresolved"),"Choose compliance",IF(AND(I181&lt;&gt;"Not started",I181&lt;&gt;"In progress",I181&lt;&gt;"In review",I181&lt;&gt;"Complete"),"Choose progress",IF(AND(OR(H181="Pass",I181="Complete"),OR(J181="",K181="",L181="")),"Evidence or file missing",""))))))</f>
        <v/>
      </c>
      <c r="N181" s="29"/>
      <c r="O181" s="29"/>
      <c r="P181" s="29"/>
      <c r="Q181" s="29"/>
      <c r="R181" s="29"/>
      <c r="S181" s="29"/>
      <c r="T181" s="29"/>
      <c r="U181" s="29"/>
      <c r="V181" s="29"/>
      <c r="W181" s="29"/>
      <c r="X181" s="29"/>
    </row>
    <row r="182" customFormat="false" ht="44" hidden="false" customHeight="true" outlineLevel="0" collapsed="false">
      <c r="A182" s="29"/>
      <c r="B182" s="39"/>
      <c r="C182" s="39"/>
      <c r="D182" s="29"/>
      <c r="E182" s="29"/>
      <c r="F182" s="29"/>
      <c r="G182" s="29"/>
      <c r="H182" s="34"/>
      <c r="I182" s="34"/>
      <c r="J182" s="34"/>
      <c r="K182" s="34"/>
      <c r="L182" s="34"/>
      <c r="M182" s="35" t="str">
        <f aca="false">IF(A182="",IF(SUMPRODUCT(--(B182:L182&lt;&gt;""))+SUMPRODUCT(--(N182:X182&lt;&gt;""))&gt;0,"Missing ID",""),IF(COUNTIF($A$8:$A$307,A182)&gt;1,"Duplicate ID",IF(OR(B182="",C182="",V182="",W182=""),"Source incomplete",IF(AND(H182&lt;&gt;"Pass",H182&lt;&gt;"Fail",H182&lt;&gt;"Unresolved"),"Choose compliance",IF(AND(I182&lt;&gt;"Not started",I182&lt;&gt;"In progress",I182&lt;&gt;"In review",I182&lt;&gt;"Complete"),"Choose progress",IF(AND(OR(H182="Pass",I182="Complete"),OR(J182="",K182="",L182="")),"Evidence or file missing",""))))))</f>
        <v/>
      </c>
      <c r="N182" s="29"/>
      <c r="O182" s="29"/>
      <c r="P182" s="29"/>
      <c r="Q182" s="29"/>
      <c r="R182" s="29"/>
      <c r="S182" s="29"/>
      <c r="T182" s="29"/>
      <c r="U182" s="29"/>
      <c r="V182" s="29"/>
      <c r="W182" s="29"/>
      <c r="X182" s="29"/>
    </row>
    <row r="183" customFormat="false" ht="44" hidden="false" customHeight="true" outlineLevel="0" collapsed="false">
      <c r="A183" s="29"/>
      <c r="B183" s="39"/>
      <c r="C183" s="39"/>
      <c r="D183" s="29"/>
      <c r="E183" s="29"/>
      <c r="F183" s="29"/>
      <c r="G183" s="29"/>
      <c r="H183" s="34"/>
      <c r="I183" s="34"/>
      <c r="J183" s="34"/>
      <c r="K183" s="34"/>
      <c r="L183" s="34"/>
      <c r="M183" s="35" t="str">
        <f aca="false">IF(A183="",IF(SUMPRODUCT(--(B183:L183&lt;&gt;""))+SUMPRODUCT(--(N183:X183&lt;&gt;""))&gt;0,"Missing ID",""),IF(COUNTIF($A$8:$A$307,A183)&gt;1,"Duplicate ID",IF(OR(B183="",C183="",V183="",W183=""),"Source incomplete",IF(AND(H183&lt;&gt;"Pass",H183&lt;&gt;"Fail",H183&lt;&gt;"Unresolved"),"Choose compliance",IF(AND(I183&lt;&gt;"Not started",I183&lt;&gt;"In progress",I183&lt;&gt;"In review",I183&lt;&gt;"Complete"),"Choose progress",IF(AND(OR(H183="Pass",I183="Complete"),OR(J183="",K183="",L183="")),"Evidence or file missing",""))))))</f>
        <v/>
      </c>
      <c r="N183" s="29"/>
      <c r="O183" s="29"/>
      <c r="P183" s="29"/>
      <c r="Q183" s="29"/>
      <c r="R183" s="29"/>
      <c r="S183" s="29"/>
      <c r="T183" s="29"/>
      <c r="U183" s="29"/>
      <c r="V183" s="29"/>
      <c r="W183" s="29"/>
      <c r="X183" s="29"/>
    </row>
    <row r="184" customFormat="false" ht="44" hidden="false" customHeight="true" outlineLevel="0" collapsed="false">
      <c r="A184" s="29"/>
      <c r="B184" s="39"/>
      <c r="C184" s="39"/>
      <c r="D184" s="29"/>
      <c r="E184" s="29"/>
      <c r="F184" s="29"/>
      <c r="G184" s="29"/>
      <c r="H184" s="34"/>
      <c r="I184" s="34"/>
      <c r="J184" s="34"/>
      <c r="K184" s="34"/>
      <c r="L184" s="34"/>
      <c r="M184" s="35" t="str">
        <f aca="false">IF(A184="",IF(SUMPRODUCT(--(B184:L184&lt;&gt;""))+SUMPRODUCT(--(N184:X184&lt;&gt;""))&gt;0,"Missing ID",""),IF(COUNTIF($A$8:$A$307,A184)&gt;1,"Duplicate ID",IF(OR(B184="",C184="",V184="",W184=""),"Source incomplete",IF(AND(H184&lt;&gt;"Pass",H184&lt;&gt;"Fail",H184&lt;&gt;"Unresolved"),"Choose compliance",IF(AND(I184&lt;&gt;"Not started",I184&lt;&gt;"In progress",I184&lt;&gt;"In review",I184&lt;&gt;"Complete"),"Choose progress",IF(AND(OR(H184="Pass",I184="Complete"),OR(J184="",K184="",L184="")),"Evidence or file missing",""))))))</f>
        <v/>
      </c>
      <c r="N184" s="29"/>
      <c r="O184" s="29"/>
      <c r="P184" s="29"/>
      <c r="Q184" s="29"/>
      <c r="R184" s="29"/>
      <c r="S184" s="29"/>
      <c r="T184" s="29"/>
      <c r="U184" s="29"/>
      <c r="V184" s="29"/>
      <c r="W184" s="29"/>
      <c r="X184" s="29"/>
    </row>
    <row r="185" customFormat="false" ht="44" hidden="false" customHeight="true" outlineLevel="0" collapsed="false">
      <c r="A185" s="29"/>
      <c r="B185" s="39"/>
      <c r="C185" s="39"/>
      <c r="D185" s="29"/>
      <c r="E185" s="29"/>
      <c r="F185" s="29"/>
      <c r="G185" s="29"/>
      <c r="H185" s="34"/>
      <c r="I185" s="34"/>
      <c r="J185" s="34"/>
      <c r="K185" s="34"/>
      <c r="L185" s="34"/>
      <c r="M185" s="35" t="str">
        <f aca="false">IF(A185="",IF(SUMPRODUCT(--(B185:L185&lt;&gt;""))+SUMPRODUCT(--(N185:X185&lt;&gt;""))&gt;0,"Missing ID",""),IF(COUNTIF($A$8:$A$307,A185)&gt;1,"Duplicate ID",IF(OR(B185="",C185="",V185="",W185=""),"Source incomplete",IF(AND(H185&lt;&gt;"Pass",H185&lt;&gt;"Fail",H185&lt;&gt;"Unresolved"),"Choose compliance",IF(AND(I185&lt;&gt;"Not started",I185&lt;&gt;"In progress",I185&lt;&gt;"In review",I185&lt;&gt;"Complete"),"Choose progress",IF(AND(OR(H185="Pass",I185="Complete"),OR(J185="",K185="",L185="")),"Evidence or file missing",""))))))</f>
        <v/>
      </c>
      <c r="N185" s="29"/>
      <c r="O185" s="29"/>
      <c r="P185" s="29"/>
      <c r="Q185" s="29"/>
      <c r="R185" s="29"/>
      <c r="S185" s="29"/>
      <c r="T185" s="29"/>
      <c r="U185" s="29"/>
      <c r="V185" s="29"/>
      <c r="W185" s="29"/>
      <c r="X185" s="29"/>
    </row>
    <row r="186" customFormat="false" ht="44" hidden="false" customHeight="true" outlineLevel="0" collapsed="false">
      <c r="A186" s="29"/>
      <c r="B186" s="39"/>
      <c r="C186" s="39"/>
      <c r="D186" s="29"/>
      <c r="E186" s="29"/>
      <c r="F186" s="29"/>
      <c r="G186" s="29"/>
      <c r="H186" s="34"/>
      <c r="I186" s="34"/>
      <c r="J186" s="34"/>
      <c r="K186" s="34"/>
      <c r="L186" s="34"/>
      <c r="M186" s="35" t="str">
        <f aca="false">IF(A186="",IF(SUMPRODUCT(--(B186:L186&lt;&gt;""))+SUMPRODUCT(--(N186:X186&lt;&gt;""))&gt;0,"Missing ID",""),IF(COUNTIF($A$8:$A$307,A186)&gt;1,"Duplicate ID",IF(OR(B186="",C186="",V186="",W186=""),"Source incomplete",IF(AND(H186&lt;&gt;"Pass",H186&lt;&gt;"Fail",H186&lt;&gt;"Unresolved"),"Choose compliance",IF(AND(I186&lt;&gt;"Not started",I186&lt;&gt;"In progress",I186&lt;&gt;"In review",I186&lt;&gt;"Complete"),"Choose progress",IF(AND(OR(H186="Pass",I186="Complete"),OR(J186="",K186="",L186="")),"Evidence or file missing",""))))))</f>
        <v/>
      </c>
      <c r="N186" s="29"/>
      <c r="O186" s="29"/>
      <c r="P186" s="29"/>
      <c r="Q186" s="29"/>
      <c r="R186" s="29"/>
      <c r="S186" s="29"/>
      <c r="T186" s="29"/>
      <c r="U186" s="29"/>
      <c r="V186" s="29"/>
      <c r="W186" s="29"/>
      <c r="X186" s="29"/>
    </row>
    <row r="187" customFormat="false" ht="44" hidden="false" customHeight="true" outlineLevel="0" collapsed="false">
      <c r="A187" s="29"/>
      <c r="B187" s="39"/>
      <c r="C187" s="39"/>
      <c r="D187" s="29"/>
      <c r="E187" s="29"/>
      <c r="F187" s="29"/>
      <c r="G187" s="29"/>
      <c r="H187" s="34"/>
      <c r="I187" s="34"/>
      <c r="J187" s="34"/>
      <c r="K187" s="34"/>
      <c r="L187" s="34"/>
      <c r="M187" s="35" t="str">
        <f aca="false">IF(A187="",IF(SUMPRODUCT(--(B187:L187&lt;&gt;""))+SUMPRODUCT(--(N187:X187&lt;&gt;""))&gt;0,"Missing ID",""),IF(COUNTIF($A$8:$A$307,A187)&gt;1,"Duplicate ID",IF(OR(B187="",C187="",V187="",W187=""),"Source incomplete",IF(AND(H187&lt;&gt;"Pass",H187&lt;&gt;"Fail",H187&lt;&gt;"Unresolved"),"Choose compliance",IF(AND(I187&lt;&gt;"Not started",I187&lt;&gt;"In progress",I187&lt;&gt;"In review",I187&lt;&gt;"Complete"),"Choose progress",IF(AND(OR(H187="Pass",I187="Complete"),OR(J187="",K187="",L187="")),"Evidence or file missing",""))))))</f>
        <v/>
      </c>
      <c r="N187" s="29"/>
      <c r="O187" s="29"/>
      <c r="P187" s="29"/>
      <c r="Q187" s="29"/>
      <c r="R187" s="29"/>
      <c r="S187" s="29"/>
      <c r="T187" s="29"/>
      <c r="U187" s="29"/>
      <c r="V187" s="29"/>
      <c r="W187" s="29"/>
      <c r="X187" s="29"/>
    </row>
    <row r="188" customFormat="false" ht="44" hidden="false" customHeight="true" outlineLevel="0" collapsed="false">
      <c r="A188" s="29"/>
      <c r="B188" s="39"/>
      <c r="C188" s="39"/>
      <c r="D188" s="29"/>
      <c r="E188" s="29"/>
      <c r="F188" s="29"/>
      <c r="G188" s="29"/>
      <c r="H188" s="34"/>
      <c r="I188" s="34"/>
      <c r="J188" s="34"/>
      <c r="K188" s="34"/>
      <c r="L188" s="34"/>
      <c r="M188" s="35" t="str">
        <f aca="false">IF(A188="",IF(SUMPRODUCT(--(B188:L188&lt;&gt;""))+SUMPRODUCT(--(N188:X188&lt;&gt;""))&gt;0,"Missing ID",""),IF(COUNTIF($A$8:$A$307,A188)&gt;1,"Duplicate ID",IF(OR(B188="",C188="",V188="",W188=""),"Source incomplete",IF(AND(H188&lt;&gt;"Pass",H188&lt;&gt;"Fail",H188&lt;&gt;"Unresolved"),"Choose compliance",IF(AND(I188&lt;&gt;"Not started",I188&lt;&gt;"In progress",I188&lt;&gt;"In review",I188&lt;&gt;"Complete"),"Choose progress",IF(AND(OR(H188="Pass",I188="Complete"),OR(J188="",K188="",L188="")),"Evidence or file missing",""))))))</f>
        <v/>
      </c>
      <c r="N188" s="29"/>
      <c r="O188" s="29"/>
      <c r="P188" s="29"/>
      <c r="Q188" s="29"/>
      <c r="R188" s="29"/>
      <c r="S188" s="29"/>
      <c r="T188" s="29"/>
      <c r="U188" s="29"/>
      <c r="V188" s="29"/>
      <c r="W188" s="29"/>
      <c r="X188" s="29"/>
    </row>
    <row r="189" customFormat="false" ht="44" hidden="false" customHeight="true" outlineLevel="0" collapsed="false">
      <c r="A189" s="29"/>
      <c r="B189" s="39"/>
      <c r="C189" s="39"/>
      <c r="D189" s="29"/>
      <c r="E189" s="29"/>
      <c r="F189" s="29"/>
      <c r="G189" s="29"/>
      <c r="H189" s="34"/>
      <c r="I189" s="34"/>
      <c r="J189" s="34"/>
      <c r="K189" s="34"/>
      <c r="L189" s="34"/>
      <c r="M189" s="35" t="str">
        <f aca="false">IF(A189="",IF(SUMPRODUCT(--(B189:L189&lt;&gt;""))+SUMPRODUCT(--(N189:X189&lt;&gt;""))&gt;0,"Missing ID",""),IF(COUNTIF($A$8:$A$307,A189)&gt;1,"Duplicate ID",IF(OR(B189="",C189="",V189="",W189=""),"Source incomplete",IF(AND(H189&lt;&gt;"Pass",H189&lt;&gt;"Fail",H189&lt;&gt;"Unresolved"),"Choose compliance",IF(AND(I189&lt;&gt;"Not started",I189&lt;&gt;"In progress",I189&lt;&gt;"In review",I189&lt;&gt;"Complete"),"Choose progress",IF(AND(OR(H189="Pass",I189="Complete"),OR(J189="",K189="",L189="")),"Evidence or file missing",""))))))</f>
        <v/>
      </c>
      <c r="N189" s="29"/>
      <c r="O189" s="29"/>
      <c r="P189" s="29"/>
      <c r="Q189" s="29"/>
      <c r="R189" s="29"/>
      <c r="S189" s="29"/>
      <c r="T189" s="29"/>
      <c r="U189" s="29"/>
      <c r="V189" s="29"/>
      <c r="W189" s="29"/>
      <c r="X189" s="29"/>
    </row>
    <row r="190" customFormat="false" ht="44" hidden="false" customHeight="true" outlineLevel="0" collapsed="false">
      <c r="A190" s="29"/>
      <c r="B190" s="39"/>
      <c r="C190" s="39"/>
      <c r="D190" s="29"/>
      <c r="E190" s="29"/>
      <c r="F190" s="29"/>
      <c r="G190" s="29"/>
      <c r="H190" s="34"/>
      <c r="I190" s="34"/>
      <c r="J190" s="34"/>
      <c r="K190" s="34"/>
      <c r="L190" s="34"/>
      <c r="M190" s="35" t="str">
        <f aca="false">IF(A190="",IF(SUMPRODUCT(--(B190:L190&lt;&gt;""))+SUMPRODUCT(--(N190:X190&lt;&gt;""))&gt;0,"Missing ID",""),IF(COUNTIF($A$8:$A$307,A190)&gt;1,"Duplicate ID",IF(OR(B190="",C190="",V190="",W190=""),"Source incomplete",IF(AND(H190&lt;&gt;"Pass",H190&lt;&gt;"Fail",H190&lt;&gt;"Unresolved"),"Choose compliance",IF(AND(I190&lt;&gt;"Not started",I190&lt;&gt;"In progress",I190&lt;&gt;"In review",I190&lt;&gt;"Complete"),"Choose progress",IF(AND(OR(H190="Pass",I190="Complete"),OR(J190="",K190="",L190="")),"Evidence or file missing",""))))))</f>
        <v/>
      </c>
      <c r="N190" s="29"/>
      <c r="O190" s="29"/>
      <c r="P190" s="29"/>
      <c r="Q190" s="29"/>
      <c r="R190" s="29"/>
      <c r="S190" s="29"/>
      <c r="T190" s="29"/>
      <c r="U190" s="29"/>
      <c r="V190" s="29"/>
      <c r="W190" s="29"/>
      <c r="X190" s="29"/>
    </row>
    <row r="191" customFormat="false" ht="44" hidden="false" customHeight="true" outlineLevel="0" collapsed="false">
      <c r="A191" s="29"/>
      <c r="B191" s="39"/>
      <c r="C191" s="39"/>
      <c r="D191" s="29"/>
      <c r="E191" s="29"/>
      <c r="F191" s="29"/>
      <c r="G191" s="29"/>
      <c r="H191" s="34"/>
      <c r="I191" s="34"/>
      <c r="J191" s="34"/>
      <c r="K191" s="34"/>
      <c r="L191" s="34"/>
      <c r="M191" s="35" t="str">
        <f aca="false">IF(A191="",IF(SUMPRODUCT(--(B191:L191&lt;&gt;""))+SUMPRODUCT(--(N191:X191&lt;&gt;""))&gt;0,"Missing ID",""),IF(COUNTIF($A$8:$A$307,A191)&gt;1,"Duplicate ID",IF(OR(B191="",C191="",V191="",W191=""),"Source incomplete",IF(AND(H191&lt;&gt;"Pass",H191&lt;&gt;"Fail",H191&lt;&gt;"Unresolved"),"Choose compliance",IF(AND(I191&lt;&gt;"Not started",I191&lt;&gt;"In progress",I191&lt;&gt;"In review",I191&lt;&gt;"Complete"),"Choose progress",IF(AND(OR(H191="Pass",I191="Complete"),OR(J191="",K191="",L191="")),"Evidence or file missing",""))))))</f>
        <v/>
      </c>
      <c r="N191" s="29"/>
      <c r="O191" s="29"/>
      <c r="P191" s="29"/>
      <c r="Q191" s="29"/>
      <c r="R191" s="29"/>
      <c r="S191" s="29"/>
      <c r="T191" s="29"/>
      <c r="U191" s="29"/>
      <c r="V191" s="29"/>
      <c r="W191" s="29"/>
      <c r="X191" s="29"/>
    </row>
    <row r="192" customFormat="false" ht="44" hidden="false" customHeight="true" outlineLevel="0" collapsed="false">
      <c r="A192" s="29"/>
      <c r="B192" s="39"/>
      <c r="C192" s="39"/>
      <c r="D192" s="29"/>
      <c r="E192" s="29"/>
      <c r="F192" s="29"/>
      <c r="G192" s="29"/>
      <c r="H192" s="34"/>
      <c r="I192" s="34"/>
      <c r="J192" s="34"/>
      <c r="K192" s="34"/>
      <c r="L192" s="34"/>
      <c r="M192" s="35" t="str">
        <f aca="false">IF(A192="",IF(SUMPRODUCT(--(B192:L192&lt;&gt;""))+SUMPRODUCT(--(N192:X192&lt;&gt;""))&gt;0,"Missing ID",""),IF(COUNTIF($A$8:$A$307,A192)&gt;1,"Duplicate ID",IF(OR(B192="",C192="",V192="",W192=""),"Source incomplete",IF(AND(H192&lt;&gt;"Pass",H192&lt;&gt;"Fail",H192&lt;&gt;"Unresolved"),"Choose compliance",IF(AND(I192&lt;&gt;"Not started",I192&lt;&gt;"In progress",I192&lt;&gt;"In review",I192&lt;&gt;"Complete"),"Choose progress",IF(AND(OR(H192="Pass",I192="Complete"),OR(J192="",K192="",L192="")),"Evidence or file missing",""))))))</f>
        <v/>
      </c>
      <c r="N192" s="29"/>
      <c r="O192" s="29"/>
      <c r="P192" s="29"/>
      <c r="Q192" s="29"/>
      <c r="R192" s="29"/>
      <c r="S192" s="29"/>
      <c r="T192" s="29"/>
      <c r="U192" s="29"/>
      <c r="V192" s="29"/>
      <c r="W192" s="29"/>
      <c r="X192" s="29"/>
    </row>
    <row r="193" customFormat="false" ht="44" hidden="false" customHeight="true" outlineLevel="0" collapsed="false">
      <c r="A193" s="29"/>
      <c r="B193" s="39"/>
      <c r="C193" s="39"/>
      <c r="D193" s="29"/>
      <c r="E193" s="29"/>
      <c r="F193" s="29"/>
      <c r="G193" s="29"/>
      <c r="H193" s="34"/>
      <c r="I193" s="34"/>
      <c r="J193" s="34"/>
      <c r="K193" s="34"/>
      <c r="L193" s="34"/>
      <c r="M193" s="35" t="str">
        <f aca="false">IF(A193="",IF(SUMPRODUCT(--(B193:L193&lt;&gt;""))+SUMPRODUCT(--(N193:X193&lt;&gt;""))&gt;0,"Missing ID",""),IF(COUNTIF($A$8:$A$307,A193)&gt;1,"Duplicate ID",IF(OR(B193="",C193="",V193="",W193=""),"Source incomplete",IF(AND(H193&lt;&gt;"Pass",H193&lt;&gt;"Fail",H193&lt;&gt;"Unresolved"),"Choose compliance",IF(AND(I193&lt;&gt;"Not started",I193&lt;&gt;"In progress",I193&lt;&gt;"In review",I193&lt;&gt;"Complete"),"Choose progress",IF(AND(OR(H193="Pass",I193="Complete"),OR(J193="",K193="",L193="")),"Evidence or file missing",""))))))</f>
        <v/>
      </c>
      <c r="N193" s="29"/>
      <c r="O193" s="29"/>
      <c r="P193" s="29"/>
      <c r="Q193" s="29"/>
      <c r="R193" s="29"/>
      <c r="S193" s="29"/>
      <c r="T193" s="29"/>
      <c r="U193" s="29"/>
      <c r="V193" s="29"/>
      <c r="W193" s="29"/>
      <c r="X193" s="29"/>
    </row>
    <row r="194" customFormat="false" ht="44" hidden="false" customHeight="true" outlineLevel="0" collapsed="false">
      <c r="A194" s="29"/>
      <c r="B194" s="39"/>
      <c r="C194" s="39"/>
      <c r="D194" s="29"/>
      <c r="E194" s="29"/>
      <c r="F194" s="29"/>
      <c r="G194" s="29"/>
      <c r="H194" s="34"/>
      <c r="I194" s="34"/>
      <c r="J194" s="34"/>
      <c r="K194" s="34"/>
      <c r="L194" s="34"/>
      <c r="M194" s="35" t="str">
        <f aca="false">IF(A194="",IF(SUMPRODUCT(--(B194:L194&lt;&gt;""))+SUMPRODUCT(--(N194:X194&lt;&gt;""))&gt;0,"Missing ID",""),IF(COUNTIF($A$8:$A$307,A194)&gt;1,"Duplicate ID",IF(OR(B194="",C194="",V194="",W194=""),"Source incomplete",IF(AND(H194&lt;&gt;"Pass",H194&lt;&gt;"Fail",H194&lt;&gt;"Unresolved"),"Choose compliance",IF(AND(I194&lt;&gt;"Not started",I194&lt;&gt;"In progress",I194&lt;&gt;"In review",I194&lt;&gt;"Complete"),"Choose progress",IF(AND(OR(H194="Pass",I194="Complete"),OR(J194="",K194="",L194="")),"Evidence or file missing",""))))))</f>
        <v/>
      </c>
      <c r="N194" s="29"/>
      <c r="O194" s="29"/>
      <c r="P194" s="29"/>
      <c r="Q194" s="29"/>
      <c r="R194" s="29"/>
      <c r="S194" s="29"/>
      <c r="T194" s="29"/>
      <c r="U194" s="29"/>
      <c r="V194" s="29"/>
      <c r="W194" s="29"/>
      <c r="X194" s="29"/>
    </row>
    <row r="195" customFormat="false" ht="44" hidden="false" customHeight="true" outlineLevel="0" collapsed="false">
      <c r="A195" s="29"/>
      <c r="B195" s="39"/>
      <c r="C195" s="39"/>
      <c r="D195" s="29"/>
      <c r="E195" s="29"/>
      <c r="F195" s="29"/>
      <c r="G195" s="29"/>
      <c r="H195" s="34"/>
      <c r="I195" s="34"/>
      <c r="J195" s="34"/>
      <c r="K195" s="34"/>
      <c r="L195" s="34"/>
      <c r="M195" s="35" t="str">
        <f aca="false">IF(A195="",IF(SUMPRODUCT(--(B195:L195&lt;&gt;""))+SUMPRODUCT(--(N195:X195&lt;&gt;""))&gt;0,"Missing ID",""),IF(COUNTIF($A$8:$A$307,A195)&gt;1,"Duplicate ID",IF(OR(B195="",C195="",V195="",W195=""),"Source incomplete",IF(AND(H195&lt;&gt;"Pass",H195&lt;&gt;"Fail",H195&lt;&gt;"Unresolved"),"Choose compliance",IF(AND(I195&lt;&gt;"Not started",I195&lt;&gt;"In progress",I195&lt;&gt;"In review",I195&lt;&gt;"Complete"),"Choose progress",IF(AND(OR(H195="Pass",I195="Complete"),OR(J195="",K195="",L195="")),"Evidence or file missing",""))))))</f>
        <v/>
      </c>
      <c r="N195" s="29"/>
      <c r="O195" s="29"/>
      <c r="P195" s="29"/>
      <c r="Q195" s="29"/>
      <c r="R195" s="29"/>
      <c r="S195" s="29"/>
      <c r="T195" s="29"/>
      <c r="U195" s="29"/>
      <c r="V195" s="29"/>
      <c r="W195" s="29"/>
      <c r="X195" s="29"/>
    </row>
    <row r="196" customFormat="false" ht="44" hidden="false" customHeight="true" outlineLevel="0" collapsed="false">
      <c r="A196" s="29"/>
      <c r="B196" s="39"/>
      <c r="C196" s="39"/>
      <c r="D196" s="29"/>
      <c r="E196" s="29"/>
      <c r="F196" s="29"/>
      <c r="G196" s="29"/>
      <c r="H196" s="34"/>
      <c r="I196" s="34"/>
      <c r="J196" s="34"/>
      <c r="K196" s="34"/>
      <c r="L196" s="34"/>
      <c r="M196" s="35" t="str">
        <f aca="false">IF(A196="",IF(SUMPRODUCT(--(B196:L196&lt;&gt;""))+SUMPRODUCT(--(N196:X196&lt;&gt;""))&gt;0,"Missing ID",""),IF(COUNTIF($A$8:$A$307,A196)&gt;1,"Duplicate ID",IF(OR(B196="",C196="",V196="",W196=""),"Source incomplete",IF(AND(H196&lt;&gt;"Pass",H196&lt;&gt;"Fail",H196&lt;&gt;"Unresolved"),"Choose compliance",IF(AND(I196&lt;&gt;"Not started",I196&lt;&gt;"In progress",I196&lt;&gt;"In review",I196&lt;&gt;"Complete"),"Choose progress",IF(AND(OR(H196="Pass",I196="Complete"),OR(J196="",K196="",L196="")),"Evidence or file missing",""))))))</f>
        <v/>
      </c>
      <c r="N196" s="29"/>
      <c r="O196" s="29"/>
      <c r="P196" s="29"/>
      <c r="Q196" s="29"/>
      <c r="R196" s="29"/>
      <c r="S196" s="29"/>
      <c r="T196" s="29"/>
      <c r="U196" s="29"/>
      <c r="V196" s="29"/>
      <c r="W196" s="29"/>
      <c r="X196" s="29"/>
    </row>
    <row r="197" customFormat="false" ht="44" hidden="false" customHeight="true" outlineLevel="0" collapsed="false">
      <c r="A197" s="29"/>
      <c r="B197" s="39"/>
      <c r="C197" s="39"/>
      <c r="D197" s="29"/>
      <c r="E197" s="29"/>
      <c r="F197" s="29"/>
      <c r="G197" s="29"/>
      <c r="H197" s="34"/>
      <c r="I197" s="34"/>
      <c r="J197" s="34"/>
      <c r="K197" s="34"/>
      <c r="L197" s="34"/>
      <c r="M197" s="35" t="str">
        <f aca="false">IF(A197="",IF(SUMPRODUCT(--(B197:L197&lt;&gt;""))+SUMPRODUCT(--(N197:X197&lt;&gt;""))&gt;0,"Missing ID",""),IF(COUNTIF($A$8:$A$307,A197)&gt;1,"Duplicate ID",IF(OR(B197="",C197="",V197="",W197=""),"Source incomplete",IF(AND(H197&lt;&gt;"Pass",H197&lt;&gt;"Fail",H197&lt;&gt;"Unresolved"),"Choose compliance",IF(AND(I197&lt;&gt;"Not started",I197&lt;&gt;"In progress",I197&lt;&gt;"In review",I197&lt;&gt;"Complete"),"Choose progress",IF(AND(OR(H197="Pass",I197="Complete"),OR(J197="",K197="",L197="")),"Evidence or file missing",""))))))</f>
        <v/>
      </c>
      <c r="N197" s="29"/>
      <c r="O197" s="29"/>
      <c r="P197" s="29"/>
      <c r="Q197" s="29"/>
      <c r="R197" s="29"/>
      <c r="S197" s="29"/>
      <c r="T197" s="29"/>
      <c r="U197" s="29"/>
      <c r="V197" s="29"/>
      <c r="W197" s="29"/>
      <c r="X197" s="29"/>
    </row>
    <row r="198" customFormat="false" ht="44" hidden="false" customHeight="true" outlineLevel="0" collapsed="false">
      <c r="A198" s="29"/>
      <c r="B198" s="39"/>
      <c r="C198" s="39"/>
      <c r="D198" s="29"/>
      <c r="E198" s="29"/>
      <c r="F198" s="29"/>
      <c r="G198" s="29"/>
      <c r="H198" s="34"/>
      <c r="I198" s="34"/>
      <c r="J198" s="34"/>
      <c r="K198" s="34"/>
      <c r="L198" s="34"/>
      <c r="M198" s="35" t="str">
        <f aca="false">IF(A198="",IF(SUMPRODUCT(--(B198:L198&lt;&gt;""))+SUMPRODUCT(--(N198:X198&lt;&gt;""))&gt;0,"Missing ID",""),IF(COUNTIF($A$8:$A$307,A198)&gt;1,"Duplicate ID",IF(OR(B198="",C198="",V198="",W198=""),"Source incomplete",IF(AND(H198&lt;&gt;"Pass",H198&lt;&gt;"Fail",H198&lt;&gt;"Unresolved"),"Choose compliance",IF(AND(I198&lt;&gt;"Not started",I198&lt;&gt;"In progress",I198&lt;&gt;"In review",I198&lt;&gt;"Complete"),"Choose progress",IF(AND(OR(H198="Pass",I198="Complete"),OR(J198="",K198="",L198="")),"Evidence or file missing",""))))))</f>
        <v/>
      </c>
      <c r="N198" s="29"/>
      <c r="O198" s="29"/>
      <c r="P198" s="29"/>
      <c r="Q198" s="29"/>
      <c r="R198" s="29"/>
      <c r="S198" s="29"/>
      <c r="T198" s="29"/>
      <c r="U198" s="29"/>
      <c r="V198" s="29"/>
      <c r="W198" s="29"/>
      <c r="X198" s="29"/>
    </row>
    <row r="199" customFormat="false" ht="44" hidden="false" customHeight="true" outlineLevel="0" collapsed="false">
      <c r="A199" s="29"/>
      <c r="B199" s="39"/>
      <c r="C199" s="39"/>
      <c r="D199" s="29"/>
      <c r="E199" s="29"/>
      <c r="F199" s="29"/>
      <c r="G199" s="29"/>
      <c r="H199" s="34"/>
      <c r="I199" s="34"/>
      <c r="J199" s="34"/>
      <c r="K199" s="34"/>
      <c r="L199" s="34"/>
      <c r="M199" s="35" t="str">
        <f aca="false">IF(A199="",IF(SUMPRODUCT(--(B199:L199&lt;&gt;""))+SUMPRODUCT(--(N199:X199&lt;&gt;""))&gt;0,"Missing ID",""),IF(COUNTIF($A$8:$A$307,A199)&gt;1,"Duplicate ID",IF(OR(B199="",C199="",V199="",W199=""),"Source incomplete",IF(AND(H199&lt;&gt;"Pass",H199&lt;&gt;"Fail",H199&lt;&gt;"Unresolved"),"Choose compliance",IF(AND(I199&lt;&gt;"Not started",I199&lt;&gt;"In progress",I199&lt;&gt;"In review",I199&lt;&gt;"Complete"),"Choose progress",IF(AND(OR(H199="Pass",I199="Complete"),OR(J199="",K199="",L199="")),"Evidence or file missing",""))))))</f>
        <v/>
      </c>
      <c r="N199" s="29"/>
      <c r="O199" s="29"/>
      <c r="P199" s="29"/>
      <c r="Q199" s="29"/>
      <c r="R199" s="29"/>
      <c r="S199" s="29"/>
      <c r="T199" s="29"/>
      <c r="U199" s="29"/>
      <c r="V199" s="29"/>
      <c r="W199" s="29"/>
      <c r="X199" s="29"/>
    </row>
    <row r="200" customFormat="false" ht="44" hidden="false" customHeight="true" outlineLevel="0" collapsed="false">
      <c r="A200" s="29"/>
      <c r="B200" s="39"/>
      <c r="C200" s="39"/>
      <c r="D200" s="29"/>
      <c r="E200" s="29"/>
      <c r="F200" s="29"/>
      <c r="G200" s="29"/>
      <c r="H200" s="34"/>
      <c r="I200" s="34"/>
      <c r="J200" s="34"/>
      <c r="K200" s="34"/>
      <c r="L200" s="34"/>
      <c r="M200" s="35" t="str">
        <f aca="false">IF(A200="",IF(SUMPRODUCT(--(B200:L200&lt;&gt;""))+SUMPRODUCT(--(N200:X200&lt;&gt;""))&gt;0,"Missing ID",""),IF(COUNTIF($A$8:$A$307,A200)&gt;1,"Duplicate ID",IF(OR(B200="",C200="",V200="",W200=""),"Source incomplete",IF(AND(H200&lt;&gt;"Pass",H200&lt;&gt;"Fail",H200&lt;&gt;"Unresolved"),"Choose compliance",IF(AND(I200&lt;&gt;"Not started",I200&lt;&gt;"In progress",I200&lt;&gt;"In review",I200&lt;&gt;"Complete"),"Choose progress",IF(AND(OR(H200="Pass",I200="Complete"),OR(J200="",K200="",L200="")),"Evidence or file missing",""))))))</f>
        <v/>
      </c>
      <c r="N200" s="29"/>
      <c r="O200" s="29"/>
      <c r="P200" s="29"/>
      <c r="Q200" s="29"/>
      <c r="R200" s="29"/>
      <c r="S200" s="29"/>
      <c r="T200" s="29"/>
      <c r="U200" s="29"/>
      <c r="V200" s="29"/>
      <c r="W200" s="29"/>
      <c r="X200" s="29"/>
    </row>
    <row r="201" customFormat="false" ht="44" hidden="false" customHeight="true" outlineLevel="0" collapsed="false">
      <c r="A201" s="29"/>
      <c r="B201" s="39"/>
      <c r="C201" s="39"/>
      <c r="D201" s="29"/>
      <c r="E201" s="29"/>
      <c r="F201" s="29"/>
      <c r="G201" s="29"/>
      <c r="H201" s="34"/>
      <c r="I201" s="34"/>
      <c r="J201" s="34"/>
      <c r="K201" s="34"/>
      <c r="L201" s="34"/>
      <c r="M201" s="35" t="str">
        <f aca="false">IF(A201="",IF(SUMPRODUCT(--(B201:L201&lt;&gt;""))+SUMPRODUCT(--(N201:X201&lt;&gt;""))&gt;0,"Missing ID",""),IF(COUNTIF($A$8:$A$307,A201)&gt;1,"Duplicate ID",IF(OR(B201="",C201="",V201="",W201=""),"Source incomplete",IF(AND(H201&lt;&gt;"Pass",H201&lt;&gt;"Fail",H201&lt;&gt;"Unresolved"),"Choose compliance",IF(AND(I201&lt;&gt;"Not started",I201&lt;&gt;"In progress",I201&lt;&gt;"In review",I201&lt;&gt;"Complete"),"Choose progress",IF(AND(OR(H201="Pass",I201="Complete"),OR(J201="",K201="",L201="")),"Evidence or file missing",""))))))</f>
        <v/>
      </c>
      <c r="N201" s="29"/>
      <c r="O201" s="29"/>
      <c r="P201" s="29"/>
      <c r="Q201" s="29"/>
      <c r="R201" s="29"/>
      <c r="S201" s="29"/>
      <c r="T201" s="29"/>
      <c r="U201" s="29"/>
      <c r="V201" s="29"/>
      <c r="W201" s="29"/>
      <c r="X201" s="29"/>
    </row>
    <row r="202" customFormat="false" ht="44" hidden="false" customHeight="true" outlineLevel="0" collapsed="false">
      <c r="A202" s="29"/>
      <c r="B202" s="39"/>
      <c r="C202" s="39"/>
      <c r="D202" s="29"/>
      <c r="E202" s="29"/>
      <c r="F202" s="29"/>
      <c r="G202" s="29"/>
      <c r="H202" s="34"/>
      <c r="I202" s="34"/>
      <c r="J202" s="34"/>
      <c r="K202" s="34"/>
      <c r="L202" s="34"/>
      <c r="M202" s="35" t="str">
        <f aca="false">IF(A202="",IF(SUMPRODUCT(--(B202:L202&lt;&gt;""))+SUMPRODUCT(--(N202:X202&lt;&gt;""))&gt;0,"Missing ID",""),IF(COUNTIF($A$8:$A$307,A202)&gt;1,"Duplicate ID",IF(OR(B202="",C202="",V202="",W202=""),"Source incomplete",IF(AND(H202&lt;&gt;"Pass",H202&lt;&gt;"Fail",H202&lt;&gt;"Unresolved"),"Choose compliance",IF(AND(I202&lt;&gt;"Not started",I202&lt;&gt;"In progress",I202&lt;&gt;"In review",I202&lt;&gt;"Complete"),"Choose progress",IF(AND(OR(H202="Pass",I202="Complete"),OR(J202="",K202="",L202="")),"Evidence or file missing",""))))))</f>
        <v/>
      </c>
      <c r="N202" s="29"/>
      <c r="O202" s="29"/>
      <c r="P202" s="29"/>
      <c r="Q202" s="29"/>
      <c r="R202" s="29"/>
      <c r="S202" s="29"/>
      <c r="T202" s="29"/>
      <c r="U202" s="29"/>
      <c r="V202" s="29"/>
      <c r="W202" s="29"/>
      <c r="X202" s="29"/>
    </row>
    <row r="203" customFormat="false" ht="44" hidden="false" customHeight="true" outlineLevel="0" collapsed="false">
      <c r="A203" s="29"/>
      <c r="B203" s="39"/>
      <c r="C203" s="39"/>
      <c r="D203" s="29"/>
      <c r="E203" s="29"/>
      <c r="F203" s="29"/>
      <c r="G203" s="29"/>
      <c r="H203" s="34"/>
      <c r="I203" s="34"/>
      <c r="J203" s="34"/>
      <c r="K203" s="34"/>
      <c r="L203" s="34"/>
      <c r="M203" s="35" t="str">
        <f aca="false">IF(A203="",IF(SUMPRODUCT(--(B203:L203&lt;&gt;""))+SUMPRODUCT(--(N203:X203&lt;&gt;""))&gt;0,"Missing ID",""),IF(COUNTIF($A$8:$A$307,A203)&gt;1,"Duplicate ID",IF(OR(B203="",C203="",V203="",W203=""),"Source incomplete",IF(AND(H203&lt;&gt;"Pass",H203&lt;&gt;"Fail",H203&lt;&gt;"Unresolved"),"Choose compliance",IF(AND(I203&lt;&gt;"Not started",I203&lt;&gt;"In progress",I203&lt;&gt;"In review",I203&lt;&gt;"Complete"),"Choose progress",IF(AND(OR(H203="Pass",I203="Complete"),OR(J203="",K203="",L203="")),"Evidence or file missing",""))))))</f>
        <v/>
      </c>
      <c r="N203" s="29"/>
      <c r="O203" s="29"/>
      <c r="P203" s="29"/>
      <c r="Q203" s="29"/>
      <c r="R203" s="29"/>
      <c r="S203" s="29"/>
      <c r="T203" s="29"/>
      <c r="U203" s="29"/>
      <c r="V203" s="29"/>
      <c r="W203" s="29"/>
      <c r="X203" s="29"/>
    </row>
    <row r="204" customFormat="false" ht="44" hidden="false" customHeight="true" outlineLevel="0" collapsed="false">
      <c r="A204" s="29"/>
      <c r="B204" s="39"/>
      <c r="C204" s="39"/>
      <c r="D204" s="29"/>
      <c r="E204" s="29"/>
      <c r="F204" s="29"/>
      <c r="G204" s="29"/>
      <c r="H204" s="34"/>
      <c r="I204" s="34"/>
      <c r="J204" s="34"/>
      <c r="K204" s="34"/>
      <c r="L204" s="34"/>
      <c r="M204" s="35" t="str">
        <f aca="false">IF(A204="",IF(SUMPRODUCT(--(B204:L204&lt;&gt;""))+SUMPRODUCT(--(N204:X204&lt;&gt;""))&gt;0,"Missing ID",""),IF(COUNTIF($A$8:$A$307,A204)&gt;1,"Duplicate ID",IF(OR(B204="",C204="",V204="",W204=""),"Source incomplete",IF(AND(H204&lt;&gt;"Pass",H204&lt;&gt;"Fail",H204&lt;&gt;"Unresolved"),"Choose compliance",IF(AND(I204&lt;&gt;"Not started",I204&lt;&gt;"In progress",I204&lt;&gt;"In review",I204&lt;&gt;"Complete"),"Choose progress",IF(AND(OR(H204="Pass",I204="Complete"),OR(J204="",K204="",L204="")),"Evidence or file missing",""))))))</f>
        <v/>
      </c>
      <c r="N204" s="29"/>
      <c r="O204" s="29"/>
      <c r="P204" s="29"/>
      <c r="Q204" s="29"/>
      <c r="R204" s="29"/>
      <c r="S204" s="29"/>
      <c r="T204" s="29"/>
      <c r="U204" s="29"/>
      <c r="V204" s="29"/>
      <c r="W204" s="29"/>
      <c r="X204" s="29"/>
    </row>
    <row r="205" customFormat="false" ht="44" hidden="false" customHeight="true" outlineLevel="0" collapsed="false">
      <c r="A205" s="29"/>
      <c r="B205" s="39"/>
      <c r="C205" s="39"/>
      <c r="D205" s="29"/>
      <c r="E205" s="29"/>
      <c r="F205" s="29"/>
      <c r="G205" s="29"/>
      <c r="H205" s="34"/>
      <c r="I205" s="34"/>
      <c r="J205" s="34"/>
      <c r="K205" s="34"/>
      <c r="L205" s="34"/>
      <c r="M205" s="35" t="str">
        <f aca="false">IF(A205="",IF(SUMPRODUCT(--(B205:L205&lt;&gt;""))+SUMPRODUCT(--(N205:X205&lt;&gt;""))&gt;0,"Missing ID",""),IF(COUNTIF($A$8:$A$307,A205)&gt;1,"Duplicate ID",IF(OR(B205="",C205="",V205="",W205=""),"Source incomplete",IF(AND(H205&lt;&gt;"Pass",H205&lt;&gt;"Fail",H205&lt;&gt;"Unresolved"),"Choose compliance",IF(AND(I205&lt;&gt;"Not started",I205&lt;&gt;"In progress",I205&lt;&gt;"In review",I205&lt;&gt;"Complete"),"Choose progress",IF(AND(OR(H205="Pass",I205="Complete"),OR(J205="",K205="",L205="")),"Evidence or file missing",""))))))</f>
        <v/>
      </c>
      <c r="N205" s="29"/>
      <c r="O205" s="29"/>
      <c r="P205" s="29"/>
      <c r="Q205" s="29"/>
      <c r="R205" s="29"/>
      <c r="S205" s="29"/>
      <c r="T205" s="29"/>
      <c r="U205" s="29"/>
      <c r="V205" s="29"/>
      <c r="W205" s="29"/>
      <c r="X205" s="29"/>
    </row>
    <row r="206" customFormat="false" ht="44" hidden="false" customHeight="true" outlineLevel="0" collapsed="false">
      <c r="A206" s="29"/>
      <c r="B206" s="39"/>
      <c r="C206" s="39"/>
      <c r="D206" s="29"/>
      <c r="E206" s="29"/>
      <c r="F206" s="29"/>
      <c r="G206" s="29"/>
      <c r="H206" s="34"/>
      <c r="I206" s="34"/>
      <c r="J206" s="34"/>
      <c r="K206" s="34"/>
      <c r="L206" s="34"/>
      <c r="M206" s="35" t="str">
        <f aca="false">IF(A206="",IF(SUMPRODUCT(--(B206:L206&lt;&gt;""))+SUMPRODUCT(--(N206:X206&lt;&gt;""))&gt;0,"Missing ID",""),IF(COUNTIF($A$8:$A$307,A206)&gt;1,"Duplicate ID",IF(OR(B206="",C206="",V206="",W206=""),"Source incomplete",IF(AND(H206&lt;&gt;"Pass",H206&lt;&gt;"Fail",H206&lt;&gt;"Unresolved"),"Choose compliance",IF(AND(I206&lt;&gt;"Not started",I206&lt;&gt;"In progress",I206&lt;&gt;"In review",I206&lt;&gt;"Complete"),"Choose progress",IF(AND(OR(H206="Pass",I206="Complete"),OR(J206="",K206="",L206="")),"Evidence or file missing",""))))))</f>
        <v/>
      </c>
      <c r="N206" s="29"/>
      <c r="O206" s="29"/>
      <c r="P206" s="29"/>
      <c r="Q206" s="29"/>
      <c r="R206" s="29"/>
      <c r="S206" s="29"/>
      <c r="T206" s="29"/>
      <c r="U206" s="29"/>
      <c r="V206" s="29"/>
      <c r="W206" s="29"/>
      <c r="X206" s="29"/>
    </row>
    <row r="207" customFormat="false" ht="44" hidden="false" customHeight="true" outlineLevel="0" collapsed="false">
      <c r="A207" s="29"/>
      <c r="B207" s="39"/>
      <c r="C207" s="39"/>
      <c r="D207" s="29"/>
      <c r="E207" s="29"/>
      <c r="F207" s="29"/>
      <c r="G207" s="29"/>
      <c r="H207" s="34"/>
      <c r="I207" s="34"/>
      <c r="J207" s="34"/>
      <c r="K207" s="34"/>
      <c r="L207" s="34"/>
      <c r="M207" s="35" t="str">
        <f aca="false">IF(A207="",IF(SUMPRODUCT(--(B207:L207&lt;&gt;""))+SUMPRODUCT(--(N207:X207&lt;&gt;""))&gt;0,"Missing ID",""),IF(COUNTIF($A$8:$A$307,A207)&gt;1,"Duplicate ID",IF(OR(B207="",C207="",V207="",W207=""),"Source incomplete",IF(AND(H207&lt;&gt;"Pass",H207&lt;&gt;"Fail",H207&lt;&gt;"Unresolved"),"Choose compliance",IF(AND(I207&lt;&gt;"Not started",I207&lt;&gt;"In progress",I207&lt;&gt;"In review",I207&lt;&gt;"Complete"),"Choose progress",IF(AND(OR(H207="Pass",I207="Complete"),OR(J207="",K207="",L207="")),"Evidence or file missing",""))))))</f>
        <v/>
      </c>
      <c r="N207" s="29"/>
      <c r="O207" s="29"/>
      <c r="P207" s="29"/>
      <c r="Q207" s="29"/>
      <c r="R207" s="29"/>
      <c r="S207" s="29"/>
      <c r="T207" s="29"/>
      <c r="U207" s="29"/>
      <c r="V207" s="29"/>
      <c r="W207" s="29"/>
      <c r="X207" s="29"/>
    </row>
    <row r="208" customFormat="false" ht="44" hidden="false" customHeight="true" outlineLevel="0" collapsed="false">
      <c r="A208" s="29"/>
      <c r="B208" s="39"/>
      <c r="C208" s="39"/>
      <c r="D208" s="29"/>
      <c r="E208" s="29"/>
      <c r="F208" s="29"/>
      <c r="G208" s="29"/>
      <c r="H208" s="34"/>
      <c r="I208" s="34"/>
      <c r="J208" s="34"/>
      <c r="K208" s="34"/>
      <c r="L208" s="34"/>
      <c r="M208" s="35" t="str">
        <f aca="false">IF(A208="",IF(SUMPRODUCT(--(B208:L208&lt;&gt;""))+SUMPRODUCT(--(N208:X208&lt;&gt;""))&gt;0,"Missing ID",""),IF(COUNTIF($A$8:$A$307,A208)&gt;1,"Duplicate ID",IF(OR(B208="",C208="",V208="",W208=""),"Source incomplete",IF(AND(H208&lt;&gt;"Pass",H208&lt;&gt;"Fail",H208&lt;&gt;"Unresolved"),"Choose compliance",IF(AND(I208&lt;&gt;"Not started",I208&lt;&gt;"In progress",I208&lt;&gt;"In review",I208&lt;&gt;"Complete"),"Choose progress",IF(AND(OR(H208="Pass",I208="Complete"),OR(J208="",K208="",L208="")),"Evidence or file missing",""))))))</f>
        <v/>
      </c>
      <c r="N208" s="29"/>
      <c r="O208" s="29"/>
      <c r="P208" s="29"/>
      <c r="Q208" s="29"/>
      <c r="R208" s="29"/>
      <c r="S208" s="29"/>
      <c r="T208" s="29"/>
      <c r="U208" s="29"/>
      <c r="V208" s="29"/>
      <c r="W208" s="29"/>
      <c r="X208" s="29"/>
    </row>
    <row r="209" customFormat="false" ht="44" hidden="false" customHeight="true" outlineLevel="0" collapsed="false">
      <c r="A209" s="29"/>
      <c r="B209" s="39"/>
      <c r="C209" s="39"/>
      <c r="D209" s="29"/>
      <c r="E209" s="29"/>
      <c r="F209" s="29"/>
      <c r="G209" s="29"/>
      <c r="H209" s="34"/>
      <c r="I209" s="34"/>
      <c r="J209" s="34"/>
      <c r="K209" s="34"/>
      <c r="L209" s="34"/>
      <c r="M209" s="35" t="str">
        <f aca="false">IF(A209="",IF(SUMPRODUCT(--(B209:L209&lt;&gt;""))+SUMPRODUCT(--(N209:X209&lt;&gt;""))&gt;0,"Missing ID",""),IF(COUNTIF($A$8:$A$307,A209)&gt;1,"Duplicate ID",IF(OR(B209="",C209="",V209="",W209=""),"Source incomplete",IF(AND(H209&lt;&gt;"Pass",H209&lt;&gt;"Fail",H209&lt;&gt;"Unresolved"),"Choose compliance",IF(AND(I209&lt;&gt;"Not started",I209&lt;&gt;"In progress",I209&lt;&gt;"In review",I209&lt;&gt;"Complete"),"Choose progress",IF(AND(OR(H209="Pass",I209="Complete"),OR(J209="",K209="",L209="")),"Evidence or file missing",""))))))</f>
        <v/>
      </c>
      <c r="N209" s="29"/>
      <c r="O209" s="29"/>
      <c r="P209" s="29"/>
      <c r="Q209" s="29"/>
      <c r="R209" s="29"/>
      <c r="S209" s="29"/>
      <c r="T209" s="29"/>
      <c r="U209" s="29"/>
      <c r="V209" s="29"/>
      <c r="W209" s="29"/>
      <c r="X209" s="29"/>
    </row>
    <row r="210" customFormat="false" ht="44" hidden="false" customHeight="true" outlineLevel="0" collapsed="false">
      <c r="A210" s="29"/>
      <c r="B210" s="39"/>
      <c r="C210" s="39"/>
      <c r="D210" s="29"/>
      <c r="E210" s="29"/>
      <c r="F210" s="29"/>
      <c r="G210" s="29"/>
      <c r="H210" s="34"/>
      <c r="I210" s="34"/>
      <c r="J210" s="34"/>
      <c r="K210" s="34"/>
      <c r="L210" s="34"/>
      <c r="M210" s="35" t="str">
        <f aca="false">IF(A210="",IF(SUMPRODUCT(--(B210:L210&lt;&gt;""))+SUMPRODUCT(--(N210:X210&lt;&gt;""))&gt;0,"Missing ID",""),IF(COUNTIF($A$8:$A$307,A210)&gt;1,"Duplicate ID",IF(OR(B210="",C210="",V210="",W210=""),"Source incomplete",IF(AND(H210&lt;&gt;"Pass",H210&lt;&gt;"Fail",H210&lt;&gt;"Unresolved"),"Choose compliance",IF(AND(I210&lt;&gt;"Not started",I210&lt;&gt;"In progress",I210&lt;&gt;"In review",I210&lt;&gt;"Complete"),"Choose progress",IF(AND(OR(H210="Pass",I210="Complete"),OR(J210="",K210="",L210="")),"Evidence or file missing",""))))))</f>
        <v/>
      </c>
      <c r="N210" s="29"/>
      <c r="O210" s="29"/>
      <c r="P210" s="29"/>
      <c r="Q210" s="29"/>
      <c r="R210" s="29"/>
      <c r="S210" s="29"/>
      <c r="T210" s="29"/>
      <c r="U210" s="29"/>
      <c r="V210" s="29"/>
      <c r="W210" s="29"/>
      <c r="X210" s="29"/>
    </row>
    <row r="211" customFormat="false" ht="44" hidden="false" customHeight="true" outlineLevel="0" collapsed="false">
      <c r="A211" s="29"/>
      <c r="B211" s="39"/>
      <c r="C211" s="39"/>
      <c r="D211" s="29"/>
      <c r="E211" s="29"/>
      <c r="F211" s="29"/>
      <c r="G211" s="29"/>
      <c r="H211" s="34"/>
      <c r="I211" s="34"/>
      <c r="J211" s="34"/>
      <c r="K211" s="34"/>
      <c r="L211" s="34"/>
      <c r="M211" s="35" t="str">
        <f aca="false">IF(A211="",IF(SUMPRODUCT(--(B211:L211&lt;&gt;""))+SUMPRODUCT(--(N211:X211&lt;&gt;""))&gt;0,"Missing ID",""),IF(COUNTIF($A$8:$A$307,A211)&gt;1,"Duplicate ID",IF(OR(B211="",C211="",V211="",W211=""),"Source incomplete",IF(AND(H211&lt;&gt;"Pass",H211&lt;&gt;"Fail",H211&lt;&gt;"Unresolved"),"Choose compliance",IF(AND(I211&lt;&gt;"Not started",I211&lt;&gt;"In progress",I211&lt;&gt;"In review",I211&lt;&gt;"Complete"),"Choose progress",IF(AND(OR(H211="Pass",I211="Complete"),OR(J211="",K211="",L211="")),"Evidence or file missing",""))))))</f>
        <v/>
      </c>
      <c r="N211" s="29"/>
      <c r="O211" s="29"/>
      <c r="P211" s="29"/>
      <c r="Q211" s="29"/>
      <c r="R211" s="29"/>
      <c r="S211" s="29"/>
      <c r="T211" s="29"/>
      <c r="U211" s="29"/>
      <c r="V211" s="29"/>
      <c r="W211" s="29"/>
      <c r="X211" s="29"/>
    </row>
    <row r="212" customFormat="false" ht="44" hidden="false" customHeight="true" outlineLevel="0" collapsed="false">
      <c r="A212" s="29"/>
      <c r="B212" s="39"/>
      <c r="C212" s="39"/>
      <c r="D212" s="29"/>
      <c r="E212" s="29"/>
      <c r="F212" s="29"/>
      <c r="G212" s="29"/>
      <c r="H212" s="34"/>
      <c r="I212" s="34"/>
      <c r="J212" s="34"/>
      <c r="K212" s="34"/>
      <c r="L212" s="34"/>
      <c r="M212" s="35" t="str">
        <f aca="false">IF(A212="",IF(SUMPRODUCT(--(B212:L212&lt;&gt;""))+SUMPRODUCT(--(N212:X212&lt;&gt;""))&gt;0,"Missing ID",""),IF(COUNTIF($A$8:$A$307,A212)&gt;1,"Duplicate ID",IF(OR(B212="",C212="",V212="",W212=""),"Source incomplete",IF(AND(H212&lt;&gt;"Pass",H212&lt;&gt;"Fail",H212&lt;&gt;"Unresolved"),"Choose compliance",IF(AND(I212&lt;&gt;"Not started",I212&lt;&gt;"In progress",I212&lt;&gt;"In review",I212&lt;&gt;"Complete"),"Choose progress",IF(AND(OR(H212="Pass",I212="Complete"),OR(J212="",K212="",L212="")),"Evidence or file missing",""))))))</f>
        <v/>
      </c>
      <c r="N212" s="29"/>
      <c r="O212" s="29"/>
      <c r="P212" s="29"/>
      <c r="Q212" s="29"/>
      <c r="R212" s="29"/>
      <c r="S212" s="29"/>
      <c r="T212" s="29"/>
      <c r="U212" s="29"/>
      <c r="V212" s="29"/>
      <c r="W212" s="29"/>
      <c r="X212" s="29"/>
    </row>
    <row r="213" customFormat="false" ht="44" hidden="false" customHeight="true" outlineLevel="0" collapsed="false">
      <c r="A213" s="29"/>
      <c r="B213" s="39"/>
      <c r="C213" s="39"/>
      <c r="D213" s="29"/>
      <c r="E213" s="29"/>
      <c r="F213" s="29"/>
      <c r="G213" s="29"/>
      <c r="H213" s="34"/>
      <c r="I213" s="34"/>
      <c r="J213" s="34"/>
      <c r="K213" s="34"/>
      <c r="L213" s="34"/>
      <c r="M213" s="35" t="str">
        <f aca="false">IF(A213="",IF(SUMPRODUCT(--(B213:L213&lt;&gt;""))+SUMPRODUCT(--(N213:X213&lt;&gt;""))&gt;0,"Missing ID",""),IF(COUNTIF($A$8:$A$307,A213)&gt;1,"Duplicate ID",IF(OR(B213="",C213="",V213="",W213=""),"Source incomplete",IF(AND(H213&lt;&gt;"Pass",H213&lt;&gt;"Fail",H213&lt;&gt;"Unresolved"),"Choose compliance",IF(AND(I213&lt;&gt;"Not started",I213&lt;&gt;"In progress",I213&lt;&gt;"In review",I213&lt;&gt;"Complete"),"Choose progress",IF(AND(OR(H213="Pass",I213="Complete"),OR(J213="",K213="",L213="")),"Evidence or file missing",""))))))</f>
        <v/>
      </c>
      <c r="N213" s="29"/>
      <c r="O213" s="29"/>
      <c r="P213" s="29"/>
      <c r="Q213" s="29"/>
      <c r="R213" s="29"/>
      <c r="S213" s="29"/>
      <c r="T213" s="29"/>
      <c r="U213" s="29"/>
      <c r="V213" s="29"/>
      <c r="W213" s="29"/>
      <c r="X213" s="29"/>
    </row>
    <row r="214" customFormat="false" ht="44" hidden="false" customHeight="true" outlineLevel="0" collapsed="false">
      <c r="A214" s="29"/>
      <c r="B214" s="39"/>
      <c r="C214" s="39"/>
      <c r="D214" s="29"/>
      <c r="E214" s="29"/>
      <c r="F214" s="29"/>
      <c r="G214" s="29"/>
      <c r="H214" s="34"/>
      <c r="I214" s="34"/>
      <c r="J214" s="34"/>
      <c r="K214" s="34"/>
      <c r="L214" s="34"/>
      <c r="M214" s="35" t="str">
        <f aca="false">IF(A214="",IF(SUMPRODUCT(--(B214:L214&lt;&gt;""))+SUMPRODUCT(--(N214:X214&lt;&gt;""))&gt;0,"Missing ID",""),IF(COUNTIF($A$8:$A$307,A214)&gt;1,"Duplicate ID",IF(OR(B214="",C214="",V214="",W214=""),"Source incomplete",IF(AND(H214&lt;&gt;"Pass",H214&lt;&gt;"Fail",H214&lt;&gt;"Unresolved"),"Choose compliance",IF(AND(I214&lt;&gt;"Not started",I214&lt;&gt;"In progress",I214&lt;&gt;"In review",I214&lt;&gt;"Complete"),"Choose progress",IF(AND(OR(H214="Pass",I214="Complete"),OR(J214="",K214="",L214="")),"Evidence or file missing",""))))))</f>
        <v/>
      </c>
      <c r="N214" s="29"/>
      <c r="O214" s="29"/>
      <c r="P214" s="29"/>
      <c r="Q214" s="29"/>
      <c r="R214" s="29"/>
      <c r="S214" s="29"/>
      <c r="T214" s="29"/>
      <c r="U214" s="29"/>
      <c r="V214" s="29"/>
      <c r="W214" s="29"/>
      <c r="X214" s="29"/>
    </row>
    <row r="215" customFormat="false" ht="44" hidden="false" customHeight="true" outlineLevel="0" collapsed="false">
      <c r="A215" s="29"/>
      <c r="B215" s="39"/>
      <c r="C215" s="39"/>
      <c r="D215" s="29"/>
      <c r="E215" s="29"/>
      <c r="F215" s="29"/>
      <c r="G215" s="29"/>
      <c r="H215" s="34"/>
      <c r="I215" s="34"/>
      <c r="J215" s="34"/>
      <c r="K215" s="34"/>
      <c r="L215" s="34"/>
      <c r="M215" s="35" t="str">
        <f aca="false">IF(A215="",IF(SUMPRODUCT(--(B215:L215&lt;&gt;""))+SUMPRODUCT(--(N215:X215&lt;&gt;""))&gt;0,"Missing ID",""),IF(COUNTIF($A$8:$A$307,A215)&gt;1,"Duplicate ID",IF(OR(B215="",C215="",V215="",W215=""),"Source incomplete",IF(AND(H215&lt;&gt;"Pass",H215&lt;&gt;"Fail",H215&lt;&gt;"Unresolved"),"Choose compliance",IF(AND(I215&lt;&gt;"Not started",I215&lt;&gt;"In progress",I215&lt;&gt;"In review",I215&lt;&gt;"Complete"),"Choose progress",IF(AND(OR(H215="Pass",I215="Complete"),OR(J215="",K215="",L215="")),"Evidence or file missing",""))))))</f>
        <v/>
      </c>
      <c r="N215" s="29"/>
      <c r="O215" s="29"/>
      <c r="P215" s="29"/>
      <c r="Q215" s="29"/>
      <c r="R215" s="29"/>
      <c r="S215" s="29"/>
      <c r="T215" s="29"/>
      <c r="U215" s="29"/>
      <c r="V215" s="29"/>
      <c r="W215" s="29"/>
      <c r="X215" s="29"/>
    </row>
    <row r="216" customFormat="false" ht="44" hidden="false" customHeight="true" outlineLevel="0" collapsed="false">
      <c r="A216" s="29"/>
      <c r="B216" s="39"/>
      <c r="C216" s="39"/>
      <c r="D216" s="29"/>
      <c r="E216" s="29"/>
      <c r="F216" s="29"/>
      <c r="G216" s="29"/>
      <c r="H216" s="34"/>
      <c r="I216" s="34"/>
      <c r="J216" s="34"/>
      <c r="K216" s="34"/>
      <c r="L216" s="34"/>
      <c r="M216" s="35" t="str">
        <f aca="false">IF(A216="",IF(SUMPRODUCT(--(B216:L216&lt;&gt;""))+SUMPRODUCT(--(N216:X216&lt;&gt;""))&gt;0,"Missing ID",""),IF(COUNTIF($A$8:$A$307,A216)&gt;1,"Duplicate ID",IF(OR(B216="",C216="",V216="",W216=""),"Source incomplete",IF(AND(H216&lt;&gt;"Pass",H216&lt;&gt;"Fail",H216&lt;&gt;"Unresolved"),"Choose compliance",IF(AND(I216&lt;&gt;"Not started",I216&lt;&gt;"In progress",I216&lt;&gt;"In review",I216&lt;&gt;"Complete"),"Choose progress",IF(AND(OR(H216="Pass",I216="Complete"),OR(J216="",K216="",L216="")),"Evidence or file missing",""))))))</f>
        <v/>
      </c>
      <c r="N216" s="29"/>
      <c r="O216" s="29"/>
      <c r="P216" s="29"/>
      <c r="Q216" s="29"/>
      <c r="R216" s="29"/>
      <c r="S216" s="29"/>
      <c r="T216" s="29"/>
      <c r="U216" s="29"/>
      <c r="V216" s="29"/>
      <c r="W216" s="29"/>
      <c r="X216" s="29"/>
    </row>
    <row r="217" customFormat="false" ht="44" hidden="false" customHeight="true" outlineLevel="0" collapsed="false">
      <c r="A217" s="29"/>
      <c r="B217" s="39"/>
      <c r="C217" s="39"/>
      <c r="D217" s="29"/>
      <c r="E217" s="29"/>
      <c r="F217" s="29"/>
      <c r="G217" s="29"/>
      <c r="H217" s="34"/>
      <c r="I217" s="34"/>
      <c r="J217" s="34"/>
      <c r="K217" s="34"/>
      <c r="L217" s="34"/>
      <c r="M217" s="35" t="str">
        <f aca="false">IF(A217="",IF(SUMPRODUCT(--(B217:L217&lt;&gt;""))+SUMPRODUCT(--(N217:X217&lt;&gt;""))&gt;0,"Missing ID",""),IF(COUNTIF($A$8:$A$307,A217)&gt;1,"Duplicate ID",IF(OR(B217="",C217="",V217="",W217=""),"Source incomplete",IF(AND(H217&lt;&gt;"Pass",H217&lt;&gt;"Fail",H217&lt;&gt;"Unresolved"),"Choose compliance",IF(AND(I217&lt;&gt;"Not started",I217&lt;&gt;"In progress",I217&lt;&gt;"In review",I217&lt;&gt;"Complete"),"Choose progress",IF(AND(OR(H217="Pass",I217="Complete"),OR(J217="",K217="",L217="")),"Evidence or file missing",""))))))</f>
        <v/>
      </c>
      <c r="N217" s="29"/>
      <c r="O217" s="29"/>
      <c r="P217" s="29"/>
      <c r="Q217" s="29"/>
      <c r="R217" s="29"/>
      <c r="S217" s="29"/>
      <c r="T217" s="29"/>
      <c r="U217" s="29"/>
      <c r="V217" s="29"/>
      <c r="W217" s="29"/>
      <c r="X217" s="29"/>
    </row>
    <row r="218" customFormat="false" ht="44" hidden="false" customHeight="true" outlineLevel="0" collapsed="false">
      <c r="A218" s="29"/>
      <c r="B218" s="39"/>
      <c r="C218" s="39"/>
      <c r="D218" s="29"/>
      <c r="E218" s="29"/>
      <c r="F218" s="29"/>
      <c r="G218" s="29"/>
      <c r="H218" s="34"/>
      <c r="I218" s="34"/>
      <c r="J218" s="34"/>
      <c r="K218" s="34"/>
      <c r="L218" s="34"/>
      <c r="M218" s="35" t="str">
        <f aca="false">IF(A218="",IF(SUMPRODUCT(--(B218:L218&lt;&gt;""))+SUMPRODUCT(--(N218:X218&lt;&gt;""))&gt;0,"Missing ID",""),IF(COUNTIF($A$8:$A$307,A218)&gt;1,"Duplicate ID",IF(OR(B218="",C218="",V218="",W218=""),"Source incomplete",IF(AND(H218&lt;&gt;"Pass",H218&lt;&gt;"Fail",H218&lt;&gt;"Unresolved"),"Choose compliance",IF(AND(I218&lt;&gt;"Not started",I218&lt;&gt;"In progress",I218&lt;&gt;"In review",I218&lt;&gt;"Complete"),"Choose progress",IF(AND(OR(H218="Pass",I218="Complete"),OR(J218="",K218="",L218="")),"Evidence or file missing",""))))))</f>
        <v/>
      </c>
      <c r="N218" s="29"/>
      <c r="O218" s="29"/>
      <c r="P218" s="29"/>
      <c r="Q218" s="29"/>
      <c r="R218" s="29"/>
      <c r="S218" s="29"/>
      <c r="T218" s="29"/>
      <c r="U218" s="29"/>
      <c r="V218" s="29"/>
      <c r="W218" s="29"/>
      <c r="X218" s="29"/>
    </row>
    <row r="219" customFormat="false" ht="44" hidden="false" customHeight="true" outlineLevel="0" collapsed="false">
      <c r="A219" s="29"/>
      <c r="B219" s="39"/>
      <c r="C219" s="39"/>
      <c r="D219" s="29"/>
      <c r="E219" s="29"/>
      <c r="F219" s="29"/>
      <c r="G219" s="29"/>
      <c r="H219" s="34"/>
      <c r="I219" s="34"/>
      <c r="J219" s="34"/>
      <c r="K219" s="34"/>
      <c r="L219" s="34"/>
      <c r="M219" s="35" t="str">
        <f aca="false">IF(A219="",IF(SUMPRODUCT(--(B219:L219&lt;&gt;""))+SUMPRODUCT(--(N219:X219&lt;&gt;""))&gt;0,"Missing ID",""),IF(COUNTIF($A$8:$A$307,A219)&gt;1,"Duplicate ID",IF(OR(B219="",C219="",V219="",W219=""),"Source incomplete",IF(AND(H219&lt;&gt;"Pass",H219&lt;&gt;"Fail",H219&lt;&gt;"Unresolved"),"Choose compliance",IF(AND(I219&lt;&gt;"Not started",I219&lt;&gt;"In progress",I219&lt;&gt;"In review",I219&lt;&gt;"Complete"),"Choose progress",IF(AND(OR(H219="Pass",I219="Complete"),OR(J219="",K219="",L219="")),"Evidence or file missing",""))))))</f>
        <v/>
      </c>
      <c r="N219" s="29"/>
      <c r="O219" s="29"/>
      <c r="P219" s="29"/>
      <c r="Q219" s="29"/>
      <c r="R219" s="29"/>
      <c r="S219" s="29"/>
      <c r="T219" s="29"/>
      <c r="U219" s="29"/>
      <c r="V219" s="29"/>
      <c r="W219" s="29"/>
      <c r="X219" s="29"/>
    </row>
    <row r="220" customFormat="false" ht="44" hidden="false" customHeight="true" outlineLevel="0" collapsed="false">
      <c r="A220" s="29"/>
      <c r="B220" s="39"/>
      <c r="C220" s="39"/>
      <c r="D220" s="29"/>
      <c r="E220" s="29"/>
      <c r="F220" s="29"/>
      <c r="G220" s="29"/>
      <c r="H220" s="34"/>
      <c r="I220" s="34"/>
      <c r="J220" s="34"/>
      <c r="K220" s="34"/>
      <c r="L220" s="34"/>
      <c r="M220" s="35" t="str">
        <f aca="false">IF(A220="",IF(SUMPRODUCT(--(B220:L220&lt;&gt;""))+SUMPRODUCT(--(N220:X220&lt;&gt;""))&gt;0,"Missing ID",""),IF(COUNTIF($A$8:$A$307,A220)&gt;1,"Duplicate ID",IF(OR(B220="",C220="",V220="",W220=""),"Source incomplete",IF(AND(H220&lt;&gt;"Pass",H220&lt;&gt;"Fail",H220&lt;&gt;"Unresolved"),"Choose compliance",IF(AND(I220&lt;&gt;"Not started",I220&lt;&gt;"In progress",I220&lt;&gt;"In review",I220&lt;&gt;"Complete"),"Choose progress",IF(AND(OR(H220="Pass",I220="Complete"),OR(J220="",K220="",L220="")),"Evidence or file missing",""))))))</f>
        <v/>
      </c>
      <c r="N220" s="29"/>
      <c r="O220" s="29"/>
      <c r="P220" s="29"/>
      <c r="Q220" s="29"/>
      <c r="R220" s="29"/>
      <c r="S220" s="29"/>
      <c r="T220" s="29"/>
      <c r="U220" s="29"/>
      <c r="V220" s="29"/>
      <c r="W220" s="29"/>
      <c r="X220" s="29"/>
    </row>
    <row r="221" customFormat="false" ht="44" hidden="false" customHeight="true" outlineLevel="0" collapsed="false">
      <c r="A221" s="29"/>
      <c r="B221" s="39"/>
      <c r="C221" s="39"/>
      <c r="D221" s="29"/>
      <c r="E221" s="29"/>
      <c r="F221" s="29"/>
      <c r="G221" s="29"/>
      <c r="H221" s="34"/>
      <c r="I221" s="34"/>
      <c r="J221" s="34"/>
      <c r="K221" s="34"/>
      <c r="L221" s="34"/>
      <c r="M221" s="35" t="str">
        <f aca="false">IF(A221="",IF(SUMPRODUCT(--(B221:L221&lt;&gt;""))+SUMPRODUCT(--(N221:X221&lt;&gt;""))&gt;0,"Missing ID",""),IF(COUNTIF($A$8:$A$307,A221)&gt;1,"Duplicate ID",IF(OR(B221="",C221="",V221="",W221=""),"Source incomplete",IF(AND(H221&lt;&gt;"Pass",H221&lt;&gt;"Fail",H221&lt;&gt;"Unresolved"),"Choose compliance",IF(AND(I221&lt;&gt;"Not started",I221&lt;&gt;"In progress",I221&lt;&gt;"In review",I221&lt;&gt;"Complete"),"Choose progress",IF(AND(OR(H221="Pass",I221="Complete"),OR(J221="",K221="",L221="")),"Evidence or file missing",""))))))</f>
        <v/>
      </c>
      <c r="N221" s="29"/>
      <c r="O221" s="29"/>
      <c r="P221" s="29"/>
      <c r="Q221" s="29"/>
      <c r="R221" s="29"/>
      <c r="S221" s="29"/>
      <c r="T221" s="29"/>
      <c r="U221" s="29"/>
      <c r="V221" s="29"/>
      <c r="W221" s="29"/>
      <c r="X221" s="29"/>
    </row>
    <row r="222" customFormat="false" ht="44" hidden="false" customHeight="true" outlineLevel="0" collapsed="false">
      <c r="A222" s="29"/>
      <c r="B222" s="39"/>
      <c r="C222" s="39"/>
      <c r="D222" s="29"/>
      <c r="E222" s="29"/>
      <c r="F222" s="29"/>
      <c r="G222" s="29"/>
      <c r="H222" s="34"/>
      <c r="I222" s="34"/>
      <c r="J222" s="34"/>
      <c r="K222" s="34"/>
      <c r="L222" s="34"/>
      <c r="M222" s="35" t="str">
        <f aca="false">IF(A222="",IF(SUMPRODUCT(--(B222:L222&lt;&gt;""))+SUMPRODUCT(--(N222:X222&lt;&gt;""))&gt;0,"Missing ID",""),IF(COUNTIF($A$8:$A$307,A222)&gt;1,"Duplicate ID",IF(OR(B222="",C222="",V222="",W222=""),"Source incomplete",IF(AND(H222&lt;&gt;"Pass",H222&lt;&gt;"Fail",H222&lt;&gt;"Unresolved"),"Choose compliance",IF(AND(I222&lt;&gt;"Not started",I222&lt;&gt;"In progress",I222&lt;&gt;"In review",I222&lt;&gt;"Complete"),"Choose progress",IF(AND(OR(H222="Pass",I222="Complete"),OR(J222="",K222="",L222="")),"Evidence or file missing",""))))))</f>
        <v/>
      </c>
      <c r="N222" s="29"/>
      <c r="O222" s="29"/>
      <c r="P222" s="29"/>
      <c r="Q222" s="29"/>
      <c r="R222" s="29"/>
      <c r="S222" s="29"/>
      <c r="T222" s="29"/>
      <c r="U222" s="29"/>
      <c r="V222" s="29"/>
      <c r="W222" s="29"/>
      <c r="X222" s="29"/>
    </row>
    <row r="223" customFormat="false" ht="44" hidden="false" customHeight="true" outlineLevel="0" collapsed="false">
      <c r="A223" s="29"/>
      <c r="B223" s="39"/>
      <c r="C223" s="39"/>
      <c r="D223" s="29"/>
      <c r="E223" s="29"/>
      <c r="F223" s="29"/>
      <c r="G223" s="29"/>
      <c r="H223" s="34"/>
      <c r="I223" s="34"/>
      <c r="J223" s="34"/>
      <c r="K223" s="34"/>
      <c r="L223" s="34"/>
      <c r="M223" s="35" t="str">
        <f aca="false">IF(A223="",IF(SUMPRODUCT(--(B223:L223&lt;&gt;""))+SUMPRODUCT(--(N223:X223&lt;&gt;""))&gt;0,"Missing ID",""),IF(COUNTIF($A$8:$A$307,A223)&gt;1,"Duplicate ID",IF(OR(B223="",C223="",V223="",W223=""),"Source incomplete",IF(AND(H223&lt;&gt;"Pass",H223&lt;&gt;"Fail",H223&lt;&gt;"Unresolved"),"Choose compliance",IF(AND(I223&lt;&gt;"Not started",I223&lt;&gt;"In progress",I223&lt;&gt;"In review",I223&lt;&gt;"Complete"),"Choose progress",IF(AND(OR(H223="Pass",I223="Complete"),OR(J223="",K223="",L223="")),"Evidence or file missing",""))))))</f>
        <v/>
      </c>
      <c r="N223" s="29"/>
      <c r="O223" s="29"/>
      <c r="P223" s="29"/>
      <c r="Q223" s="29"/>
      <c r="R223" s="29"/>
      <c r="S223" s="29"/>
      <c r="T223" s="29"/>
      <c r="U223" s="29"/>
      <c r="V223" s="29"/>
      <c r="W223" s="29"/>
      <c r="X223" s="29"/>
    </row>
    <row r="224" customFormat="false" ht="44" hidden="false" customHeight="true" outlineLevel="0" collapsed="false">
      <c r="A224" s="29"/>
      <c r="B224" s="39"/>
      <c r="C224" s="39"/>
      <c r="D224" s="29"/>
      <c r="E224" s="29"/>
      <c r="F224" s="29"/>
      <c r="G224" s="29"/>
      <c r="H224" s="34"/>
      <c r="I224" s="34"/>
      <c r="J224" s="34"/>
      <c r="K224" s="34"/>
      <c r="L224" s="34"/>
      <c r="M224" s="35" t="str">
        <f aca="false">IF(A224="",IF(SUMPRODUCT(--(B224:L224&lt;&gt;""))+SUMPRODUCT(--(N224:X224&lt;&gt;""))&gt;0,"Missing ID",""),IF(COUNTIF($A$8:$A$307,A224)&gt;1,"Duplicate ID",IF(OR(B224="",C224="",V224="",W224=""),"Source incomplete",IF(AND(H224&lt;&gt;"Pass",H224&lt;&gt;"Fail",H224&lt;&gt;"Unresolved"),"Choose compliance",IF(AND(I224&lt;&gt;"Not started",I224&lt;&gt;"In progress",I224&lt;&gt;"In review",I224&lt;&gt;"Complete"),"Choose progress",IF(AND(OR(H224="Pass",I224="Complete"),OR(J224="",K224="",L224="")),"Evidence or file missing",""))))))</f>
        <v/>
      </c>
      <c r="N224" s="29"/>
      <c r="O224" s="29"/>
      <c r="P224" s="29"/>
      <c r="Q224" s="29"/>
      <c r="R224" s="29"/>
      <c r="S224" s="29"/>
      <c r="T224" s="29"/>
      <c r="U224" s="29"/>
      <c r="V224" s="29"/>
      <c r="W224" s="29"/>
      <c r="X224" s="29"/>
    </row>
    <row r="225" customFormat="false" ht="44" hidden="false" customHeight="true" outlineLevel="0" collapsed="false">
      <c r="A225" s="29"/>
      <c r="B225" s="39"/>
      <c r="C225" s="39"/>
      <c r="D225" s="29"/>
      <c r="E225" s="29"/>
      <c r="F225" s="29"/>
      <c r="G225" s="29"/>
      <c r="H225" s="34"/>
      <c r="I225" s="34"/>
      <c r="J225" s="34"/>
      <c r="K225" s="34"/>
      <c r="L225" s="34"/>
      <c r="M225" s="35" t="str">
        <f aca="false">IF(A225="",IF(SUMPRODUCT(--(B225:L225&lt;&gt;""))+SUMPRODUCT(--(N225:X225&lt;&gt;""))&gt;0,"Missing ID",""),IF(COUNTIF($A$8:$A$307,A225)&gt;1,"Duplicate ID",IF(OR(B225="",C225="",V225="",W225=""),"Source incomplete",IF(AND(H225&lt;&gt;"Pass",H225&lt;&gt;"Fail",H225&lt;&gt;"Unresolved"),"Choose compliance",IF(AND(I225&lt;&gt;"Not started",I225&lt;&gt;"In progress",I225&lt;&gt;"In review",I225&lt;&gt;"Complete"),"Choose progress",IF(AND(OR(H225="Pass",I225="Complete"),OR(J225="",K225="",L225="")),"Evidence or file missing",""))))))</f>
        <v/>
      </c>
      <c r="N225" s="29"/>
      <c r="O225" s="29"/>
      <c r="P225" s="29"/>
      <c r="Q225" s="29"/>
      <c r="R225" s="29"/>
      <c r="S225" s="29"/>
      <c r="T225" s="29"/>
      <c r="U225" s="29"/>
      <c r="V225" s="29"/>
      <c r="W225" s="29"/>
      <c r="X225" s="29"/>
    </row>
    <row r="226" customFormat="false" ht="44" hidden="false" customHeight="true" outlineLevel="0" collapsed="false">
      <c r="A226" s="29"/>
      <c r="B226" s="39"/>
      <c r="C226" s="39"/>
      <c r="D226" s="29"/>
      <c r="E226" s="29"/>
      <c r="F226" s="29"/>
      <c r="G226" s="29"/>
      <c r="H226" s="34"/>
      <c r="I226" s="34"/>
      <c r="J226" s="34"/>
      <c r="K226" s="34"/>
      <c r="L226" s="34"/>
      <c r="M226" s="35" t="str">
        <f aca="false">IF(A226="",IF(SUMPRODUCT(--(B226:L226&lt;&gt;""))+SUMPRODUCT(--(N226:X226&lt;&gt;""))&gt;0,"Missing ID",""),IF(COUNTIF($A$8:$A$307,A226)&gt;1,"Duplicate ID",IF(OR(B226="",C226="",V226="",W226=""),"Source incomplete",IF(AND(H226&lt;&gt;"Pass",H226&lt;&gt;"Fail",H226&lt;&gt;"Unresolved"),"Choose compliance",IF(AND(I226&lt;&gt;"Not started",I226&lt;&gt;"In progress",I226&lt;&gt;"In review",I226&lt;&gt;"Complete"),"Choose progress",IF(AND(OR(H226="Pass",I226="Complete"),OR(J226="",K226="",L226="")),"Evidence or file missing",""))))))</f>
        <v/>
      </c>
      <c r="N226" s="29"/>
      <c r="O226" s="29"/>
      <c r="P226" s="29"/>
      <c r="Q226" s="29"/>
      <c r="R226" s="29"/>
      <c r="S226" s="29"/>
      <c r="T226" s="29"/>
      <c r="U226" s="29"/>
      <c r="V226" s="29"/>
      <c r="W226" s="29"/>
      <c r="X226" s="29"/>
    </row>
    <row r="227" customFormat="false" ht="44" hidden="false" customHeight="true" outlineLevel="0" collapsed="false">
      <c r="A227" s="29"/>
      <c r="B227" s="39"/>
      <c r="C227" s="39"/>
      <c r="D227" s="29"/>
      <c r="E227" s="29"/>
      <c r="F227" s="29"/>
      <c r="G227" s="29"/>
      <c r="H227" s="34"/>
      <c r="I227" s="34"/>
      <c r="J227" s="34"/>
      <c r="K227" s="34"/>
      <c r="L227" s="34"/>
      <c r="M227" s="35" t="str">
        <f aca="false">IF(A227="",IF(SUMPRODUCT(--(B227:L227&lt;&gt;""))+SUMPRODUCT(--(N227:X227&lt;&gt;""))&gt;0,"Missing ID",""),IF(COUNTIF($A$8:$A$307,A227)&gt;1,"Duplicate ID",IF(OR(B227="",C227="",V227="",W227=""),"Source incomplete",IF(AND(H227&lt;&gt;"Pass",H227&lt;&gt;"Fail",H227&lt;&gt;"Unresolved"),"Choose compliance",IF(AND(I227&lt;&gt;"Not started",I227&lt;&gt;"In progress",I227&lt;&gt;"In review",I227&lt;&gt;"Complete"),"Choose progress",IF(AND(OR(H227="Pass",I227="Complete"),OR(J227="",K227="",L227="")),"Evidence or file missing",""))))))</f>
        <v/>
      </c>
      <c r="N227" s="29"/>
      <c r="O227" s="29"/>
      <c r="P227" s="29"/>
      <c r="Q227" s="29"/>
      <c r="R227" s="29"/>
      <c r="S227" s="29"/>
      <c r="T227" s="29"/>
      <c r="U227" s="29"/>
      <c r="V227" s="29"/>
      <c r="W227" s="29"/>
      <c r="X227" s="29"/>
    </row>
    <row r="228" customFormat="false" ht="44" hidden="false" customHeight="true" outlineLevel="0" collapsed="false">
      <c r="A228" s="29"/>
      <c r="B228" s="39"/>
      <c r="C228" s="39"/>
      <c r="D228" s="29"/>
      <c r="E228" s="29"/>
      <c r="F228" s="29"/>
      <c r="G228" s="29"/>
      <c r="H228" s="34"/>
      <c r="I228" s="34"/>
      <c r="J228" s="34"/>
      <c r="K228" s="34"/>
      <c r="L228" s="34"/>
      <c r="M228" s="35" t="str">
        <f aca="false">IF(A228="",IF(SUMPRODUCT(--(B228:L228&lt;&gt;""))+SUMPRODUCT(--(N228:X228&lt;&gt;""))&gt;0,"Missing ID",""),IF(COUNTIF($A$8:$A$307,A228)&gt;1,"Duplicate ID",IF(OR(B228="",C228="",V228="",W228=""),"Source incomplete",IF(AND(H228&lt;&gt;"Pass",H228&lt;&gt;"Fail",H228&lt;&gt;"Unresolved"),"Choose compliance",IF(AND(I228&lt;&gt;"Not started",I228&lt;&gt;"In progress",I228&lt;&gt;"In review",I228&lt;&gt;"Complete"),"Choose progress",IF(AND(OR(H228="Pass",I228="Complete"),OR(J228="",K228="",L228="")),"Evidence or file missing",""))))))</f>
        <v/>
      </c>
      <c r="N228" s="29"/>
      <c r="O228" s="29"/>
      <c r="P228" s="29"/>
      <c r="Q228" s="29"/>
      <c r="R228" s="29"/>
      <c r="S228" s="29"/>
      <c r="T228" s="29"/>
      <c r="U228" s="29"/>
      <c r="V228" s="29"/>
      <c r="W228" s="29"/>
      <c r="X228" s="29"/>
    </row>
    <row r="229" customFormat="false" ht="44" hidden="false" customHeight="true" outlineLevel="0" collapsed="false">
      <c r="A229" s="29"/>
      <c r="B229" s="39"/>
      <c r="C229" s="39"/>
      <c r="D229" s="29"/>
      <c r="E229" s="29"/>
      <c r="F229" s="29"/>
      <c r="G229" s="29"/>
      <c r="H229" s="34"/>
      <c r="I229" s="34"/>
      <c r="J229" s="34"/>
      <c r="K229" s="34"/>
      <c r="L229" s="34"/>
      <c r="M229" s="35" t="str">
        <f aca="false">IF(A229="",IF(SUMPRODUCT(--(B229:L229&lt;&gt;""))+SUMPRODUCT(--(N229:X229&lt;&gt;""))&gt;0,"Missing ID",""),IF(COUNTIF($A$8:$A$307,A229)&gt;1,"Duplicate ID",IF(OR(B229="",C229="",V229="",W229=""),"Source incomplete",IF(AND(H229&lt;&gt;"Pass",H229&lt;&gt;"Fail",H229&lt;&gt;"Unresolved"),"Choose compliance",IF(AND(I229&lt;&gt;"Not started",I229&lt;&gt;"In progress",I229&lt;&gt;"In review",I229&lt;&gt;"Complete"),"Choose progress",IF(AND(OR(H229="Pass",I229="Complete"),OR(J229="",K229="",L229="")),"Evidence or file missing",""))))))</f>
        <v/>
      </c>
      <c r="N229" s="29"/>
      <c r="O229" s="29"/>
      <c r="P229" s="29"/>
      <c r="Q229" s="29"/>
      <c r="R229" s="29"/>
      <c r="S229" s="29"/>
      <c r="T229" s="29"/>
      <c r="U229" s="29"/>
      <c r="V229" s="29"/>
      <c r="W229" s="29"/>
      <c r="X229" s="29"/>
    </row>
    <row r="230" customFormat="false" ht="44" hidden="false" customHeight="true" outlineLevel="0" collapsed="false">
      <c r="A230" s="29"/>
      <c r="B230" s="39"/>
      <c r="C230" s="39"/>
      <c r="D230" s="29"/>
      <c r="E230" s="29"/>
      <c r="F230" s="29"/>
      <c r="G230" s="29"/>
      <c r="H230" s="34"/>
      <c r="I230" s="34"/>
      <c r="J230" s="34"/>
      <c r="K230" s="34"/>
      <c r="L230" s="34"/>
      <c r="M230" s="35" t="str">
        <f aca="false">IF(A230="",IF(SUMPRODUCT(--(B230:L230&lt;&gt;""))+SUMPRODUCT(--(N230:X230&lt;&gt;""))&gt;0,"Missing ID",""),IF(COUNTIF($A$8:$A$307,A230)&gt;1,"Duplicate ID",IF(OR(B230="",C230="",V230="",W230=""),"Source incomplete",IF(AND(H230&lt;&gt;"Pass",H230&lt;&gt;"Fail",H230&lt;&gt;"Unresolved"),"Choose compliance",IF(AND(I230&lt;&gt;"Not started",I230&lt;&gt;"In progress",I230&lt;&gt;"In review",I230&lt;&gt;"Complete"),"Choose progress",IF(AND(OR(H230="Pass",I230="Complete"),OR(J230="",K230="",L230="")),"Evidence or file missing",""))))))</f>
        <v/>
      </c>
      <c r="N230" s="29"/>
      <c r="O230" s="29"/>
      <c r="P230" s="29"/>
      <c r="Q230" s="29"/>
      <c r="R230" s="29"/>
      <c r="S230" s="29"/>
      <c r="T230" s="29"/>
      <c r="U230" s="29"/>
      <c r="V230" s="29"/>
      <c r="W230" s="29"/>
      <c r="X230" s="29"/>
    </row>
    <row r="231" customFormat="false" ht="44" hidden="false" customHeight="true" outlineLevel="0" collapsed="false">
      <c r="A231" s="29"/>
      <c r="B231" s="39"/>
      <c r="C231" s="39"/>
      <c r="D231" s="29"/>
      <c r="E231" s="29"/>
      <c r="F231" s="29"/>
      <c r="G231" s="29"/>
      <c r="H231" s="34"/>
      <c r="I231" s="34"/>
      <c r="J231" s="34"/>
      <c r="K231" s="34"/>
      <c r="L231" s="34"/>
      <c r="M231" s="35" t="str">
        <f aca="false">IF(A231="",IF(SUMPRODUCT(--(B231:L231&lt;&gt;""))+SUMPRODUCT(--(N231:X231&lt;&gt;""))&gt;0,"Missing ID",""),IF(COUNTIF($A$8:$A$307,A231)&gt;1,"Duplicate ID",IF(OR(B231="",C231="",V231="",W231=""),"Source incomplete",IF(AND(H231&lt;&gt;"Pass",H231&lt;&gt;"Fail",H231&lt;&gt;"Unresolved"),"Choose compliance",IF(AND(I231&lt;&gt;"Not started",I231&lt;&gt;"In progress",I231&lt;&gt;"In review",I231&lt;&gt;"Complete"),"Choose progress",IF(AND(OR(H231="Pass",I231="Complete"),OR(J231="",K231="",L231="")),"Evidence or file missing",""))))))</f>
        <v/>
      </c>
      <c r="N231" s="29"/>
      <c r="O231" s="29"/>
      <c r="P231" s="29"/>
      <c r="Q231" s="29"/>
      <c r="R231" s="29"/>
      <c r="S231" s="29"/>
      <c r="T231" s="29"/>
      <c r="U231" s="29"/>
      <c r="V231" s="29"/>
      <c r="W231" s="29"/>
      <c r="X231" s="29"/>
    </row>
    <row r="232" customFormat="false" ht="44" hidden="false" customHeight="true" outlineLevel="0" collapsed="false">
      <c r="A232" s="29"/>
      <c r="B232" s="39"/>
      <c r="C232" s="39"/>
      <c r="D232" s="29"/>
      <c r="E232" s="29"/>
      <c r="F232" s="29"/>
      <c r="G232" s="29"/>
      <c r="H232" s="34"/>
      <c r="I232" s="34"/>
      <c r="J232" s="34"/>
      <c r="K232" s="34"/>
      <c r="L232" s="34"/>
      <c r="M232" s="35" t="str">
        <f aca="false">IF(A232="",IF(SUMPRODUCT(--(B232:L232&lt;&gt;""))+SUMPRODUCT(--(N232:X232&lt;&gt;""))&gt;0,"Missing ID",""),IF(COUNTIF($A$8:$A$307,A232)&gt;1,"Duplicate ID",IF(OR(B232="",C232="",V232="",W232=""),"Source incomplete",IF(AND(H232&lt;&gt;"Pass",H232&lt;&gt;"Fail",H232&lt;&gt;"Unresolved"),"Choose compliance",IF(AND(I232&lt;&gt;"Not started",I232&lt;&gt;"In progress",I232&lt;&gt;"In review",I232&lt;&gt;"Complete"),"Choose progress",IF(AND(OR(H232="Pass",I232="Complete"),OR(J232="",K232="",L232="")),"Evidence or file missing",""))))))</f>
        <v/>
      </c>
      <c r="N232" s="29"/>
      <c r="O232" s="29"/>
      <c r="P232" s="29"/>
      <c r="Q232" s="29"/>
      <c r="R232" s="29"/>
      <c r="S232" s="29"/>
      <c r="T232" s="29"/>
      <c r="U232" s="29"/>
      <c r="V232" s="29"/>
      <c r="W232" s="29"/>
      <c r="X232" s="29"/>
    </row>
    <row r="233" customFormat="false" ht="44" hidden="false" customHeight="true" outlineLevel="0" collapsed="false">
      <c r="A233" s="29"/>
      <c r="B233" s="39"/>
      <c r="C233" s="39"/>
      <c r="D233" s="29"/>
      <c r="E233" s="29"/>
      <c r="F233" s="29"/>
      <c r="G233" s="29"/>
      <c r="H233" s="34"/>
      <c r="I233" s="34"/>
      <c r="J233" s="34"/>
      <c r="K233" s="34"/>
      <c r="L233" s="34"/>
      <c r="M233" s="35" t="str">
        <f aca="false">IF(A233="",IF(SUMPRODUCT(--(B233:L233&lt;&gt;""))+SUMPRODUCT(--(N233:X233&lt;&gt;""))&gt;0,"Missing ID",""),IF(COUNTIF($A$8:$A$307,A233)&gt;1,"Duplicate ID",IF(OR(B233="",C233="",V233="",W233=""),"Source incomplete",IF(AND(H233&lt;&gt;"Pass",H233&lt;&gt;"Fail",H233&lt;&gt;"Unresolved"),"Choose compliance",IF(AND(I233&lt;&gt;"Not started",I233&lt;&gt;"In progress",I233&lt;&gt;"In review",I233&lt;&gt;"Complete"),"Choose progress",IF(AND(OR(H233="Pass",I233="Complete"),OR(J233="",K233="",L233="")),"Evidence or file missing",""))))))</f>
        <v/>
      </c>
      <c r="N233" s="29"/>
      <c r="O233" s="29"/>
      <c r="P233" s="29"/>
      <c r="Q233" s="29"/>
      <c r="R233" s="29"/>
      <c r="S233" s="29"/>
      <c r="T233" s="29"/>
      <c r="U233" s="29"/>
      <c r="V233" s="29"/>
      <c r="W233" s="29"/>
      <c r="X233" s="29"/>
    </row>
    <row r="234" customFormat="false" ht="44" hidden="false" customHeight="true" outlineLevel="0" collapsed="false">
      <c r="A234" s="29"/>
      <c r="B234" s="39"/>
      <c r="C234" s="39"/>
      <c r="D234" s="29"/>
      <c r="E234" s="29"/>
      <c r="F234" s="29"/>
      <c r="G234" s="29"/>
      <c r="H234" s="34"/>
      <c r="I234" s="34"/>
      <c r="J234" s="34"/>
      <c r="K234" s="34"/>
      <c r="L234" s="34"/>
      <c r="M234" s="35" t="str">
        <f aca="false">IF(A234="",IF(SUMPRODUCT(--(B234:L234&lt;&gt;""))+SUMPRODUCT(--(N234:X234&lt;&gt;""))&gt;0,"Missing ID",""),IF(COUNTIF($A$8:$A$307,A234)&gt;1,"Duplicate ID",IF(OR(B234="",C234="",V234="",W234=""),"Source incomplete",IF(AND(H234&lt;&gt;"Pass",H234&lt;&gt;"Fail",H234&lt;&gt;"Unresolved"),"Choose compliance",IF(AND(I234&lt;&gt;"Not started",I234&lt;&gt;"In progress",I234&lt;&gt;"In review",I234&lt;&gt;"Complete"),"Choose progress",IF(AND(OR(H234="Pass",I234="Complete"),OR(J234="",K234="",L234="")),"Evidence or file missing",""))))))</f>
        <v/>
      </c>
      <c r="N234" s="29"/>
      <c r="O234" s="29"/>
      <c r="P234" s="29"/>
      <c r="Q234" s="29"/>
      <c r="R234" s="29"/>
      <c r="S234" s="29"/>
      <c r="T234" s="29"/>
      <c r="U234" s="29"/>
      <c r="V234" s="29"/>
      <c r="W234" s="29"/>
      <c r="X234" s="29"/>
    </row>
    <row r="235" customFormat="false" ht="44" hidden="false" customHeight="true" outlineLevel="0" collapsed="false">
      <c r="A235" s="29"/>
      <c r="B235" s="39"/>
      <c r="C235" s="39"/>
      <c r="D235" s="29"/>
      <c r="E235" s="29"/>
      <c r="F235" s="29"/>
      <c r="G235" s="29"/>
      <c r="H235" s="34"/>
      <c r="I235" s="34"/>
      <c r="J235" s="34"/>
      <c r="K235" s="34"/>
      <c r="L235" s="34"/>
      <c r="M235" s="35" t="str">
        <f aca="false">IF(A235="",IF(SUMPRODUCT(--(B235:L235&lt;&gt;""))+SUMPRODUCT(--(N235:X235&lt;&gt;""))&gt;0,"Missing ID",""),IF(COUNTIF($A$8:$A$307,A235)&gt;1,"Duplicate ID",IF(OR(B235="",C235="",V235="",W235=""),"Source incomplete",IF(AND(H235&lt;&gt;"Pass",H235&lt;&gt;"Fail",H235&lt;&gt;"Unresolved"),"Choose compliance",IF(AND(I235&lt;&gt;"Not started",I235&lt;&gt;"In progress",I235&lt;&gt;"In review",I235&lt;&gt;"Complete"),"Choose progress",IF(AND(OR(H235="Pass",I235="Complete"),OR(J235="",K235="",L235="")),"Evidence or file missing",""))))))</f>
        <v/>
      </c>
      <c r="N235" s="29"/>
      <c r="O235" s="29"/>
      <c r="P235" s="29"/>
      <c r="Q235" s="29"/>
      <c r="R235" s="29"/>
      <c r="S235" s="29"/>
      <c r="T235" s="29"/>
      <c r="U235" s="29"/>
      <c r="V235" s="29"/>
      <c r="W235" s="29"/>
      <c r="X235" s="29"/>
    </row>
    <row r="236" customFormat="false" ht="44" hidden="false" customHeight="true" outlineLevel="0" collapsed="false">
      <c r="A236" s="29"/>
      <c r="B236" s="39"/>
      <c r="C236" s="39"/>
      <c r="D236" s="29"/>
      <c r="E236" s="29"/>
      <c r="F236" s="29"/>
      <c r="G236" s="29"/>
      <c r="H236" s="34"/>
      <c r="I236" s="34"/>
      <c r="J236" s="34"/>
      <c r="K236" s="34"/>
      <c r="L236" s="34"/>
      <c r="M236" s="35" t="str">
        <f aca="false">IF(A236="",IF(SUMPRODUCT(--(B236:L236&lt;&gt;""))+SUMPRODUCT(--(N236:X236&lt;&gt;""))&gt;0,"Missing ID",""),IF(COUNTIF($A$8:$A$307,A236)&gt;1,"Duplicate ID",IF(OR(B236="",C236="",V236="",W236=""),"Source incomplete",IF(AND(H236&lt;&gt;"Pass",H236&lt;&gt;"Fail",H236&lt;&gt;"Unresolved"),"Choose compliance",IF(AND(I236&lt;&gt;"Not started",I236&lt;&gt;"In progress",I236&lt;&gt;"In review",I236&lt;&gt;"Complete"),"Choose progress",IF(AND(OR(H236="Pass",I236="Complete"),OR(J236="",K236="",L236="")),"Evidence or file missing",""))))))</f>
        <v/>
      </c>
      <c r="N236" s="29"/>
      <c r="O236" s="29"/>
      <c r="P236" s="29"/>
      <c r="Q236" s="29"/>
      <c r="R236" s="29"/>
      <c r="S236" s="29"/>
      <c r="T236" s="29"/>
      <c r="U236" s="29"/>
      <c r="V236" s="29"/>
      <c r="W236" s="29"/>
      <c r="X236" s="29"/>
    </row>
    <row r="237" customFormat="false" ht="44" hidden="false" customHeight="true" outlineLevel="0" collapsed="false">
      <c r="A237" s="29"/>
      <c r="B237" s="39"/>
      <c r="C237" s="39"/>
      <c r="D237" s="29"/>
      <c r="E237" s="29"/>
      <c r="F237" s="29"/>
      <c r="G237" s="29"/>
      <c r="H237" s="34"/>
      <c r="I237" s="34"/>
      <c r="J237" s="34"/>
      <c r="K237" s="34"/>
      <c r="L237" s="34"/>
      <c r="M237" s="35" t="str">
        <f aca="false">IF(A237="",IF(SUMPRODUCT(--(B237:L237&lt;&gt;""))+SUMPRODUCT(--(N237:X237&lt;&gt;""))&gt;0,"Missing ID",""),IF(COUNTIF($A$8:$A$307,A237)&gt;1,"Duplicate ID",IF(OR(B237="",C237="",V237="",W237=""),"Source incomplete",IF(AND(H237&lt;&gt;"Pass",H237&lt;&gt;"Fail",H237&lt;&gt;"Unresolved"),"Choose compliance",IF(AND(I237&lt;&gt;"Not started",I237&lt;&gt;"In progress",I237&lt;&gt;"In review",I237&lt;&gt;"Complete"),"Choose progress",IF(AND(OR(H237="Pass",I237="Complete"),OR(J237="",K237="",L237="")),"Evidence or file missing",""))))))</f>
        <v/>
      </c>
      <c r="N237" s="29"/>
      <c r="O237" s="29"/>
      <c r="P237" s="29"/>
      <c r="Q237" s="29"/>
      <c r="R237" s="29"/>
      <c r="S237" s="29"/>
      <c r="T237" s="29"/>
      <c r="U237" s="29"/>
      <c r="V237" s="29"/>
      <c r="W237" s="29"/>
      <c r="X237" s="29"/>
    </row>
    <row r="238" customFormat="false" ht="44" hidden="false" customHeight="true" outlineLevel="0" collapsed="false">
      <c r="A238" s="29"/>
      <c r="B238" s="39"/>
      <c r="C238" s="39"/>
      <c r="D238" s="29"/>
      <c r="E238" s="29"/>
      <c r="F238" s="29"/>
      <c r="G238" s="29"/>
      <c r="H238" s="34"/>
      <c r="I238" s="34"/>
      <c r="J238" s="34"/>
      <c r="K238" s="34"/>
      <c r="L238" s="34"/>
      <c r="M238" s="35" t="str">
        <f aca="false">IF(A238="",IF(SUMPRODUCT(--(B238:L238&lt;&gt;""))+SUMPRODUCT(--(N238:X238&lt;&gt;""))&gt;0,"Missing ID",""),IF(COUNTIF($A$8:$A$307,A238)&gt;1,"Duplicate ID",IF(OR(B238="",C238="",V238="",W238=""),"Source incomplete",IF(AND(H238&lt;&gt;"Pass",H238&lt;&gt;"Fail",H238&lt;&gt;"Unresolved"),"Choose compliance",IF(AND(I238&lt;&gt;"Not started",I238&lt;&gt;"In progress",I238&lt;&gt;"In review",I238&lt;&gt;"Complete"),"Choose progress",IF(AND(OR(H238="Pass",I238="Complete"),OR(J238="",K238="",L238="")),"Evidence or file missing",""))))))</f>
        <v/>
      </c>
      <c r="N238" s="29"/>
      <c r="O238" s="29"/>
      <c r="P238" s="29"/>
      <c r="Q238" s="29"/>
      <c r="R238" s="29"/>
      <c r="S238" s="29"/>
      <c r="T238" s="29"/>
      <c r="U238" s="29"/>
      <c r="V238" s="29"/>
      <c r="W238" s="29"/>
      <c r="X238" s="29"/>
    </row>
    <row r="239" customFormat="false" ht="44" hidden="false" customHeight="true" outlineLevel="0" collapsed="false">
      <c r="A239" s="29"/>
      <c r="B239" s="39"/>
      <c r="C239" s="39"/>
      <c r="D239" s="29"/>
      <c r="E239" s="29"/>
      <c r="F239" s="29"/>
      <c r="G239" s="29"/>
      <c r="H239" s="34"/>
      <c r="I239" s="34"/>
      <c r="J239" s="34"/>
      <c r="K239" s="34"/>
      <c r="L239" s="34"/>
      <c r="M239" s="35" t="str">
        <f aca="false">IF(A239="",IF(SUMPRODUCT(--(B239:L239&lt;&gt;""))+SUMPRODUCT(--(N239:X239&lt;&gt;""))&gt;0,"Missing ID",""),IF(COUNTIF($A$8:$A$307,A239)&gt;1,"Duplicate ID",IF(OR(B239="",C239="",V239="",W239=""),"Source incomplete",IF(AND(H239&lt;&gt;"Pass",H239&lt;&gt;"Fail",H239&lt;&gt;"Unresolved"),"Choose compliance",IF(AND(I239&lt;&gt;"Not started",I239&lt;&gt;"In progress",I239&lt;&gt;"In review",I239&lt;&gt;"Complete"),"Choose progress",IF(AND(OR(H239="Pass",I239="Complete"),OR(J239="",K239="",L239="")),"Evidence or file missing",""))))))</f>
        <v/>
      </c>
      <c r="N239" s="29"/>
      <c r="O239" s="29"/>
      <c r="P239" s="29"/>
      <c r="Q239" s="29"/>
      <c r="R239" s="29"/>
      <c r="S239" s="29"/>
      <c r="T239" s="29"/>
      <c r="U239" s="29"/>
      <c r="V239" s="29"/>
      <c r="W239" s="29"/>
      <c r="X239" s="29"/>
    </row>
    <row r="240" customFormat="false" ht="44" hidden="false" customHeight="true" outlineLevel="0" collapsed="false">
      <c r="A240" s="29"/>
      <c r="B240" s="39"/>
      <c r="C240" s="39"/>
      <c r="D240" s="29"/>
      <c r="E240" s="29"/>
      <c r="F240" s="29"/>
      <c r="G240" s="29"/>
      <c r="H240" s="34"/>
      <c r="I240" s="34"/>
      <c r="J240" s="34"/>
      <c r="K240" s="34"/>
      <c r="L240" s="34"/>
      <c r="M240" s="35" t="str">
        <f aca="false">IF(A240="",IF(SUMPRODUCT(--(B240:L240&lt;&gt;""))+SUMPRODUCT(--(N240:X240&lt;&gt;""))&gt;0,"Missing ID",""),IF(COUNTIF($A$8:$A$307,A240)&gt;1,"Duplicate ID",IF(OR(B240="",C240="",V240="",W240=""),"Source incomplete",IF(AND(H240&lt;&gt;"Pass",H240&lt;&gt;"Fail",H240&lt;&gt;"Unresolved"),"Choose compliance",IF(AND(I240&lt;&gt;"Not started",I240&lt;&gt;"In progress",I240&lt;&gt;"In review",I240&lt;&gt;"Complete"),"Choose progress",IF(AND(OR(H240="Pass",I240="Complete"),OR(J240="",K240="",L240="")),"Evidence or file missing",""))))))</f>
        <v/>
      </c>
      <c r="N240" s="29"/>
      <c r="O240" s="29"/>
      <c r="P240" s="29"/>
      <c r="Q240" s="29"/>
      <c r="R240" s="29"/>
      <c r="S240" s="29"/>
      <c r="T240" s="29"/>
      <c r="U240" s="29"/>
      <c r="V240" s="29"/>
      <c r="W240" s="29"/>
      <c r="X240" s="29"/>
    </row>
    <row r="241" customFormat="false" ht="44" hidden="false" customHeight="true" outlineLevel="0" collapsed="false">
      <c r="A241" s="29"/>
      <c r="B241" s="39"/>
      <c r="C241" s="39"/>
      <c r="D241" s="29"/>
      <c r="E241" s="29"/>
      <c r="F241" s="29"/>
      <c r="G241" s="29"/>
      <c r="H241" s="34"/>
      <c r="I241" s="34"/>
      <c r="J241" s="34"/>
      <c r="K241" s="34"/>
      <c r="L241" s="34"/>
      <c r="M241" s="35" t="str">
        <f aca="false">IF(A241="",IF(SUMPRODUCT(--(B241:L241&lt;&gt;""))+SUMPRODUCT(--(N241:X241&lt;&gt;""))&gt;0,"Missing ID",""),IF(COUNTIF($A$8:$A$307,A241)&gt;1,"Duplicate ID",IF(OR(B241="",C241="",V241="",W241=""),"Source incomplete",IF(AND(H241&lt;&gt;"Pass",H241&lt;&gt;"Fail",H241&lt;&gt;"Unresolved"),"Choose compliance",IF(AND(I241&lt;&gt;"Not started",I241&lt;&gt;"In progress",I241&lt;&gt;"In review",I241&lt;&gt;"Complete"),"Choose progress",IF(AND(OR(H241="Pass",I241="Complete"),OR(J241="",K241="",L241="")),"Evidence or file missing",""))))))</f>
        <v/>
      </c>
      <c r="N241" s="29"/>
      <c r="O241" s="29"/>
      <c r="P241" s="29"/>
      <c r="Q241" s="29"/>
      <c r="R241" s="29"/>
      <c r="S241" s="29"/>
      <c r="T241" s="29"/>
      <c r="U241" s="29"/>
      <c r="V241" s="29"/>
      <c r="W241" s="29"/>
      <c r="X241" s="29"/>
    </row>
    <row r="242" customFormat="false" ht="44" hidden="false" customHeight="true" outlineLevel="0" collapsed="false">
      <c r="A242" s="29"/>
      <c r="B242" s="39"/>
      <c r="C242" s="39"/>
      <c r="D242" s="29"/>
      <c r="E242" s="29"/>
      <c r="F242" s="29"/>
      <c r="G242" s="29"/>
      <c r="H242" s="34"/>
      <c r="I242" s="34"/>
      <c r="J242" s="34"/>
      <c r="K242" s="34"/>
      <c r="L242" s="34"/>
      <c r="M242" s="35" t="str">
        <f aca="false">IF(A242="",IF(SUMPRODUCT(--(B242:L242&lt;&gt;""))+SUMPRODUCT(--(N242:X242&lt;&gt;""))&gt;0,"Missing ID",""),IF(COUNTIF($A$8:$A$307,A242)&gt;1,"Duplicate ID",IF(OR(B242="",C242="",V242="",W242=""),"Source incomplete",IF(AND(H242&lt;&gt;"Pass",H242&lt;&gt;"Fail",H242&lt;&gt;"Unresolved"),"Choose compliance",IF(AND(I242&lt;&gt;"Not started",I242&lt;&gt;"In progress",I242&lt;&gt;"In review",I242&lt;&gt;"Complete"),"Choose progress",IF(AND(OR(H242="Pass",I242="Complete"),OR(J242="",K242="",L242="")),"Evidence or file missing",""))))))</f>
        <v/>
      </c>
      <c r="N242" s="29"/>
      <c r="O242" s="29"/>
      <c r="P242" s="29"/>
      <c r="Q242" s="29"/>
      <c r="R242" s="29"/>
      <c r="S242" s="29"/>
      <c r="T242" s="29"/>
      <c r="U242" s="29"/>
      <c r="V242" s="29"/>
      <c r="W242" s="29"/>
      <c r="X242" s="29"/>
    </row>
    <row r="243" customFormat="false" ht="44" hidden="false" customHeight="true" outlineLevel="0" collapsed="false">
      <c r="A243" s="29"/>
      <c r="B243" s="39"/>
      <c r="C243" s="39"/>
      <c r="D243" s="29"/>
      <c r="E243" s="29"/>
      <c r="F243" s="29"/>
      <c r="G243" s="29"/>
      <c r="H243" s="34"/>
      <c r="I243" s="34"/>
      <c r="J243" s="34"/>
      <c r="K243" s="34"/>
      <c r="L243" s="34"/>
      <c r="M243" s="35" t="str">
        <f aca="false">IF(A243="",IF(SUMPRODUCT(--(B243:L243&lt;&gt;""))+SUMPRODUCT(--(N243:X243&lt;&gt;""))&gt;0,"Missing ID",""),IF(COUNTIF($A$8:$A$307,A243)&gt;1,"Duplicate ID",IF(OR(B243="",C243="",V243="",W243=""),"Source incomplete",IF(AND(H243&lt;&gt;"Pass",H243&lt;&gt;"Fail",H243&lt;&gt;"Unresolved"),"Choose compliance",IF(AND(I243&lt;&gt;"Not started",I243&lt;&gt;"In progress",I243&lt;&gt;"In review",I243&lt;&gt;"Complete"),"Choose progress",IF(AND(OR(H243="Pass",I243="Complete"),OR(J243="",K243="",L243="")),"Evidence or file missing",""))))))</f>
        <v/>
      </c>
      <c r="N243" s="29"/>
      <c r="O243" s="29"/>
      <c r="P243" s="29"/>
      <c r="Q243" s="29"/>
      <c r="R243" s="29"/>
      <c r="S243" s="29"/>
      <c r="T243" s="29"/>
      <c r="U243" s="29"/>
      <c r="V243" s="29"/>
      <c r="W243" s="29"/>
      <c r="X243" s="29"/>
    </row>
    <row r="244" customFormat="false" ht="44" hidden="false" customHeight="true" outlineLevel="0" collapsed="false">
      <c r="A244" s="29"/>
      <c r="B244" s="39"/>
      <c r="C244" s="39"/>
      <c r="D244" s="29"/>
      <c r="E244" s="29"/>
      <c r="F244" s="29"/>
      <c r="G244" s="29"/>
      <c r="H244" s="34"/>
      <c r="I244" s="34"/>
      <c r="J244" s="34"/>
      <c r="K244" s="34"/>
      <c r="L244" s="34"/>
      <c r="M244" s="35" t="str">
        <f aca="false">IF(A244="",IF(SUMPRODUCT(--(B244:L244&lt;&gt;""))+SUMPRODUCT(--(N244:X244&lt;&gt;""))&gt;0,"Missing ID",""),IF(COUNTIF($A$8:$A$307,A244)&gt;1,"Duplicate ID",IF(OR(B244="",C244="",V244="",W244=""),"Source incomplete",IF(AND(H244&lt;&gt;"Pass",H244&lt;&gt;"Fail",H244&lt;&gt;"Unresolved"),"Choose compliance",IF(AND(I244&lt;&gt;"Not started",I244&lt;&gt;"In progress",I244&lt;&gt;"In review",I244&lt;&gt;"Complete"),"Choose progress",IF(AND(OR(H244="Pass",I244="Complete"),OR(J244="",K244="",L244="")),"Evidence or file missing",""))))))</f>
        <v/>
      </c>
      <c r="N244" s="29"/>
      <c r="O244" s="29"/>
      <c r="P244" s="29"/>
      <c r="Q244" s="29"/>
      <c r="R244" s="29"/>
      <c r="S244" s="29"/>
      <c r="T244" s="29"/>
      <c r="U244" s="29"/>
      <c r="V244" s="29"/>
      <c r="W244" s="29"/>
      <c r="X244" s="29"/>
    </row>
    <row r="245" customFormat="false" ht="44" hidden="false" customHeight="true" outlineLevel="0" collapsed="false">
      <c r="A245" s="29"/>
      <c r="B245" s="39"/>
      <c r="C245" s="39"/>
      <c r="D245" s="29"/>
      <c r="E245" s="29"/>
      <c r="F245" s="29"/>
      <c r="G245" s="29"/>
      <c r="H245" s="34"/>
      <c r="I245" s="34"/>
      <c r="J245" s="34"/>
      <c r="K245" s="34"/>
      <c r="L245" s="34"/>
      <c r="M245" s="35" t="str">
        <f aca="false">IF(A245="",IF(SUMPRODUCT(--(B245:L245&lt;&gt;""))+SUMPRODUCT(--(N245:X245&lt;&gt;""))&gt;0,"Missing ID",""),IF(COUNTIF($A$8:$A$307,A245)&gt;1,"Duplicate ID",IF(OR(B245="",C245="",V245="",W245=""),"Source incomplete",IF(AND(H245&lt;&gt;"Pass",H245&lt;&gt;"Fail",H245&lt;&gt;"Unresolved"),"Choose compliance",IF(AND(I245&lt;&gt;"Not started",I245&lt;&gt;"In progress",I245&lt;&gt;"In review",I245&lt;&gt;"Complete"),"Choose progress",IF(AND(OR(H245="Pass",I245="Complete"),OR(J245="",K245="",L245="")),"Evidence or file missing",""))))))</f>
        <v/>
      </c>
      <c r="N245" s="29"/>
      <c r="O245" s="29"/>
      <c r="P245" s="29"/>
      <c r="Q245" s="29"/>
      <c r="R245" s="29"/>
      <c r="S245" s="29"/>
      <c r="T245" s="29"/>
      <c r="U245" s="29"/>
      <c r="V245" s="29"/>
      <c r="W245" s="29"/>
      <c r="X245" s="29"/>
    </row>
    <row r="246" customFormat="false" ht="44" hidden="false" customHeight="true" outlineLevel="0" collapsed="false">
      <c r="A246" s="29"/>
      <c r="B246" s="39"/>
      <c r="C246" s="39"/>
      <c r="D246" s="29"/>
      <c r="E246" s="29"/>
      <c r="F246" s="29"/>
      <c r="G246" s="29"/>
      <c r="H246" s="34"/>
      <c r="I246" s="34"/>
      <c r="J246" s="34"/>
      <c r="K246" s="34"/>
      <c r="L246" s="34"/>
      <c r="M246" s="35" t="str">
        <f aca="false">IF(A246="",IF(SUMPRODUCT(--(B246:L246&lt;&gt;""))+SUMPRODUCT(--(N246:X246&lt;&gt;""))&gt;0,"Missing ID",""),IF(COUNTIF($A$8:$A$307,A246)&gt;1,"Duplicate ID",IF(OR(B246="",C246="",V246="",W246=""),"Source incomplete",IF(AND(H246&lt;&gt;"Pass",H246&lt;&gt;"Fail",H246&lt;&gt;"Unresolved"),"Choose compliance",IF(AND(I246&lt;&gt;"Not started",I246&lt;&gt;"In progress",I246&lt;&gt;"In review",I246&lt;&gt;"Complete"),"Choose progress",IF(AND(OR(H246="Pass",I246="Complete"),OR(J246="",K246="",L246="")),"Evidence or file missing",""))))))</f>
        <v/>
      </c>
      <c r="N246" s="29"/>
      <c r="O246" s="29"/>
      <c r="P246" s="29"/>
      <c r="Q246" s="29"/>
      <c r="R246" s="29"/>
      <c r="S246" s="29"/>
      <c r="T246" s="29"/>
      <c r="U246" s="29"/>
      <c r="V246" s="29"/>
      <c r="W246" s="29"/>
      <c r="X246" s="29"/>
    </row>
    <row r="247" customFormat="false" ht="44" hidden="false" customHeight="true" outlineLevel="0" collapsed="false">
      <c r="A247" s="29"/>
      <c r="B247" s="39"/>
      <c r="C247" s="39"/>
      <c r="D247" s="29"/>
      <c r="E247" s="29"/>
      <c r="F247" s="29"/>
      <c r="G247" s="29"/>
      <c r="H247" s="34"/>
      <c r="I247" s="34"/>
      <c r="J247" s="34"/>
      <c r="K247" s="34"/>
      <c r="L247" s="34"/>
      <c r="M247" s="35" t="str">
        <f aca="false">IF(A247="",IF(SUMPRODUCT(--(B247:L247&lt;&gt;""))+SUMPRODUCT(--(N247:X247&lt;&gt;""))&gt;0,"Missing ID",""),IF(COUNTIF($A$8:$A$307,A247)&gt;1,"Duplicate ID",IF(OR(B247="",C247="",V247="",W247=""),"Source incomplete",IF(AND(H247&lt;&gt;"Pass",H247&lt;&gt;"Fail",H247&lt;&gt;"Unresolved"),"Choose compliance",IF(AND(I247&lt;&gt;"Not started",I247&lt;&gt;"In progress",I247&lt;&gt;"In review",I247&lt;&gt;"Complete"),"Choose progress",IF(AND(OR(H247="Pass",I247="Complete"),OR(J247="",K247="",L247="")),"Evidence or file missing",""))))))</f>
        <v/>
      </c>
      <c r="N247" s="29"/>
      <c r="O247" s="29"/>
      <c r="P247" s="29"/>
      <c r="Q247" s="29"/>
      <c r="R247" s="29"/>
      <c r="S247" s="29"/>
      <c r="T247" s="29"/>
      <c r="U247" s="29"/>
      <c r="V247" s="29"/>
      <c r="W247" s="29"/>
      <c r="X247" s="29"/>
    </row>
    <row r="248" customFormat="false" ht="44" hidden="false" customHeight="true" outlineLevel="0" collapsed="false">
      <c r="A248" s="29"/>
      <c r="B248" s="39"/>
      <c r="C248" s="39"/>
      <c r="D248" s="29"/>
      <c r="E248" s="29"/>
      <c r="F248" s="29"/>
      <c r="G248" s="29"/>
      <c r="H248" s="34"/>
      <c r="I248" s="34"/>
      <c r="J248" s="34"/>
      <c r="K248" s="34"/>
      <c r="L248" s="34"/>
      <c r="M248" s="35" t="str">
        <f aca="false">IF(A248="",IF(SUMPRODUCT(--(B248:L248&lt;&gt;""))+SUMPRODUCT(--(N248:X248&lt;&gt;""))&gt;0,"Missing ID",""),IF(COUNTIF($A$8:$A$307,A248)&gt;1,"Duplicate ID",IF(OR(B248="",C248="",V248="",W248=""),"Source incomplete",IF(AND(H248&lt;&gt;"Pass",H248&lt;&gt;"Fail",H248&lt;&gt;"Unresolved"),"Choose compliance",IF(AND(I248&lt;&gt;"Not started",I248&lt;&gt;"In progress",I248&lt;&gt;"In review",I248&lt;&gt;"Complete"),"Choose progress",IF(AND(OR(H248="Pass",I248="Complete"),OR(J248="",K248="",L248="")),"Evidence or file missing",""))))))</f>
        <v/>
      </c>
      <c r="N248" s="29"/>
      <c r="O248" s="29"/>
      <c r="P248" s="29"/>
      <c r="Q248" s="29"/>
      <c r="R248" s="29"/>
      <c r="S248" s="29"/>
      <c r="T248" s="29"/>
      <c r="U248" s="29"/>
      <c r="V248" s="29"/>
      <c r="W248" s="29"/>
      <c r="X248" s="29"/>
    </row>
    <row r="249" customFormat="false" ht="44" hidden="false" customHeight="true" outlineLevel="0" collapsed="false">
      <c r="A249" s="29"/>
      <c r="B249" s="39"/>
      <c r="C249" s="39"/>
      <c r="D249" s="29"/>
      <c r="E249" s="29"/>
      <c r="F249" s="29"/>
      <c r="G249" s="29"/>
      <c r="H249" s="34"/>
      <c r="I249" s="34"/>
      <c r="J249" s="34"/>
      <c r="K249" s="34"/>
      <c r="L249" s="34"/>
      <c r="M249" s="35" t="str">
        <f aca="false">IF(A249="",IF(SUMPRODUCT(--(B249:L249&lt;&gt;""))+SUMPRODUCT(--(N249:X249&lt;&gt;""))&gt;0,"Missing ID",""),IF(COUNTIF($A$8:$A$307,A249)&gt;1,"Duplicate ID",IF(OR(B249="",C249="",V249="",W249=""),"Source incomplete",IF(AND(H249&lt;&gt;"Pass",H249&lt;&gt;"Fail",H249&lt;&gt;"Unresolved"),"Choose compliance",IF(AND(I249&lt;&gt;"Not started",I249&lt;&gt;"In progress",I249&lt;&gt;"In review",I249&lt;&gt;"Complete"),"Choose progress",IF(AND(OR(H249="Pass",I249="Complete"),OR(J249="",K249="",L249="")),"Evidence or file missing",""))))))</f>
        <v/>
      </c>
      <c r="N249" s="29"/>
      <c r="O249" s="29"/>
      <c r="P249" s="29"/>
      <c r="Q249" s="29"/>
      <c r="R249" s="29"/>
      <c r="S249" s="29"/>
      <c r="T249" s="29"/>
      <c r="U249" s="29"/>
      <c r="V249" s="29"/>
      <c r="W249" s="29"/>
      <c r="X249" s="29"/>
    </row>
    <row r="250" customFormat="false" ht="44" hidden="false" customHeight="true" outlineLevel="0" collapsed="false">
      <c r="A250" s="29"/>
      <c r="B250" s="39"/>
      <c r="C250" s="39"/>
      <c r="D250" s="29"/>
      <c r="E250" s="29"/>
      <c r="F250" s="29"/>
      <c r="G250" s="29"/>
      <c r="H250" s="34"/>
      <c r="I250" s="34"/>
      <c r="J250" s="34"/>
      <c r="K250" s="34"/>
      <c r="L250" s="34"/>
      <c r="M250" s="35" t="str">
        <f aca="false">IF(A250="",IF(SUMPRODUCT(--(B250:L250&lt;&gt;""))+SUMPRODUCT(--(N250:X250&lt;&gt;""))&gt;0,"Missing ID",""),IF(COUNTIF($A$8:$A$307,A250)&gt;1,"Duplicate ID",IF(OR(B250="",C250="",V250="",W250=""),"Source incomplete",IF(AND(H250&lt;&gt;"Pass",H250&lt;&gt;"Fail",H250&lt;&gt;"Unresolved"),"Choose compliance",IF(AND(I250&lt;&gt;"Not started",I250&lt;&gt;"In progress",I250&lt;&gt;"In review",I250&lt;&gt;"Complete"),"Choose progress",IF(AND(OR(H250="Pass",I250="Complete"),OR(J250="",K250="",L250="")),"Evidence or file missing",""))))))</f>
        <v/>
      </c>
      <c r="N250" s="29"/>
      <c r="O250" s="29"/>
      <c r="P250" s="29"/>
      <c r="Q250" s="29"/>
      <c r="R250" s="29"/>
      <c r="S250" s="29"/>
      <c r="T250" s="29"/>
      <c r="U250" s="29"/>
      <c r="V250" s="29"/>
      <c r="W250" s="29"/>
      <c r="X250" s="29"/>
    </row>
    <row r="251" customFormat="false" ht="44" hidden="false" customHeight="true" outlineLevel="0" collapsed="false">
      <c r="A251" s="29"/>
      <c r="B251" s="39"/>
      <c r="C251" s="39"/>
      <c r="D251" s="29"/>
      <c r="E251" s="29"/>
      <c r="F251" s="29"/>
      <c r="G251" s="29"/>
      <c r="H251" s="34"/>
      <c r="I251" s="34"/>
      <c r="J251" s="34"/>
      <c r="K251" s="34"/>
      <c r="L251" s="34"/>
      <c r="M251" s="35" t="str">
        <f aca="false">IF(A251="",IF(SUMPRODUCT(--(B251:L251&lt;&gt;""))+SUMPRODUCT(--(N251:X251&lt;&gt;""))&gt;0,"Missing ID",""),IF(COUNTIF($A$8:$A$307,A251)&gt;1,"Duplicate ID",IF(OR(B251="",C251="",V251="",W251=""),"Source incomplete",IF(AND(H251&lt;&gt;"Pass",H251&lt;&gt;"Fail",H251&lt;&gt;"Unresolved"),"Choose compliance",IF(AND(I251&lt;&gt;"Not started",I251&lt;&gt;"In progress",I251&lt;&gt;"In review",I251&lt;&gt;"Complete"),"Choose progress",IF(AND(OR(H251="Pass",I251="Complete"),OR(J251="",K251="",L251="")),"Evidence or file missing",""))))))</f>
        <v/>
      </c>
      <c r="N251" s="29"/>
      <c r="O251" s="29"/>
      <c r="P251" s="29"/>
      <c r="Q251" s="29"/>
      <c r="R251" s="29"/>
      <c r="S251" s="29"/>
      <c r="T251" s="29"/>
      <c r="U251" s="29"/>
      <c r="V251" s="29"/>
      <c r="W251" s="29"/>
      <c r="X251" s="29"/>
    </row>
    <row r="252" customFormat="false" ht="44" hidden="false" customHeight="true" outlineLevel="0" collapsed="false">
      <c r="A252" s="29"/>
      <c r="B252" s="39"/>
      <c r="C252" s="39"/>
      <c r="D252" s="29"/>
      <c r="E252" s="29"/>
      <c r="F252" s="29"/>
      <c r="G252" s="29"/>
      <c r="H252" s="34"/>
      <c r="I252" s="34"/>
      <c r="J252" s="34"/>
      <c r="K252" s="34"/>
      <c r="L252" s="34"/>
      <c r="M252" s="35" t="str">
        <f aca="false">IF(A252="",IF(SUMPRODUCT(--(B252:L252&lt;&gt;""))+SUMPRODUCT(--(N252:X252&lt;&gt;""))&gt;0,"Missing ID",""),IF(COUNTIF($A$8:$A$307,A252)&gt;1,"Duplicate ID",IF(OR(B252="",C252="",V252="",W252=""),"Source incomplete",IF(AND(H252&lt;&gt;"Pass",H252&lt;&gt;"Fail",H252&lt;&gt;"Unresolved"),"Choose compliance",IF(AND(I252&lt;&gt;"Not started",I252&lt;&gt;"In progress",I252&lt;&gt;"In review",I252&lt;&gt;"Complete"),"Choose progress",IF(AND(OR(H252="Pass",I252="Complete"),OR(J252="",K252="",L252="")),"Evidence or file missing",""))))))</f>
        <v/>
      </c>
      <c r="N252" s="29"/>
      <c r="O252" s="29"/>
      <c r="P252" s="29"/>
      <c r="Q252" s="29"/>
      <c r="R252" s="29"/>
      <c r="S252" s="29"/>
      <c r="T252" s="29"/>
      <c r="U252" s="29"/>
      <c r="V252" s="29"/>
      <c r="W252" s="29"/>
      <c r="X252" s="29"/>
    </row>
    <row r="253" customFormat="false" ht="44" hidden="false" customHeight="true" outlineLevel="0" collapsed="false">
      <c r="A253" s="29"/>
      <c r="B253" s="39"/>
      <c r="C253" s="39"/>
      <c r="D253" s="29"/>
      <c r="E253" s="29"/>
      <c r="F253" s="29"/>
      <c r="G253" s="29"/>
      <c r="H253" s="34"/>
      <c r="I253" s="34"/>
      <c r="J253" s="34"/>
      <c r="K253" s="34"/>
      <c r="L253" s="34"/>
      <c r="M253" s="35" t="str">
        <f aca="false">IF(A253="",IF(SUMPRODUCT(--(B253:L253&lt;&gt;""))+SUMPRODUCT(--(N253:X253&lt;&gt;""))&gt;0,"Missing ID",""),IF(COUNTIF($A$8:$A$307,A253)&gt;1,"Duplicate ID",IF(OR(B253="",C253="",V253="",W253=""),"Source incomplete",IF(AND(H253&lt;&gt;"Pass",H253&lt;&gt;"Fail",H253&lt;&gt;"Unresolved"),"Choose compliance",IF(AND(I253&lt;&gt;"Not started",I253&lt;&gt;"In progress",I253&lt;&gt;"In review",I253&lt;&gt;"Complete"),"Choose progress",IF(AND(OR(H253="Pass",I253="Complete"),OR(J253="",K253="",L253="")),"Evidence or file missing",""))))))</f>
        <v/>
      </c>
      <c r="N253" s="29"/>
      <c r="O253" s="29"/>
      <c r="P253" s="29"/>
      <c r="Q253" s="29"/>
      <c r="R253" s="29"/>
      <c r="S253" s="29"/>
      <c r="T253" s="29"/>
      <c r="U253" s="29"/>
      <c r="V253" s="29"/>
      <c r="W253" s="29"/>
      <c r="X253" s="29"/>
    </row>
    <row r="254" customFormat="false" ht="44" hidden="false" customHeight="true" outlineLevel="0" collapsed="false">
      <c r="A254" s="29"/>
      <c r="B254" s="39"/>
      <c r="C254" s="39"/>
      <c r="D254" s="29"/>
      <c r="E254" s="29"/>
      <c r="F254" s="29"/>
      <c r="G254" s="29"/>
      <c r="H254" s="34"/>
      <c r="I254" s="34"/>
      <c r="J254" s="34"/>
      <c r="K254" s="34"/>
      <c r="L254" s="34"/>
      <c r="M254" s="35" t="str">
        <f aca="false">IF(A254="",IF(SUMPRODUCT(--(B254:L254&lt;&gt;""))+SUMPRODUCT(--(N254:X254&lt;&gt;""))&gt;0,"Missing ID",""),IF(COUNTIF($A$8:$A$307,A254)&gt;1,"Duplicate ID",IF(OR(B254="",C254="",V254="",W254=""),"Source incomplete",IF(AND(H254&lt;&gt;"Pass",H254&lt;&gt;"Fail",H254&lt;&gt;"Unresolved"),"Choose compliance",IF(AND(I254&lt;&gt;"Not started",I254&lt;&gt;"In progress",I254&lt;&gt;"In review",I254&lt;&gt;"Complete"),"Choose progress",IF(AND(OR(H254="Pass",I254="Complete"),OR(J254="",K254="",L254="")),"Evidence or file missing",""))))))</f>
        <v/>
      </c>
      <c r="N254" s="29"/>
      <c r="O254" s="29"/>
      <c r="P254" s="29"/>
      <c r="Q254" s="29"/>
      <c r="R254" s="29"/>
      <c r="S254" s="29"/>
      <c r="T254" s="29"/>
      <c r="U254" s="29"/>
      <c r="V254" s="29"/>
      <c r="W254" s="29"/>
      <c r="X254" s="29"/>
    </row>
    <row r="255" customFormat="false" ht="44" hidden="false" customHeight="true" outlineLevel="0" collapsed="false">
      <c r="A255" s="29"/>
      <c r="B255" s="39"/>
      <c r="C255" s="39"/>
      <c r="D255" s="29"/>
      <c r="E255" s="29"/>
      <c r="F255" s="29"/>
      <c r="G255" s="29"/>
      <c r="H255" s="34"/>
      <c r="I255" s="34"/>
      <c r="J255" s="34"/>
      <c r="K255" s="34"/>
      <c r="L255" s="34"/>
      <c r="M255" s="35" t="str">
        <f aca="false">IF(A255="",IF(SUMPRODUCT(--(B255:L255&lt;&gt;""))+SUMPRODUCT(--(N255:X255&lt;&gt;""))&gt;0,"Missing ID",""),IF(COUNTIF($A$8:$A$307,A255)&gt;1,"Duplicate ID",IF(OR(B255="",C255="",V255="",W255=""),"Source incomplete",IF(AND(H255&lt;&gt;"Pass",H255&lt;&gt;"Fail",H255&lt;&gt;"Unresolved"),"Choose compliance",IF(AND(I255&lt;&gt;"Not started",I255&lt;&gt;"In progress",I255&lt;&gt;"In review",I255&lt;&gt;"Complete"),"Choose progress",IF(AND(OR(H255="Pass",I255="Complete"),OR(J255="",K255="",L255="")),"Evidence or file missing",""))))))</f>
        <v/>
      </c>
      <c r="N255" s="29"/>
      <c r="O255" s="29"/>
      <c r="P255" s="29"/>
      <c r="Q255" s="29"/>
      <c r="R255" s="29"/>
      <c r="S255" s="29"/>
      <c r="T255" s="29"/>
      <c r="U255" s="29"/>
      <c r="V255" s="29"/>
      <c r="W255" s="29"/>
      <c r="X255" s="29"/>
    </row>
    <row r="256" customFormat="false" ht="44" hidden="false" customHeight="true" outlineLevel="0" collapsed="false">
      <c r="A256" s="29"/>
      <c r="B256" s="39"/>
      <c r="C256" s="39"/>
      <c r="D256" s="29"/>
      <c r="E256" s="29"/>
      <c r="F256" s="29"/>
      <c r="G256" s="29"/>
      <c r="H256" s="34"/>
      <c r="I256" s="34"/>
      <c r="J256" s="34"/>
      <c r="K256" s="34"/>
      <c r="L256" s="34"/>
      <c r="M256" s="35" t="str">
        <f aca="false">IF(A256="",IF(SUMPRODUCT(--(B256:L256&lt;&gt;""))+SUMPRODUCT(--(N256:X256&lt;&gt;""))&gt;0,"Missing ID",""),IF(COUNTIF($A$8:$A$307,A256)&gt;1,"Duplicate ID",IF(OR(B256="",C256="",V256="",W256=""),"Source incomplete",IF(AND(H256&lt;&gt;"Pass",H256&lt;&gt;"Fail",H256&lt;&gt;"Unresolved"),"Choose compliance",IF(AND(I256&lt;&gt;"Not started",I256&lt;&gt;"In progress",I256&lt;&gt;"In review",I256&lt;&gt;"Complete"),"Choose progress",IF(AND(OR(H256="Pass",I256="Complete"),OR(J256="",K256="",L256="")),"Evidence or file missing",""))))))</f>
        <v/>
      </c>
      <c r="N256" s="29"/>
      <c r="O256" s="29"/>
      <c r="P256" s="29"/>
      <c r="Q256" s="29"/>
      <c r="R256" s="29"/>
      <c r="S256" s="29"/>
      <c r="T256" s="29"/>
      <c r="U256" s="29"/>
      <c r="V256" s="29"/>
      <c r="W256" s="29"/>
      <c r="X256" s="29"/>
    </row>
    <row r="257" customFormat="false" ht="44" hidden="false" customHeight="true" outlineLevel="0" collapsed="false">
      <c r="A257" s="29"/>
      <c r="B257" s="39"/>
      <c r="C257" s="39"/>
      <c r="D257" s="29"/>
      <c r="E257" s="29"/>
      <c r="F257" s="29"/>
      <c r="G257" s="29"/>
      <c r="H257" s="34"/>
      <c r="I257" s="34"/>
      <c r="J257" s="34"/>
      <c r="K257" s="34"/>
      <c r="L257" s="34"/>
      <c r="M257" s="35" t="str">
        <f aca="false">IF(A257="",IF(SUMPRODUCT(--(B257:L257&lt;&gt;""))+SUMPRODUCT(--(N257:X257&lt;&gt;""))&gt;0,"Missing ID",""),IF(COUNTIF($A$8:$A$307,A257)&gt;1,"Duplicate ID",IF(OR(B257="",C257="",V257="",W257=""),"Source incomplete",IF(AND(H257&lt;&gt;"Pass",H257&lt;&gt;"Fail",H257&lt;&gt;"Unresolved"),"Choose compliance",IF(AND(I257&lt;&gt;"Not started",I257&lt;&gt;"In progress",I257&lt;&gt;"In review",I257&lt;&gt;"Complete"),"Choose progress",IF(AND(OR(H257="Pass",I257="Complete"),OR(J257="",K257="",L257="")),"Evidence or file missing",""))))))</f>
        <v/>
      </c>
      <c r="N257" s="29"/>
      <c r="O257" s="29"/>
      <c r="P257" s="29"/>
      <c r="Q257" s="29"/>
      <c r="R257" s="29"/>
      <c r="S257" s="29"/>
      <c r="T257" s="29"/>
      <c r="U257" s="29"/>
      <c r="V257" s="29"/>
      <c r="W257" s="29"/>
      <c r="X257" s="29"/>
    </row>
    <row r="258" customFormat="false" ht="44" hidden="false" customHeight="true" outlineLevel="0" collapsed="false">
      <c r="A258" s="29"/>
      <c r="B258" s="39"/>
      <c r="C258" s="39"/>
      <c r="D258" s="29"/>
      <c r="E258" s="29"/>
      <c r="F258" s="29"/>
      <c r="G258" s="29"/>
      <c r="H258" s="34"/>
      <c r="I258" s="34"/>
      <c r="J258" s="34"/>
      <c r="K258" s="34"/>
      <c r="L258" s="34"/>
      <c r="M258" s="35" t="str">
        <f aca="false">IF(A258="",IF(SUMPRODUCT(--(B258:L258&lt;&gt;""))+SUMPRODUCT(--(N258:X258&lt;&gt;""))&gt;0,"Missing ID",""),IF(COUNTIF($A$8:$A$307,A258)&gt;1,"Duplicate ID",IF(OR(B258="",C258="",V258="",W258=""),"Source incomplete",IF(AND(H258&lt;&gt;"Pass",H258&lt;&gt;"Fail",H258&lt;&gt;"Unresolved"),"Choose compliance",IF(AND(I258&lt;&gt;"Not started",I258&lt;&gt;"In progress",I258&lt;&gt;"In review",I258&lt;&gt;"Complete"),"Choose progress",IF(AND(OR(H258="Pass",I258="Complete"),OR(J258="",K258="",L258="")),"Evidence or file missing",""))))))</f>
        <v/>
      </c>
      <c r="N258" s="29"/>
      <c r="O258" s="29"/>
      <c r="P258" s="29"/>
      <c r="Q258" s="29"/>
      <c r="R258" s="29"/>
      <c r="S258" s="29"/>
      <c r="T258" s="29"/>
      <c r="U258" s="29"/>
      <c r="V258" s="29"/>
      <c r="W258" s="29"/>
      <c r="X258" s="29"/>
    </row>
    <row r="259" customFormat="false" ht="44" hidden="false" customHeight="true" outlineLevel="0" collapsed="false">
      <c r="A259" s="29"/>
      <c r="B259" s="39"/>
      <c r="C259" s="39"/>
      <c r="D259" s="29"/>
      <c r="E259" s="29"/>
      <c r="F259" s="29"/>
      <c r="G259" s="29"/>
      <c r="H259" s="34"/>
      <c r="I259" s="34"/>
      <c r="J259" s="34"/>
      <c r="K259" s="34"/>
      <c r="L259" s="34"/>
      <c r="M259" s="35" t="str">
        <f aca="false">IF(A259="",IF(SUMPRODUCT(--(B259:L259&lt;&gt;""))+SUMPRODUCT(--(N259:X259&lt;&gt;""))&gt;0,"Missing ID",""),IF(COUNTIF($A$8:$A$307,A259)&gt;1,"Duplicate ID",IF(OR(B259="",C259="",V259="",W259=""),"Source incomplete",IF(AND(H259&lt;&gt;"Pass",H259&lt;&gt;"Fail",H259&lt;&gt;"Unresolved"),"Choose compliance",IF(AND(I259&lt;&gt;"Not started",I259&lt;&gt;"In progress",I259&lt;&gt;"In review",I259&lt;&gt;"Complete"),"Choose progress",IF(AND(OR(H259="Pass",I259="Complete"),OR(J259="",K259="",L259="")),"Evidence or file missing",""))))))</f>
        <v/>
      </c>
      <c r="N259" s="29"/>
      <c r="O259" s="29"/>
      <c r="P259" s="29"/>
      <c r="Q259" s="29"/>
      <c r="R259" s="29"/>
      <c r="S259" s="29"/>
      <c r="T259" s="29"/>
      <c r="U259" s="29"/>
      <c r="V259" s="29"/>
      <c r="W259" s="29"/>
      <c r="X259" s="29"/>
    </row>
    <row r="260" customFormat="false" ht="44" hidden="false" customHeight="true" outlineLevel="0" collapsed="false">
      <c r="A260" s="29"/>
      <c r="B260" s="39"/>
      <c r="C260" s="39"/>
      <c r="D260" s="29"/>
      <c r="E260" s="29"/>
      <c r="F260" s="29"/>
      <c r="G260" s="29"/>
      <c r="H260" s="34"/>
      <c r="I260" s="34"/>
      <c r="J260" s="34"/>
      <c r="K260" s="34"/>
      <c r="L260" s="34"/>
      <c r="M260" s="35" t="str">
        <f aca="false">IF(A260="",IF(SUMPRODUCT(--(B260:L260&lt;&gt;""))+SUMPRODUCT(--(N260:X260&lt;&gt;""))&gt;0,"Missing ID",""),IF(COUNTIF($A$8:$A$307,A260)&gt;1,"Duplicate ID",IF(OR(B260="",C260="",V260="",W260=""),"Source incomplete",IF(AND(H260&lt;&gt;"Pass",H260&lt;&gt;"Fail",H260&lt;&gt;"Unresolved"),"Choose compliance",IF(AND(I260&lt;&gt;"Not started",I260&lt;&gt;"In progress",I260&lt;&gt;"In review",I260&lt;&gt;"Complete"),"Choose progress",IF(AND(OR(H260="Pass",I260="Complete"),OR(J260="",K260="",L260="")),"Evidence or file missing",""))))))</f>
        <v/>
      </c>
      <c r="N260" s="29"/>
      <c r="O260" s="29"/>
      <c r="P260" s="29"/>
      <c r="Q260" s="29"/>
      <c r="R260" s="29"/>
      <c r="S260" s="29"/>
      <c r="T260" s="29"/>
      <c r="U260" s="29"/>
      <c r="V260" s="29"/>
      <c r="W260" s="29"/>
      <c r="X260" s="29"/>
    </row>
    <row r="261" customFormat="false" ht="44" hidden="false" customHeight="true" outlineLevel="0" collapsed="false">
      <c r="A261" s="29"/>
      <c r="B261" s="39"/>
      <c r="C261" s="39"/>
      <c r="D261" s="29"/>
      <c r="E261" s="29"/>
      <c r="F261" s="29"/>
      <c r="G261" s="29"/>
      <c r="H261" s="34"/>
      <c r="I261" s="34"/>
      <c r="J261" s="34"/>
      <c r="K261" s="34"/>
      <c r="L261" s="34"/>
      <c r="M261" s="35" t="str">
        <f aca="false">IF(A261="",IF(SUMPRODUCT(--(B261:L261&lt;&gt;""))+SUMPRODUCT(--(N261:X261&lt;&gt;""))&gt;0,"Missing ID",""),IF(COUNTIF($A$8:$A$307,A261)&gt;1,"Duplicate ID",IF(OR(B261="",C261="",V261="",W261=""),"Source incomplete",IF(AND(H261&lt;&gt;"Pass",H261&lt;&gt;"Fail",H261&lt;&gt;"Unresolved"),"Choose compliance",IF(AND(I261&lt;&gt;"Not started",I261&lt;&gt;"In progress",I261&lt;&gt;"In review",I261&lt;&gt;"Complete"),"Choose progress",IF(AND(OR(H261="Pass",I261="Complete"),OR(J261="",K261="",L261="")),"Evidence or file missing",""))))))</f>
        <v/>
      </c>
      <c r="N261" s="29"/>
      <c r="O261" s="29"/>
      <c r="P261" s="29"/>
      <c r="Q261" s="29"/>
      <c r="R261" s="29"/>
      <c r="S261" s="29"/>
      <c r="T261" s="29"/>
      <c r="U261" s="29"/>
      <c r="V261" s="29"/>
      <c r="W261" s="29"/>
      <c r="X261" s="29"/>
    </row>
    <row r="262" customFormat="false" ht="44" hidden="false" customHeight="true" outlineLevel="0" collapsed="false">
      <c r="A262" s="29"/>
      <c r="B262" s="39"/>
      <c r="C262" s="39"/>
      <c r="D262" s="29"/>
      <c r="E262" s="29"/>
      <c r="F262" s="29"/>
      <c r="G262" s="29"/>
      <c r="H262" s="34"/>
      <c r="I262" s="34"/>
      <c r="J262" s="34"/>
      <c r="K262" s="34"/>
      <c r="L262" s="34"/>
      <c r="M262" s="35" t="str">
        <f aca="false">IF(A262="",IF(SUMPRODUCT(--(B262:L262&lt;&gt;""))+SUMPRODUCT(--(N262:X262&lt;&gt;""))&gt;0,"Missing ID",""),IF(COUNTIF($A$8:$A$307,A262)&gt;1,"Duplicate ID",IF(OR(B262="",C262="",V262="",W262=""),"Source incomplete",IF(AND(H262&lt;&gt;"Pass",H262&lt;&gt;"Fail",H262&lt;&gt;"Unresolved"),"Choose compliance",IF(AND(I262&lt;&gt;"Not started",I262&lt;&gt;"In progress",I262&lt;&gt;"In review",I262&lt;&gt;"Complete"),"Choose progress",IF(AND(OR(H262="Pass",I262="Complete"),OR(J262="",K262="",L262="")),"Evidence or file missing",""))))))</f>
        <v/>
      </c>
      <c r="N262" s="29"/>
      <c r="O262" s="29"/>
      <c r="P262" s="29"/>
      <c r="Q262" s="29"/>
      <c r="R262" s="29"/>
      <c r="S262" s="29"/>
      <c r="T262" s="29"/>
      <c r="U262" s="29"/>
      <c r="V262" s="29"/>
      <c r="W262" s="29"/>
      <c r="X262" s="29"/>
    </row>
    <row r="263" customFormat="false" ht="44" hidden="false" customHeight="true" outlineLevel="0" collapsed="false">
      <c r="A263" s="29"/>
      <c r="B263" s="39"/>
      <c r="C263" s="39"/>
      <c r="D263" s="29"/>
      <c r="E263" s="29"/>
      <c r="F263" s="29"/>
      <c r="G263" s="29"/>
      <c r="H263" s="34"/>
      <c r="I263" s="34"/>
      <c r="J263" s="34"/>
      <c r="K263" s="34"/>
      <c r="L263" s="34"/>
      <c r="M263" s="35" t="str">
        <f aca="false">IF(A263="",IF(SUMPRODUCT(--(B263:L263&lt;&gt;""))+SUMPRODUCT(--(N263:X263&lt;&gt;""))&gt;0,"Missing ID",""),IF(COUNTIF($A$8:$A$307,A263)&gt;1,"Duplicate ID",IF(OR(B263="",C263="",V263="",W263=""),"Source incomplete",IF(AND(H263&lt;&gt;"Pass",H263&lt;&gt;"Fail",H263&lt;&gt;"Unresolved"),"Choose compliance",IF(AND(I263&lt;&gt;"Not started",I263&lt;&gt;"In progress",I263&lt;&gt;"In review",I263&lt;&gt;"Complete"),"Choose progress",IF(AND(OR(H263="Pass",I263="Complete"),OR(J263="",K263="",L263="")),"Evidence or file missing",""))))))</f>
        <v/>
      </c>
      <c r="N263" s="29"/>
      <c r="O263" s="29"/>
      <c r="P263" s="29"/>
      <c r="Q263" s="29"/>
      <c r="R263" s="29"/>
      <c r="S263" s="29"/>
      <c r="T263" s="29"/>
      <c r="U263" s="29"/>
      <c r="V263" s="29"/>
      <c r="W263" s="29"/>
      <c r="X263" s="29"/>
    </row>
    <row r="264" customFormat="false" ht="44" hidden="false" customHeight="true" outlineLevel="0" collapsed="false">
      <c r="A264" s="29"/>
      <c r="B264" s="39"/>
      <c r="C264" s="39"/>
      <c r="D264" s="29"/>
      <c r="E264" s="29"/>
      <c r="F264" s="29"/>
      <c r="G264" s="29"/>
      <c r="H264" s="34"/>
      <c r="I264" s="34"/>
      <c r="J264" s="34"/>
      <c r="K264" s="34"/>
      <c r="L264" s="34"/>
      <c r="M264" s="35" t="str">
        <f aca="false">IF(A264="",IF(SUMPRODUCT(--(B264:L264&lt;&gt;""))+SUMPRODUCT(--(N264:X264&lt;&gt;""))&gt;0,"Missing ID",""),IF(COUNTIF($A$8:$A$307,A264)&gt;1,"Duplicate ID",IF(OR(B264="",C264="",V264="",W264=""),"Source incomplete",IF(AND(H264&lt;&gt;"Pass",H264&lt;&gt;"Fail",H264&lt;&gt;"Unresolved"),"Choose compliance",IF(AND(I264&lt;&gt;"Not started",I264&lt;&gt;"In progress",I264&lt;&gt;"In review",I264&lt;&gt;"Complete"),"Choose progress",IF(AND(OR(H264="Pass",I264="Complete"),OR(J264="",K264="",L264="")),"Evidence or file missing",""))))))</f>
        <v/>
      </c>
      <c r="N264" s="29"/>
      <c r="O264" s="29"/>
      <c r="P264" s="29"/>
      <c r="Q264" s="29"/>
      <c r="R264" s="29"/>
      <c r="S264" s="29"/>
      <c r="T264" s="29"/>
      <c r="U264" s="29"/>
      <c r="V264" s="29"/>
      <c r="W264" s="29"/>
      <c r="X264" s="29"/>
    </row>
    <row r="265" customFormat="false" ht="44" hidden="false" customHeight="true" outlineLevel="0" collapsed="false">
      <c r="A265" s="29"/>
      <c r="B265" s="39"/>
      <c r="C265" s="39"/>
      <c r="D265" s="29"/>
      <c r="E265" s="29"/>
      <c r="F265" s="29"/>
      <c r="G265" s="29"/>
      <c r="H265" s="34"/>
      <c r="I265" s="34"/>
      <c r="J265" s="34"/>
      <c r="K265" s="34"/>
      <c r="L265" s="34"/>
      <c r="M265" s="35" t="str">
        <f aca="false">IF(A265="",IF(SUMPRODUCT(--(B265:L265&lt;&gt;""))+SUMPRODUCT(--(N265:X265&lt;&gt;""))&gt;0,"Missing ID",""),IF(COUNTIF($A$8:$A$307,A265)&gt;1,"Duplicate ID",IF(OR(B265="",C265="",V265="",W265=""),"Source incomplete",IF(AND(H265&lt;&gt;"Pass",H265&lt;&gt;"Fail",H265&lt;&gt;"Unresolved"),"Choose compliance",IF(AND(I265&lt;&gt;"Not started",I265&lt;&gt;"In progress",I265&lt;&gt;"In review",I265&lt;&gt;"Complete"),"Choose progress",IF(AND(OR(H265="Pass",I265="Complete"),OR(J265="",K265="",L265="")),"Evidence or file missing",""))))))</f>
        <v/>
      </c>
      <c r="N265" s="29"/>
      <c r="O265" s="29"/>
      <c r="P265" s="29"/>
      <c r="Q265" s="29"/>
      <c r="R265" s="29"/>
      <c r="S265" s="29"/>
      <c r="T265" s="29"/>
      <c r="U265" s="29"/>
      <c r="V265" s="29"/>
      <c r="W265" s="29"/>
      <c r="X265" s="29"/>
    </row>
    <row r="266" customFormat="false" ht="44" hidden="false" customHeight="true" outlineLevel="0" collapsed="false">
      <c r="A266" s="29"/>
      <c r="B266" s="39"/>
      <c r="C266" s="39"/>
      <c r="D266" s="29"/>
      <c r="E266" s="29"/>
      <c r="F266" s="29"/>
      <c r="G266" s="29"/>
      <c r="H266" s="34"/>
      <c r="I266" s="34"/>
      <c r="J266" s="34"/>
      <c r="K266" s="34"/>
      <c r="L266" s="34"/>
      <c r="M266" s="35" t="str">
        <f aca="false">IF(A266="",IF(SUMPRODUCT(--(B266:L266&lt;&gt;""))+SUMPRODUCT(--(N266:X266&lt;&gt;""))&gt;0,"Missing ID",""),IF(COUNTIF($A$8:$A$307,A266)&gt;1,"Duplicate ID",IF(OR(B266="",C266="",V266="",W266=""),"Source incomplete",IF(AND(H266&lt;&gt;"Pass",H266&lt;&gt;"Fail",H266&lt;&gt;"Unresolved"),"Choose compliance",IF(AND(I266&lt;&gt;"Not started",I266&lt;&gt;"In progress",I266&lt;&gt;"In review",I266&lt;&gt;"Complete"),"Choose progress",IF(AND(OR(H266="Pass",I266="Complete"),OR(J266="",K266="",L266="")),"Evidence or file missing",""))))))</f>
        <v/>
      </c>
      <c r="N266" s="29"/>
      <c r="O266" s="29"/>
      <c r="P266" s="29"/>
      <c r="Q266" s="29"/>
      <c r="R266" s="29"/>
      <c r="S266" s="29"/>
      <c r="T266" s="29"/>
      <c r="U266" s="29"/>
      <c r="V266" s="29"/>
      <c r="W266" s="29"/>
      <c r="X266" s="29"/>
    </row>
    <row r="267" customFormat="false" ht="44" hidden="false" customHeight="true" outlineLevel="0" collapsed="false">
      <c r="A267" s="29"/>
      <c r="B267" s="39"/>
      <c r="C267" s="39"/>
      <c r="D267" s="29"/>
      <c r="E267" s="29"/>
      <c r="F267" s="29"/>
      <c r="G267" s="29"/>
      <c r="H267" s="34"/>
      <c r="I267" s="34"/>
      <c r="J267" s="34"/>
      <c r="K267" s="34"/>
      <c r="L267" s="34"/>
      <c r="M267" s="35" t="str">
        <f aca="false">IF(A267="",IF(SUMPRODUCT(--(B267:L267&lt;&gt;""))+SUMPRODUCT(--(N267:X267&lt;&gt;""))&gt;0,"Missing ID",""),IF(COUNTIF($A$8:$A$307,A267)&gt;1,"Duplicate ID",IF(OR(B267="",C267="",V267="",W267=""),"Source incomplete",IF(AND(H267&lt;&gt;"Pass",H267&lt;&gt;"Fail",H267&lt;&gt;"Unresolved"),"Choose compliance",IF(AND(I267&lt;&gt;"Not started",I267&lt;&gt;"In progress",I267&lt;&gt;"In review",I267&lt;&gt;"Complete"),"Choose progress",IF(AND(OR(H267="Pass",I267="Complete"),OR(J267="",K267="",L267="")),"Evidence or file missing",""))))))</f>
        <v/>
      </c>
      <c r="N267" s="29"/>
      <c r="O267" s="29"/>
      <c r="P267" s="29"/>
      <c r="Q267" s="29"/>
      <c r="R267" s="29"/>
      <c r="S267" s="29"/>
      <c r="T267" s="29"/>
      <c r="U267" s="29"/>
      <c r="V267" s="29"/>
      <c r="W267" s="29"/>
      <c r="X267" s="29"/>
    </row>
    <row r="268" customFormat="false" ht="44" hidden="false" customHeight="true" outlineLevel="0" collapsed="false">
      <c r="A268" s="29"/>
      <c r="B268" s="39"/>
      <c r="C268" s="39"/>
      <c r="D268" s="29"/>
      <c r="E268" s="29"/>
      <c r="F268" s="29"/>
      <c r="G268" s="29"/>
      <c r="H268" s="34"/>
      <c r="I268" s="34"/>
      <c r="J268" s="34"/>
      <c r="K268" s="34"/>
      <c r="L268" s="34"/>
      <c r="M268" s="35" t="str">
        <f aca="false">IF(A268="",IF(SUMPRODUCT(--(B268:L268&lt;&gt;""))+SUMPRODUCT(--(N268:X268&lt;&gt;""))&gt;0,"Missing ID",""),IF(COUNTIF($A$8:$A$307,A268)&gt;1,"Duplicate ID",IF(OR(B268="",C268="",V268="",W268=""),"Source incomplete",IF(AND(H268&lt;&gt;"Pass",H268&lt;&gt;"Fail",H268&lt;&gt;"Unresolved"),"Choose compliance",IF(AND(I268&lt;&gt;"Not started",I268&lt;&gt;"In progress",I268&lt;&gt;"In review",I268&lt;&gt;"Complete"),"Choose progress",IF(AND(OR(H268="Pass",I268="Complete"),OR(J268="",K268="",L268="")),"Evidence or file missing",""))))))</f>
        <v/>
      </c>
      <c r="N268" s="29"/>
      <c r="O268" s="29"/>
      <c r="P268" s="29"/>
      <c r="Q268" s="29"/>
      <c r="R268" s="29"/>
      <c r="S268" s="29"/>
      <c r="T268" s="29"/>
      <c r="U268" s="29"/>
      <c r="V268" s="29"/>
      <c r="W268" s="29"/>
      <c r="X268" s="29"/>
    </row>
    <row r="269" customFormat="false" ht="44" hidden="false" customHeight="true" outlineLevel="0" collapsed="false">
      <c r="A269" s="29"/>
      <c r="B269" s="39"/>
      <c r="C269" s="39"/>
      <c r="D269" s="29"/>
      <c r="E269" s="29"/>
      <c r="F269" s="29"/>
      <c r="G269" s="29"/>
      <c r="H269" s="34"/>
      <c r="I269" s="34"/>
      <c r="J269" s="34"/>
      <c r="K269" s="34"/>
      <c r="L269" s="34"/>
      <c r="M269" s="35" t="str">
        <f aca="false">IF(A269="",IF(SUMPRODUCT(--(B269:L269&lt;&gt;""))+SUMPRODUCT(--(N269:X269&lt;&gt;""))&gt;0,"Missing ID",""),IF(COUNTIF($A$8:$A$307,A269)&gt;1,"Duplicate ID",IF(OR(B269="",C269="",V269="",W269=""),"Source incomplete",IF(AND(H269&lt;&gt;"Pass",H269&lt;&gt;"Fail",H269&lt;&gt;"Unresolved"),"Choose compliance",IF(AND(I269&lt;&gt;"Not started",I269&lt;&gt;"In progress",I269&lt;&gt;"In review",I269&lt;&gt;"Complete"),"Choose progress",IF(AND(OR(H269="Pass",I269="Complete"),OR(J269="",K269="",L269="")),"Evidence or file missing",""))))))</f>
        <v/>
      </c>
      <c r="N269" s="29"/>
      <c r="O269" s="29"/>
      <c r="P269" s="29"/>
      <c r="Q269" s="29"/>
      <c r="R269" s="29"/>
      <c r="S269" s="29"/>
      <c r="T269" s="29"/>
      <c r="U269" s="29"/>
      <c r="V269" s="29"/>
      <c r="W269" s="29"/>
      <c r="X269" s="29"/>
    </row>
    <row r="270" customFormat="false" ht="44" hidden="false" customHeight="true" outlineLevel="0" collapsed="false">
      <c r="A270" s="29"/>
      <c r="B270" s="39"/>
      <c r="C270" s="39"/>
      <c r="D270" s="29"/>
      <c r="E270" s="29"/>
      <c r="F270" s="29"/>
      <c r="G270" s="29"/>
      <c r="H270" s="34"/>
      <c r="I270" s="34"/>
      <c r="J270" s="34"/>
      <c r="K270" s="34"/>
      <c r="L270" s="34"/>
      <c r="M270" s="35" t="str">
        <f aca="false">IF(A270="",IF(SUMPRODUCT(--(B270:L270&lt;&gt;""))+SUMPRODUCT(--(N270:X270&lt;&gt;""))&gt;0,"Missing ID",""),IF(COUNTIF($A$8:$A$307,A270)&gt;1,"Duplicate ID",IF(OR(B270="",C270="",V270="",W270=""),"Source incomplete",IF(AND(H270&lt;&gt;"Pass",H270&lt;&gt;"Fail",H270&lt;&gt;"Unresolved"),"Choose compliance",IF(AND(I270&lt;&gt;"Not started",I270&lt;&gt;"In progress",I270&lt;&gt;"In review",I270&lt;&gt;"Complete"),"Choose progress",IF(AND(OR(H270="Pass",I270="Complete"),OR(J270="",K270="",L270="")),"Evidence or file missing",""))))))</f>
        <v/>
      </c>
      <c r="N270" s="29"/>
      <c r="O270" s="29"/>
      <c r="P270" s="29"/>
      <c r="Q270" s="29"/>
      <c r="R270" s="29"/>
      <c r="S270" s="29"/>
      <c r="T270" s="29"/>
      <c r="U270" s="29"/>
      <c r="V270" s="29"/>
      <c r="W270" s="29"/>
      <c r="X270" s="29"/>
    </row>
    <row r="271" customFormat="false" ht="44" hidden="false" customHeight="true" outlineLevel="0" collapsed="false">
      <c r="A271" s="29"/>
      <c r="B271" s="39"/>
      <c r="C271" s="39"/>
      <c r="D271" s="29"/>
      <c r="E271" s="29"/>
      <c r="F271" s="29"/>
      <c r="G271" s="29"/>
      <c r="H271" s="34"/>
      <c r="I271" s="34"/>
      <c r="J271" s="34"/>
      <c r="K271" s="34"/>
      <c r="L271" s="34"/>
      <c r="M271" s="35" t="str">
        <f aca="false">IF(A271="",IF(SUMPRODUCT(--(B271:L271&lt;&gt;""))+SUMPRODUCT(--(N271:X271&lt;&gt;""))&gt;0,"Missing ID",""),IF(COUNTIF($A$8:$A$307,A271)&gt;1,"Duplicate ID",IF(OR(B271="",C271="",V271="",W271=""),"Source incomplete",IF(AND(H271&lt;&gt;"Pass",H271&lt;&gt;"Fail",H271&lt;&gt;"Unresolved"),"Choose compliance",IF(AND(I271&lt;&gt;"Not started",I271&lt;&gt;"In progress",I271&lt;&gt;"In review",I271&lt;&gt;"Complete"),"Choose progress",IF(AND(OR(H271="Pass",I271="Complete"),OR(J271="",K271="",L271="")),"Evidence or file missing",""))))))</f>
        <v/>
      </c>
      <c r="N271" s="29"/>
      <c r="O271" s="29"/>
      <c r="P271" s="29"/>
      <c r="Q271" s="29"/>
      <c r="R271" s="29"/>
      <c r="S271" s="29"/>
      <c r="T271" s="29"/>
      <c r="U271" s="29"/>
      <c r="V271" s="29"/>
      <c r="W271" s="29"/>
      <c r="X271" s="29"/>
    </row>
    <row r="272" customFormat="false" ht="44" hidden="false" customHeight="true" outlineLevel="0" collapsed="false">
      <c r="A272" s="29"/>
      <c r="B272" s="39"/>
      <c r="C272" s="39"/>
      <c r="D272" s="29"/>
      <c r="E272" s="29"/>
      <c r="F272" s="29"/>
      <c r="G272" s="29"/>
      <c r="H272" s="34"/>
      <c r="I272" s="34"/>
      <c r="J272" s="34"/>
      <c r="K272" s="34"/>
      <c r="L272" s="34"/>
      <c r="M272" s="35" t="str">
        <f aca="false">IF(A272="",IF(SUMPRODUCT(--(B272:L272&lt;&gt;""))+SUMPRODUCT(--(N272:X272&lt;&gt;""))&gt;0,"Missing ID",""),IF(COUNTIF($A$8:$A$307,A272)&gt;1,"Duplicate ID",IF(OR(B272="",C272="",V272="",W272=""),"Source incomplete",IF(AND(H272&lt;&gt;"Pass",H272&lt;&gt;"Fail",H272&lt;&gt;"Unresolved"),"Choose compliance",IF(AND(I272&lt;&gt;"Not started",I272&lt;&gt;"In progress",I272&lt;&gt;"In review",I272&lt;&gt;"Complete"),"Choose progress",IF(AND(OR(H272="Pass",I272="Complete"),OR(J272="",K272="",L272="")),"Evidence or file missing",""))))))</f>
        <v/>
      </c>
      <c r="N272" s="29"/>
      <c r="O272" s="29"/>
      <c r="P272" s="29"/>
      <c r="Q272" s="29"/>
      <c r="R272" s="29"/>
      <c r="S272" s="29"/>
      <c r="T272" s="29"/>
      <c r="U272" s="29"/>
      <c r="V272" s="29"/>
      <c r="W272" s="29"/>
      <c r="X272" s="29"/>
    </row>
    <row r="273" customFormat="false" ht="44" hidden="false" customHeight="true" outlineLevel="0" collapsed="false">
      <c r="A273" s="29"/>
      <c r="B273" s="39"/>
      <c r="C273" s="39"/>
      <c r="D273" s="29"/>
      <c r="E273" s="29"/>
      <c r="F273" s="29"/>
      <c r="G273" s="29"/>
      <c r="H273" s="34"/>
      <c r="I273" s="34"/>
      <c r="J273" s="34"/>
      <c r="K273" s="34"/>
      <c r="L273" s="34"/>
      <c r="M273" s="35" t="str">
        <f aca="false">IF(A273="",IF(SUMPRODUCT(--(B273:L273&lt;&gt;""))+SUMPRODUCT(--(N273:X273&lt;&gt;""))&gt;0,"Missing ID",""),IF(COUNTIF($A$8:$A$307,A273)&gt;1,"Duplicate ID",IF(OR(B273="",C273="",V273="",W273=""),"Source incomplete",IF(AND(H273&lt;&gt;"Pass",H273&lt;&gt;"Fail",H273&lt;&gt;"Unresolved"),"Choose compliance",IF(AND(I273&lt;&gt;"Not started",I273&lt;&gt;"In progress",I273&lt;&gt;"In review",I273&lt;&gt;"Complete"),"Choose progress",IF(AND(OR(H273="Pass",I273="Complete"),OR(J273="",K273="",L273="")),"Evidence or file missing",""))))))</f>
        <v/>
      </c>
      <c r="N273" s="29"/>
      <c r="O273" s="29"/>
      <c r="P273" s="29"/>
      <c r="Q273" s="29"/>
      <c r="R273" s="29"/>
      <c r="S273" s="29"/>
      <c r="T273" s="29"/>
      <c r="U273" s="29"/>
      <c r="V273" s="29"/>
      <c r="W273" s="29"/>
      <c r="X273" s="29"/>
    </row>
    <row r="274" customFormat="false" ht="44" hidden="false" customHeight="true" outlineLevel="0" collapsed="false">
      <c r="A274" s="29"/>
      <c r="B274" s="39"/>
      <c r="C274" s="39"/>
      <c r="D274" s="29"/>
      <c r="E274" s="29"/>
      <c r="F274" s="29"/>
      <c r="G274" s="29"/>
      <c r="H274" s="34"/>
      <c r="I274" s="34"/>
      <c r="J274" s="34"/>
      <c r="K274" s="34"/>
      <c r="L274" s="34"/>
      <c r="M274" s="35" t="str">
        <f aca="false">IF(A274="",IF(SUMPRODUCT(--(B274:L274&lt;&gt;""))+SUMPRODUCT(--(N274:X274&lt;&gt;""))&gt;0,"Missing ID",""),IF(COUNTIF($A$8:$A$307,A274)&gt;1,"Duplicate ID",IF(OR(B274="",C274="",V274="",W274=""),"Source incomplete",IF(AND(H274&lt;&gt;"Pass",H274&lt;&gt;"Fail",H274&lt;&gt;"Unresolved"),"Choose compliance",IF(AND(I274&lt;&gt;"Not started",I274&lt;&gt;"In progress",I274&lt;&gt;"In review",I274&lt;&gt;"Complete"),"Choose progress",IF(AND(OR(H274="Pass",I274="Complete"),OR(J274="",K274="",L274="")),"Evidence or file missing",""))))))</f>
        <v/>
      </c>
      <c r="N274" s="29"/>
      <c r="O274" s="29"/>
      <c r="P274" s="29"/>
      <c r="Q274" s="29"/>
      <c r="R274" s="29"/>
      <c r="S274" s="29"/>
      <c r="T274" s="29"/>
      <c r="U274" s="29"/>
      <c r="V274" s="29"/>
      <c r="W274" s="29"/>
      <c r="X274" s="29"/>
    </row>
    <row r="275" customFormat="false" ht="44" hidden="false" customHeight="true" outlineLevel="0" collapsed="false">
      <c r="A275" s="29"/>
      <c r="B275" s="39"/>
      <c r="C275" s="39"/>
      <c r="D275" s="29"/>
      <c r="E275" s="29"/>
      <c r="F275" s="29"/>
      <c r="G275" s="29"/>
      <c r="H275" s="34"/>
      <c r="I275" s="34"/>
      <c r="J275" s="34"/>
      <c r="K275" s="34"/>
      <c r="L275" s="34"/>
      <c r="M275" s="35" t="str">
        <f aca="false">IF(A275="",IF(SUMPRODUCT(--(B275:L275&lt;&gt;""))+SUMPRODUCT(--(N275:X275&lt;&gt;""))&gt;0,"Missing ID",""),IF(COUNTIF($A$8:$A$307,A275)&gt;1,"Duplicate ID",IF(OR(B275="",C275="",V275="",W275=""),"Source incomplete",IF(AND(H275&lt;&gt;"Pass",H275&lt;&gt;"Fail",H275&lt;&gt;"Unresolved"),"Choose compliance",IF(AND(I275&lt;&gt;"Not started",I275&lt;&gt;"In progress",I275&lt;&gt;"In review",I275&lt;&gt;"Complete"),"Choose progress",IF(AND(OR(H275="Pass",I275="Complete"),OR(J275="",K275="",L275="")),"Evidence or file missing",""))))))</f>
        <v/>
      </c>
      <c r="N275" s="29"/>
      <c r="O275" s="29"/>
      <c r="P275" s="29"/>
      <c r="Q275" s="29"/>
      <c r="R275" s="29"/>
      <c r="S275" s="29"/>
      <c r="T275" s="29"/>
      <c r="U275" s="29"/>
      <c r="V275" s="29"/>
      <c r="W275" s="29"/>
      <c r="X275" s="29"/>
    </row>
    <row r="276" customFormat="false" ht="44" hidden="false" customHeight="true" outlineLevel="0" collapsed="false">
      <c r="A276" s="29"/>
      <c r="B276" s="39"/>
      <c r="C276" s="39"/>
      <c r="D276" s="29"/>
      <c r="E276" s="29"/>
      <c r="F276" s="29"/>
      <c r="G276" s="29"/>
      <c r="H276" s="34"/>
      <c r="I276" s="34"/>
      <c r="J276" s="34"/>
      <c r="K276" s="34"/>
      <c r="L276" s="34"/>
      <c r="M276" s="35" t="str">
        <f aca="false">IF(A276="",IF(SUMPRODUCT(--(B276:L276&lt;&gt;""))+SUMPRODUCT(--(N276:X276&lt;&gt;""))&gt;0,"Missing ID",""),IF(COUNTIF($A$8:$A$307,A276)&gt;1,"Duplicate ID",IF(OR(B276="",C276="",V276="",W276=""),"Source incomplete",IF(AND(H276&lt;&gt;"Pass",H276&lt;&gt;"Fail",H276&lt;&gt;"Unresolved"),"Choose compliance",IF(AND(I276&lt;&gt;"Not started",I276&lt;&gt;"In progress",I276&lt;&gt;"In review",I276&lt;&gt;"Complete"),"Choose progress",IF(AND(OR(H276="Pass",I276="Complete"),OR(J276="",K276="",L276="")),"Evidence or file missing",""))))))</f>
        <v/>
      </c>
      <c r="N276" s="29"/>
      <c r="O276" s="29"/>
      <c r="P276" s="29"/>
      <c r="Q276" s="29"/>
      <c r="R276" s="29"/>
      <c r="S276" s="29"/>
      <c r="T276" s="29"/>
      <c r="U276" s="29"/>
      <c r="V276" s="29"/>
      <c r="W276" s="29"/>
      <c r="X276" s="29"/>
    </row>
    <row r="277" customFormat="false" ht="44" hidden="false" customHeight="true" outlineLevel="0" collapsed="false">
      <c r="A277" s="29"/>
      <c r="B277" s="39"/>
      <c r="C277" s="39"/>
      <c r="D277" s="29"/>
      <c r="E277" s="29"/>
      <c r="F277" s="29"/>
      <c r="G277" s="29"/>
      <c r="H277" s="34"/>
      <c r="I277" s="34"/>
      <c r="J277" s="34"/>
      <c r="K277" s="34"/>
      <c r="L277" s="34"/>
      <c r="M277" s="35" t="str">
        <f aca="false">IF(A277="",IF(SUMPRODUCT(--(B277:L277&lt;&gt;""))+SUMPRODUCT(--(N277:X277&lt;&gt;""))&gt;0,"Missing ID",""),IF(COUNTIF($A$8:$A$307,A277)&gt;1,"Duplicate ID",IF(OR(B277="",C277="",V277="",W277=""),"Source incomplete",IF(AND(H277&lt;&gt;"Pass",H277&lt;&gt;"Fail",H277&lt;&gt;"Unresolved"),"Choose compliance",IF(AND(I277&lt;&gt;"Not started",I277&lt;&gt;"In progress",I277&lt;&gt;"In review",I277&lt;&gt;"Complete"),"Choose progress",IF(AND(OR(H277="Pass",I277="Complete"),OR(J277="",K277="",L277="")),"Evidence or file missing",""))))))</f>
        <v/>
      </c>
      <c r="N277" s="29"/>
      <c r="O277" s="29"/>
      <c r="P277" s="29"/>
      <c r="Q277" s="29"/>
      <c r="R277" s="29"/>
      <c r="S277" s="29"/>
      <c r="T277" s="29"/>
      <c r="U277" s="29"/>
      <c r="V277" s="29"/>
      <c r="W277" s="29"/>
      <c r="X277" s="29"/>
    </row>
    <row r="278" customFormat="false" ht="44" hidden="false" customHeight="true" outlineLevel="0" collapsed="false">
      <c r="A278" s="29"/>
      <c r="B278" s="39"/>
      <c r="C278" s="39"/>
      <c r="D278" s="29"/>
      <c r="E278" s="29"/>
      <c r="F278" s="29"/>
      <c r="G278" s="29"/>
      <c r="H278" s="34"/>
      <c r="I278" s="34"/>
      <c r="J278" s="34"/>
      <c r="K278" s="34"/>
      <c r="L278" s="34"/>
      <c r="M278" s="35" t="str">
        <f aca="false">IF(A278="",IF(SUMPRODUCT(--(B278:L278&lt;&gt;""))+SUMPRODUCT(--(N278:X278&lt;&gt;""))&gt;0,"Missing ID",""),IF(COUNTIF($A$8:$A$307,A278)&gt;1,"Duplicate ID",IF(OR(B278="",C278="",V278="",W278=""),"Source incomplete",IF(AND(H278&lt;&gt;"Pass",H278&lt;&gt;"Fail",H278&lt;&gt;"Unresolved"),"Choose compliance",IF(AND(I278&lt;&gt;"Not started",I278&lt;&gt;"In progress",I278&lt;&gt;"In review",I278&lt;&gt;"Complete"),"Choose progress",IF(AND(OR(H278="Pass",I278="Complete"),OR(J278="",K278="",L278="")),"Evidence or file missing",""))))))</f>
        <v/>
      </c>
      <c r="N278" s="29"/>
      <c r="O278" s="29"/>
      <c r="P278" s="29"/>
      <c r="Q278" s="29"/>
      <c r="R278" s="29"/>
      <c r="S278" s="29"/>
      <c r="T278" s="29"/>
      <c r="U278" s="29"/>
      <c r="V278" s="29"/>
      <c r="W278" s="29"/>
      <c r="X278" s="29"/>
    </row>
    <row r="279" customFormat="false" ht="44" hidden="false" customHeight="true" outlineLevel="0" collapsed="false">
      <c r="A279" s="29"/>
      <c r="B279" s="39"/>
      <c r="C279" s="39"/>
      <c r="D279" s="29"/>
      <c r="E279" s="29"/>
      <c r="F279" s="29"/>
      <c r="G279" s="29"/>
      <c r="H279" s="34"/>
      <c r="I279" s="34"/>
      <c r="J279" s="34"/>
      <c r="K279" s="34"/>
      <c r="L279" s="34"/>
      <c r="M279" s="35" t="str">
        <f aca="false">IF(A279="",IF(SUMPRODUCT(--(B279:L279&lt;&gt;""))+SUMPRODUCT(--(N279:X279&lt;&gt;""))&gt;0,"Missing ID",""),IF(COUNTIF($A$8:$A$307,A279)&gt;1,"Duplicate ID",IF(OR(B279="",C279="",V279="",W279=""),"Source incomplete",IF(AND(H279&lt;&gt;"Pass",H279&lt;&gt;"Fail",H279&lt;&gt;"Unresolved"),"Choose compliance",IF(AND(I279&lt;&gt;"Not started",I279&lt;&gt;"In progress",I279&lt;&gt;"In review",I279&lt;&gt;"Complete"),"Choose progress",IF(AND(OR(H279="Pass",I279="Complete"),OR(J279="",K279="",L279="")),"Evidence or file missing",""))))))</f>
        <v/>
      </c>
      <c r="N279" s="29"/>
      <c r="O279" s="29"/>
      <c r="P279" s="29"/>
      <c r="Q279" s="29"/>
      <c r="R279" s="29"/>
      <c r="S279" s="29"/>
      <c r="T279" s="29"/>
      <c r="U279" s="29"/>
      <c r="V279" s="29"/>
      <c r="W279" s="29"/>
      <c r="X279" s="29"/>
    </row>
    <row r="280" customFormat="false" ht="44" hidden="false" customHeight="true" outlineLevel="0" collapsed="false">
      <c r="A280" s="29"/>
      <c r="B280" s="39"/>
      <c r="C280" s="39"/>
      <c r="D280" s="29"/>
      <c r="E280" s="29"/>
      <c r="F280" s="29"/>
      <c r="G280" s="29"/>
      <c r="H280" s="34"/>
      <c r="I280" s="34"/>
      <c r="J280" s="34"/>
      <c r="K280" s="34"/>
      <c r="L280" s="34"/>
      <c r="M280" s="35" t="str">
        <f aca="false">IF(A280="",IF(SUMPRODUCT(--(B280:L280&lt;&gt;""))+SUMPRODUCT(--(N280:X280&lt;&gt;""))&gt;0,"Missing ID",""),IF(COUNTIF($A$8:$A$307,A280)&gt;1,"Duplicate ID",IF(OR(B280="",C280="",V280="",W280=""),"Source incomplete",IF(AND(H280&lt;&gt;"Pass",H280&lt;&gt;"Fail",H280&lt;&gt;"Unresolved"),"Choose compliance",IF(AND(I280&lt;&gt;"Not started",I280&lt;&gt;"In progress",I280&lt;&gt;"In review",I280&lt;&gt;"Complete"),"Choose progress",IF(AND(OR(H280="Pass",I280="Complete"),OR(J280="",K280="",L280="")),"Evidence or file missing",""))))))</f>
        <v/>
      </c>
      <c r="N280" s="29"/>
      <c r="O280" s="29"/>
      <c r="P280" s="29"/>
      <c r="Q280" s="29"/>
      <c r="R280" s="29"/>
      <c r="S280" s="29"/>
      <c r="T280" s="29"/>
      <c r="U280" s="29"/>
      <c r="V280" s="29"/>
      <c r="W280" s="29"/>
      <c r="X280" s="29"/>
    </row>
    <row r="281" customFormat="false" ht="44" hidden="false" customHeight="true" outlineLevel="0" collapsed="false">
      <c r="A281" s="29"/>
      <c r="B281" s="39"/>
      <c r="C281" s="39"/>
      <c r="D281" s="29"/>
      <c r="E281" s="29"/>
      <c r="F281" s="29"/>
      <c r="G281" s="29"/>
      <c r="H281" s="34"/>
      <c r="I281" s="34"/>
      <c r="J281" s="34"/>
      <c r="K281" s="34"/>
      <c r="L281" s="34"/>
      <c r="M281" s="35" t="str">
        <f aca="false">IF(A281="",IF(SUMPRODUCT(--(B281:L281&lt;&gt;""))+SUMPRODUCT(--(N281:X281&lt;&gt;""))&gt;0,"Missing ID",""),IF(COUNTIF($A$8:$A$307,A281)&gt;1,"Duplicate ID",IF(OR(B281="",C281="",V281="",W281=""),"Source incomplete",IF(AND(H281&lt;&gt;"Pass",H281&lt;&gt;"Fail",H281&lt;&gt;"Unresolved"),"Choose compliance",IF(AND(I281&lt;&gt;"Not started",I281&lt;&gt;"In progress",I281&lt;&gt;"In review",I281&lt;&gt;"Complete"),"Choose progress",IF(AND(OR(H281="Pass",I281="Complete"),OR(J281="",K281="",L281="")),"Evidence or file missing",""))))))</f>
        <v/>
      </c>
      <c r="N281" s="29"/>
      <c r="O281" s="29"/>
      <c r="P281" s="29"/>
      <c r="Q281" s="29"/>
      <c r="R281" s="29"/>
      <c r="S281" s="29"/>
      <c r="T281" s="29"/>
      <c r="U281" s="29"/>
      <c r="V281" s="29"/>
      <c r="W281" s="29"/>
      <c r="X281" s="29"/>
    </row>
    <row r="282" customFormat="false" ht="44" hidden="false" customHeight="true" outlineLevel="0" collapsed="false">
      <c r="A282" s="29"/>
      <c r="B282" s="39"/>
      <c r="C282" s="39"/>
      <c r="D282" s="29"/>
      <c r="E282" s="29"/>
      <c r="F282" s="29"/>
      <c r="G282" s="29"/>
      <c r="H282" s="34"/>
      <c r="I282" s="34"/>
      <c r="J282" s="34"/>
      <c r="K282" s="34"/>
      <c r="L282" s="34"/>
      <c r="M282" s="35" t="str">
        <f aca="false">IF(A282="",IF(SUMPRODUCT(--(B282:L282&lt;&gt;""))+SUMPRODUCT(--(N282:X282&lt;&gt;""))&gt;0,"Missing ID",""),IF(COUNTIF($A$8:$A$307,A282)&gt;1,"Duplicate ID",IF(OR(B282="",C282="",V282="",W282=""),"Source incomplete",IF(AND(H282&lt;&gt;"Pass",H282&lt;&gt;"Fail",H282&lt;&gt;"Unresolved"),"Choose compliance",IF(AND(I282&lt;&gt;"Not started",I282&lt;&gt;"In progress",I282&lt;&gt;"In review",I282&lt;&gt;"Complete"),"Choose progress",IF(AND(OR(H282="Pass",I282="Complete"),OR(J282="",K282="",L282="")),"Evidence or file missing",""))))))</f>
        <v/>
      </c>
      <c r="N282" s="29"/>
      <c r="O282" s="29"/>
      <c r="P282" s="29"/>
      <c r="Q282" s="29"/>
      <c r="R282" s="29"/>
      <c r="S282" s="29"/>
      <c r="T282" s="29"/>
      <c r="U282" s="29"/>
      <c r="V282" s="29"/>
      <c r="W282" s="29"/>
      <c r="X282" s="29"/>
    </row>
    <row r="283" customFormat="false" ht="44" hidden="false" customHeight="true" outlineLevel="0" collapsed="false">
      <c r="A283" s="29"/>
      <c r="B283" s="39"/>
      <c r="C283" s="39"/>
      <c r="D283" s="29"/>
      <c r="E283" s="29"/>
      <c r="F283" s="29"/>
      <c r="G283" s="29"/>
      <c r="H283" s="34"/>
      <c r="I283" s="34"/>
      <c r="J283" s="34"/>
      <c r="K283" s="34"/>
      <c r="L283" s="34"/>
      <c r="M283" s="35" t="str">
        <f aca="false">IF(A283="",IF(SUMPRODUCT(--(B283:L283&lt;&gt;""))+SUMPRODUCT(--(N283:X283&lt;&gt;""))&gt;0,"Missing ID",""),IF(COUNTIF($A$8:$A$307,A283)&gt;1,"Duplicate ID",IF(OR(B283="",C283="",V283="",W283=""),"Source incomplete",IF(AND(H283&lt;&gt;"Pass",H283&lt;&gt;"Fail",H283&lt;&gt;"Unresolved"),"Choose compliance",IF(AND(I283&lt;&gt;"Not started",I283&lt;&gt;"In progress",I283&lt;&gt;"In review",I283&lt;&gt;"Complete"),"Choose progress",IF(AND(OR(H283="Pass",I283="Complete"),OR(J283="",K283="",L283="")),"Evidence or file missing",""))))))</f>
        <v/>
      </c>
      <c r="N283" s="29"/>
      <c r="O283" s="29"/>
      <c r="P283" s="29"/>
      <c r="Q283" s="29"/>
      <c r="R283" s="29"/>
      <c r="S283" s="29"/>
      <c r="T283" s="29"/>
      <c r="U283" s="29"/>
      <c r="V283" s="29"/>
      <c r="W283" s="29"/>
      <c r="X283" s="29"/>
    </row>
    <row r="284" customFormat="false" ht="44" hidden="false" customHeight="true" outlineLevel="0" collapsed="false">
      <c r="A284" s="29"/>
      <c r="B284" s="39"/>
      <c r="C284" s="39"/>
      <c r="D284" s="29"/>
      <c r="E284" s="29"/>
      <c r="F284" s="29"/>
      <c r="G284" s="29"/>
      <c r="H284" s="34"/>
      <c r="I284" s="34"/>
      <c r="J284" s="34"/>
      <c r="K284" s="34"/>
      <c r="L284" s="34"/>
      <c r="M284" s="35" t="str">
        <f aca="false">IF(A284="",IF(SUMPRODUCT(--(B284:L284&lt;&gt;""))+SUMPRODUCT(--(N284:X284&lt;&gt;""))&gt;0,"Missing ID",""),IF(COUNTIF($A$8:$A$307,A284)&gt;1,"Duplicate ID",IF(OR(B284="",C284="",V284="",W284=""),"Source incomplete",IF(AND(H284&lt;&gt;"Pass",H284&lt;&gt;"Fail",H284&lt;&gt;"Unresolved"),"Choose compliance",IF(AND(I284&lt;&gt;"Not started",I284&lt;&gt;"In progress",I284&lt;&gt;"In review",I284&lt;&gt;"Complete"),"Choose progress",IF(AND(OR(H284="Pass",I284="Complete"),OR(J284="",K284="",L284="")),"Evidence or file missing",""))))))</f>
        <v/>
      </c>
      <c r="N284" s="29"/>
      <c r="O284" s="29"/>
      <c r="P284" s="29"/>
      <c r="Q284" s="29"/>
      <c r="R284" s="29"/>
      <c r="S284" s="29"/>
      <c r="T284" s="29"/>
      <c r="U284" s="29"/>
      <c r="V284" s="29"/>
      <c r="W284" s="29"/>
      <c r="X284" s="29"/>
    </row>
    <row r="285" customFormat="false" ht="44" hidden="false" customHeight="true" outlineLevel="0" collapsed="false">
      <c r="A285" s="29"/>
      <c r="B285" s="39"/>
      <c r="C285" s="39"/>
      <c r="D285" s="29"/>
      <c r="E285" s="29"/>
      <c r="F285" s="29"/>
      <c r="G285" s="29"/>
      <c r="H285" s="34"/>
      <c r="I285" s="34"/>
      <c r="J285" s="34"/>
      <c r="K285" s="34"/>
      <c r="L285" s="34"/>
      <c r="M285" s="35" t="str">
        <f aca="false">IF(A285="",IF(SUMPRODUCT(--(B285:L285&lt;&gt;""))+SUMPRODUCT(--(N285:X285&lt;&gt;""))&gt;0,"Missing ID",""),IF(COUNTIF($A$8:$A$307,A285)&gt;1,"Duplicate ID",IF(OR(B285="",C285="",V285="",W285=""),"Source incomplete",IF(AND(H285&lt;&gt;"Pass",H285&lt;&gt;"Fail",H285&lt;&gt;"Unresolved"),"Choose compliance",IF(AND(I285&lt;&gt;"Not started",I285&lt;&gt;"In progress",I285&lt;&gt;"In review",I285&lt;&gt;"Complete"),"Choose progress",IF(AND(OR(H285="Pass",I285="Complete"),OR(J285="",K285="",L285="")),"Evidence or file missing",""))))))</f>
        <v/>
      </c>
      <c r="N285" s="29"/>
      <c r="O285" s="29"/>
      <c r="P285" s="29"/>
      <c r="Q285" s="29"/>
      <c r="R285" s="29"/>
      <c r="S285" s="29"/>
      <c r="T285" s="29"/>
      <c r="U285" s="29"/>
      <c r="V285" s="29"/>
      <c r="W285" s="29"/>
      <c r="X285" s="29"/>
    </row>
    <row r="286" customFormat="false" ht="44" hidden="false" customHeight="true" outlineLevel="0" collapsed="false">
      <c r="A286" s="29"/>
      <c r="B286" s="39"/>
      <c r="C286" s="39"/>
      <c r="D286" s="29"/>
      <c r="E286" s="29"/>
      <c r="F286" s="29"/>
      <c r="G286" s="29"/>
      <c r="H286" s="34"/>
      <c r="I286" s="34"/>
      <c r="J286" s="34"/>
      <c r="K286" s="34"/>
      <c r="L286" s="34"/>
      <c r="M286" s="35" t="str">
        <f aca="false">IF(A286="",IF(SUMPRODUCT(--(B286:L286&lt;&gt;""))+SUMPRODUCT(--(N286:X286&lt;&gt;""))&gt;0,"Missing ID",""),IF(COUNTIF($A$8:$A$307,A286)&gt;1,"Duplicate ID",IF(OR(B286="",C286="",V286="",W286=""),"Source incomplete",IF(AND(H286&lt;&gt;"Pass",H286&lt;&gt;"Fail",H286&lt;&gt;"Unresolved"),"Choose compliance",IF(AND(I286&lt;&gt;"Not started",I286&lt;&gt;"In progress",I286&lt;&gt;"In review",I286&lt;&gt;"Complete"),"Choose progress",IF(AND(OR(H286="Pass",I286="Complete"),OR(J286="",K286="",L286="")),"Evidence or file missing",""))))))</f>
        <v/>
      </c>
      <c r="N286" s="29"/>
      <c r="O286" s="29"/>
      <c r="P286" s="29"/>
      <c r="Q286" s="29"/>
      <c r="R286" s="29"/>
      <c r="S286" s="29"/>
      <c r="T286" s="29"/>
      <c r="U286" s="29"/>
      <c r="V286" s="29"/>
      <c r="W286" s="29"/>
      <c r="X286" s="29"/>
    </row>
    <row r="287" customFormat="false" ht="44" hidden="false" customHeight="true" outlineLevel="0" collapsed="false">
      <c r="A287" s="29"/>
      <c r="B287" s="39"/>
      <c r="C287" s="39"/>
      <c r="D287" s="29"/>
      <c r="E287" s="29"/>
      <c r="F287" s="29"/>
      <c r="G287" s="29"/>
      <c r="H287" s="34"/>
      <c r="I287" s="34"/>
      <c r="J287" s="34"/>
      <c r="K287" s="34"/>
      <c r="L287" s="34"/>
      <c r="M287" s="35" t="str">
        <f aca="false">IF(A287="",IF(SUMPRODUCT(--(B287:L287&lt;&gt;""))+SUMPRODUCT(--(N287:X287&lt;&gt;""))&gt;0,"Missing ID",""),IF(COUNTIF($A$8:$A$307,A287)&gt;1,"Duplicate ID",IF(OR(B287="",C287="",V287="",W287=""),"Source incomplete",IF(AND(H287&lt;&gt;"Pass",H287&lt;&gt;"Fail",H287&lt;&gt;"Unresolved"),"Choose compliance",IF(AND(I287&lt;&gt;"Not started",I287&lt;&gt;"In progress",I287&lt;&gt;"In review",I287&lt;&gt;"Complete"),"Choose progress",IF(AND(OR(H287="Pass",I287="Complete"),OR(J287="",K287="",L287="")),"Evidence or file missing",""))))))</f>
        <v/>
      </c>
      <c r="N287" s="29"/>
      <c r="O287" s="29"/>
      <c r="P287" s="29"/>
      <c r="Q287" s="29"/>
      <c r="R287" s="29"/>
      <c r="S287" s="29"/>
      <c r="T287" s="29"/>
      <c r="U287" s="29"/>
      <c r="V287" s="29"/>
      <c r="W287" s="29"/>
      <c r="X287" s="29"/>
    </row>
    <row r="288" customFormat="false" ht="44" hidden="false" customHeight="true" outlineLevel="0" collapsed="false">
      <c r="A288" s="29"/>
      <c r="B288" s="39"/>
      <c r="C288" s="39"/>
      <c r="D288" s="29"/>
      <c r="E288" s="29"/>
      <c r="F288" s="29"/>
      <c r="G288" s="29"/>
      <c r="H288" s="34"/>
      <c r="I288" s="34"/>
      <c r="J288" s="34"/>
      <c r="K288" s="34"/>
      <c r="L288" s="34"/>
      <c r="M288" s="35" t="str">
        <f aca="false">IF(A288="",IF(SUMPRODUCT(--(B288:L288&lt;&gt;""))+SUMPRODUCT(--(N288:X288&lt;&gt;""))&gt;0,"Missing ID",""),IF(COUNTIF($A$8:$A$307,A288)&gt;1,"Duplicate ID",IF(OR(B288="",C288="",V288="",W288=""),"Source incomplete",IF(AND(H288&lt;&gt;"Pass",H288&lt;&gt;"Fail",H288&lt;&gt;"Unresolved"),"Choose compliance",IF(AND(I288&lt;&gt;"Not started",I288&lt;&gt;"In progress",I288&lt;&gt;"In review",I288&lt;&gt;"Complete"),"Choose progress",IF(AND(OR(H288="Pass",I288="Complete"),OR(J288="",K288="",L288="")),"Evidence or file missing",""))))))</f>
        <v/>
      </c>
      <c r="N288" s="29"/>
      <c r="O288" s="29"/>
      <c r="P288" s="29"/>
      <c r="Q288" s="29"/>
      <c r="R288" s="29"/>
      <c r="S288" s="29"/>
      <c r="T288" s="29"/>
      <c r="U288" s="29"/>
      <c r="V288" s="29"/>
      <c r="W288" s="29"/>
      <c r="X288" s="29"/>
    </row>
    <row r="289" customFormat="false" ht="44" hidden="false" customHeight="true" outlineLevel="0" collapsed="false">
      <c r="A289" s="29"/>
      <c r="B289" s="39"/>
      <c r="C289" s="39"/>
      <c r="D289" s="29"/>
      <c r="E289" s="29"/>
      <c r="F289" s="29"/>
      <c r="G289" s="29"/>
      <c r="H289" s="34"/>
      <c r="I289" s="34"/>
      <c r="J289" s="34"/>
      <c r="K289" s="34"/>
      <c r="L289" s="34"/>
      <c r="M289" s="35" t="str">
        <f aca="false">IF(A289="",IF(SUMPRODUCT(--(B289:L289&lt;&gt;""))+SUMPRODUCT(--(N289:X289&lt;&gt;""))&gt;0,"Missing ID",""),IF(COUNTIF($A$8:$A$307,A289)&gt;1,"Duplicate ID",IF(OR(B289="",C289="",V289="",W289=""),"Source incomplete",IF(AND(H289&lt;&gt;"Pass",H289&lt;&gt;"Fail",H289&lt;&gt;"Unresolved"),"Choose compliance",IF(AND(I289&lt;&gt;"Not started",I289&lt;&gt;"In progress",I289&lt;&gt;"In review",I289&lt;&gt;"Complete"),"Choose progress",IF(AND(OR(H289="Pass",I289="Complete"),OR(J289="",K289="",L289="")),"Evidence or file missing",""))))))</f>
        <v/>
      </c>
      <c r="N289" s="29"/>
      <c r="O289" s="29"/>
      <c r="P289" s="29"/>
      <c r="Q289" s="29"/>
      <c r="R289" s="29"/>
      <c r="S289" s="29"/>
      <c r="T289" s="29"/>
      <c r="U289" s="29"/>
      <c r="V289" s="29"/>
      <c r="W289" s="29"/>
      <c r="X289" s="29"/>
    </row>
    <row r="290" customFormat="false" ht="44" hidden="false" customHeight="true" outlineLevel="0" collapsed="false">
      <c r="A290" s="29"/>
      <c r="B290" s="39"/>
      <c r="C290" s="39"/>
      <c r="D290" s="29"/>
      <c r="E290" s="29"/>
      <c r="F290" s="29"/>
      <c r="G290" s="29"/>
      <c r="H290" s="34"/>
      <c r="I290" s="34"/>
      <c r="J290" s="34"/>
      <c r="K290" s="34"/>
      <c r="L290" s="34"/>
      <c r="M290" s="35" t="str">
        <f aca="false">IF(A290="",IF(SUMPRODUCT(--(B290:L290&lt;&gt;""))+SUMPRODUCT(--(N290:X290&lt;&gt;""))&gt;0,"Missing ID",""),IF(COUNTIF($A$8:$A$307,A290)&gt;1,"Duplicate ID",IF(OR(B290="",C290="",V290="",W290=""),"Source incomplete",IF(AND(H290&lt;&gt;"Pass",H290&lt;&gt;"Fail",H290&lt;&gt;"Unresolved"),"Choose compliance",IF(AND(I290&lt;&gt;"Not started",I290&lt;&gt;"In progress",I290&lt;&gt;"In review",I290&lt;&gt;"Complete"),"Choose progress",IF(AND(OR(H290="Pass",I290="Complete"),OR(J290="",K290="",L290="")),"Evidence or file missing",""))))))</f>
        <v/>
      </c>
      <c r="N290" s="29"/>
      <c r="O290" s="29"/>
      <c r="P290" s="29"/>
      <c r="Q290" s="29"/>
      <c r="R290" s="29"/>
      <c r="S290" s="29"/>
      <c r="T290" s="29"/>
      <c r="U290" s="29"/>
      <c r="V290" s="29"/>
      <c r="W290" s="29"/>
      <c r="X290" s="29"/>
    </row>
    <row r="291" customFormat="false" ht="44" hidden="false" customHeight="true" outlineLevel="0" collapsed="false">
      <c r="A291" s="29"/>
      <c r="B291" s="39"/>
      <c r="C291" s="39"/>
      <c r="D291" s="29"/>
      <c r="E291" s="29"/>
      <c r="F291" s="29"/>
      <c r="G291" s="29"/>
      <c r="H291" s="34"/>
      <c r="I291" s="34"/>
      <c r="J291" s="34"/>
      <c r="K291" s="34"/>
      <c r="L291" s="34"/>
      <c r="M291" s="35" t="str">
        <f aca="false">IF(A291="",IF(SUMPRODUCT(--(B291:L291&lt;&gt;""))+SUMPRODUCT(--(N291:X291&lt;&gt;""))&gt;0,"Missing ID",""),IF(COUNTIF($A$8:$A$307,A291)&gt;1,"Duplicate ID",IF(OR(B291="",C291="",V291="",W291=""),"Source incomplete",IF(AND(H291&lt;&gt;"Pass",H291&lt;&gt;"Fail",H291&lt;&gt;"Unresolved"),"Choose compliance",IF(AND(I291&lt;&gt;"Not started",I291&lt;&gt;"In progress",I291&lt;&gt;"In review",I291&lt;&gt;"Complete"),"Choose progress",IF(AND(OR(H291="Pass",I291="Complete"),OR(J291="",K291="",L291="")),"Evidence or file missing",""))))))</f>
        <v/>
      </c>
      <c r="N291" s="29"/>
      <c r="O291" s="29"/>
      <c r="P291" s="29"/>
      <c r="Q291" s="29"/>
      <c r="R291" s="29"/>
      <c r="S291" s="29"/>
      <c r="T291" s="29"/>
      <c r="U291" s="29"/>
      <c r="V291" s="29"/>
      <c r="W291" s="29"/>
      <c r="X291" s="29"/>
    </row>
    <row r="292" customFormat="false" ht="44" hidden="false" customHeight="true" outlineLevel="0" collapsed="false">
      <c r="A292" s="29"/>
      <c r="B292" s="39"/>
      <c r="C292" s="39"/>
      <c r="D292" s="29"/>
      <c r="E292" s="29"/>
      <c r="F292" s="29"/>
      <c r="G292" s="29"/>
      <c r="H292" s="34"/>
      <c r="I292" s="34"/>
      <c r="J292" s="34"/>
      <c r="K292" s="34"/>
      <c r="L292" s="34"/>
      <c r="M292" s="35" t="str">
        <f aca="false">IF(A292="",IF(SUMPRODUCT(--(B292:L292&lt;&gt;""))+SUMPRODUCT(--(N292:X292&lt;&gt;""))&gt;0,"Missing ID",""),IF(COUNTIF($A$8:$A$307,A292)&gt;1,"Duplicate ID",IF(OR(B292="",C292="",V292="",W292=""),"Source incomplete",IF(AND(H292&lt;&gt;"Pass",H292&lt;&gt;"Fail",H292&lt;&gt;"Unresolved"),"Choose compliance",IF(AND(I292&lt;&gt;"Not started",I292&lt;&gt;"In progress",I292&lt;&gt;"In review",I292&lt;&gt;"Complete"),"Choose progress",IF(AND(OR(H292="Pass",I292="Complete"),OR(J292="",K292="",L292="")),"Evidence or file missing",""))))))</f>
        <v/>
      </c>
      <c r="N292" s="29"/>
      <c r="O292" s="29"/>
      <c r="P292" s="29"/>
      <c r="Q292" s="29"/>
      <c r="R292" s="29"/>
      <c r="S292" s="29"/>
      <c r="T292" s="29"/>
      <c r="U292" s="29"/>
      <c r="V292" s="29"/>
      <c r="W292" s="29"/>
      <c r="X292" s="29"/>
    </row>
    <row r="293" customFormat="false" ht="44" hidden="false" customHeight="true" outlineLevel="0" collapsed="false">
      <c r="A293" s="29"/>
      <c r="B293" s="39"/>
      <c r="C293" s="39"/>
      <c r="D293" s="29"/>
      <c r="E293" s="29"/>
      <c r="F293" s="29"/>
      <c r="G293" s="29"/>
      <c r="H293" s="34"/>
      <c r="I293" s="34"/>
      <c r="J293" s="34"/>
      <c r="K293" s="34"/>
      <c r="L293" s="34"/>
      <c r="M293" s="35" t="str">
        <f aca="false">IF(A293="",IF(SUMPRODUCT(--(B293:L293&lt;&gt;""))+SUMPRODUCT(--(N293:X293&lt;&gt;""))&gt;0,"Missing ID",""),IF(COUNTIF($A$8:$A$307,A293)&gt;1,"Duplicate ID",IF(OR(B293="",C293="",V293="",W293=""),"Source incomplete",IF(AND(H293&lt;&gt;"Pass",H293&lt;&gt;"Fail",H293&lt;&gt;"Unresolved"),"Choose compliance",IF(AND(I293&lt;&gt;"Not started",I293&lt;&gt;"In progress",I293&lt;&gt;"In review",I293&lt;&gt;"Complete"),"Choose progress",IF(AND(OR(H293="Pass",I293="Complete"),OR(J293="",K293="",L293="")),"Evidence or file missing",""))))))</f>
        <v/>
      </c>
      <c r="N293" s="29"/>
      <c r="O293" s="29"/>
      <c r="P293" s="29"/>
      <c r="Q293" s="29"/>
      <c r="R293" s="29"/>
      <c r="S293" s="29"/>
      <c r="T293" s="29"/>
      <c r="U293" s="29"/>
      <c r="V293" s="29"/>
      <c r="W293" s="29"/>
      <c r="X293" s="29"/>
    </row>
    <row r="294" customFormat="false" ht="44" hidden="false" customHeight="true" outlineLevel="0" collapsed="false">
      <c r="A294" s="29"/>
      <c r="B294" s="39"/>
      <c r="C294" s="39"/>
      <c r="D294" s="29"/>
      <c r="E294" s="29"/>
      <c r="F294" s="29"/>
      <c r="G294" s="29"/>
      <c r="H294" s="34"/>
      <c r="I294" s="34"/>
      <c r="J294" s="34"/>
      <c r="K294" s="34"/>
      <c r="L294" s="34"/>
      <c r="M294" s="35" t="str">
        <f aca="false">IF(A294="",IF(SUMPRODUCT(--(B294:L294&lt;&gt;""))+SUMPRODUCT(--(N294:X294&lt;&gt;""))&gt;0,"Missing ID",""),IF(COUNTIF($A$8:$A$307,A294)&gt;1,"Duplicate ID",IF(OR(B294="",C294="",V294="",W294=""),"Source incomplete",IF(AND(H294&lt;&gt;"Pass",H294&lt;&gt;"Fail",H294&lt;&gt;"Unresolved"),"Choose compliance",IF(AND(I294&lt;&gt;"Not started",I294&lt;&gt;"In progress",I294&lt;&gt;"In review",I294&lt;&gt;"Complete"),"Choose progress",IF(AND(OR(H294="Pass",I294="Complete"),OR(J294="",K294="",L294="")),"Evidence or file missing",""))))))</f>
        <v/>
      </c>
      <c r="N294" s="29"/>
      <c r="O294" s="29"/>
      <c r="P294" s="29"/>
      <c r="Q294" s="29"/>
      <c r="R294" s="29"/>
      <c r="S294" s="29"/>
      <c r="T294" s="29"/>
      <c r="U294" s="29"/>
      <c r="V294" s="29"/>
      <c r="W294" s="29"/>
      <c r="X294" s="29"/>
    </row>
    <row r="295" customFormat="false" ht="44" hidden="false" customHeight="true" outlineLevel="0" collapsed="false">
      <c r="A295" s="29"/>
      <c r="B295" s="39"/>
      <c r="C295" s="39"/>
      <c r="D295" s="29"/>
      <c r="E295" s="29"/>
      <c r="F295" s="29"/>
      <c r="G295" s="29"/>
      <c r="H295" s="34"/>
      <c r="I295" s="34"/>
      <c r="J295" s="34"/>
      <c r="K295" s="34"/>
      <c r="L295" s="34"/>
      <c r="M295" s="35" t="str">
        <f aca="false">IF(A295="",IF(SUMPRODUCT(--(B295:L295&lt;&gt;""))+SUMPRODUCT(--(N295:X295&lt;&gt;""))&gt;0,"Missing ID",""),IF(COUNTIF($A$8:$A$307,A295)&gt;1,"Duplicate ID",IF(OR(B295="",C295="",V295="",W295=""),"Source incomplete",IF(AND(H295&lt;&gt;"Pass",H295&lt;&gt;"Fail",H295&lt;&gt;"Unresolved"),"Choose compliance",IF(AND(I295&lt;&gt;"Not started",I295&lt;&gt;"In progress",I295&lt;&gt;"In review",I295&lt;&gt;"Complete"),"Choose progress",IF(AND(OR(H295="Pass",I295="Complete"),OR(J295="",K295="",L295="")),"Evidence or file missing",""))))))</f>
        <v/>
      </c>
      <c r="N295" s="29"/>
      <c r="O295" s="29"/>
      <c r="P295" s="29"/>
      <c r="Q295" s="29"/>
      <c r="R295" s="29"/>
      <c r="S295" s="29"/>
      <c r="T295" s="29"/>
      <c r="U295" s="29"/>
      <c r="V295" s="29"/>
      <c r="W295" s="29"/>
      <c r="X295" s="29"/>
    </row>
    <row r="296" customFormat="false" ht="44" hidden="false" customHeight="true" outlineLevel="0" collapsed="false">
      <c r="A296" s="29"/>
      <c r="B296" s="39"/>
      <c r="C296" s="39"/>
      <c r="D296" s="29"/>
      <c r="E296" s="29"/>
      <c r="F296" s="29"/>
      <c r="G296" s="29"/>
      <c r="H296" s="34"/>
      <c r="I296" s="34"/>
      <c r="J296" s="34"/>
      <c r="K296" s="34"/>
      <c r="L296" s="34"/>
      <c r="M296" s="35" t="str">
        <f aca="false">IF(A296="",IF(SUMPRODUCT(--(B296:L296&lt;&gt;""))+SUMPRODUCT(--(N296:X296&lt;&gt;""))&gt;0,"Missing ID",""),IF(COUNTIF($A$8:$A$307,A296)&gt;1,"Duplicate ID",IF(OR(B296="",C296="",V296="",W296=""),"Source incomplete",IF(AND(H296&lt;&gt;"Pass",H296&lt;&gt;"Fail",H296&lt;&gt;"Unresolved"),"Choose compliance",IF(AND(I296&lt;&gt;"Not started",I296&lt;&gt;"In progress",I296&lt;&gt;"In review",I296&lt;&gt;"Complete"),"Choose progress",IF(AND(OR(H296="Pass",I296="Complete"),OR(J296="",K296="",L296="")),"Evidence or file missing",""))))))</f>
        <v/>
      </c>
      <c r="N296" s="29"/>
      <c r="O296" s="29"/>
      <c r="P296" s="29"/>
      <c r="Q296" s="29"/>
      <c r="R296" s="29"/>
      <c r="S296" s="29"/>
      <c r="T296" s="29"/>
      <c r="U296" s="29"/>
      <c r="V296" s="29"/>
      <c r="W296" s="29"/>
      <c r="X296" s="29"/>
    </row>
    <row r="297" customFormat="false" ht="44" hidden="false" customHeight="true" outlineLevel="0" collapsed="false">
      <c r="A297" s="29"/>
      <c r="B297" s="39"/>
      <c r="C297" s="39"/>
      <c r="D297" s="29"/>
      <c r="E297" s="29"/>
      <c r="F297" s="29"/>
      <c r="G297" s="29"/>
      <c r="H297" s="34"/>
      <c r="I297" s="34"/>
      <c r="J297" s="34"/>
      <c r="K297" s="34"/>
      <c r="L297" s="34"/>
      <c r="M297" s="35" t="str">
        <f aca="false">IF(A297="",IF(SUMPRODUCT(--(B297:L297&lt;&gt;""))+SUMPRODUCT(--(N297:X297&lt;&gt;""))&gt;0,"Missing ID",""),IF(COUNTIF($A$8:$A$307,A297)&gt;1,"Duplicate ID",IF(OR(B297="",C297="",V297="",W297=""),"Source incomplete",IF(AND(H297&lt;&gt;"Pass",H297&lt;&gt;"Fail",H297&lt;&gt;"Unresolved"),"Choose compliance",IF(AND(I297&lt;&gt;"Not started",I297&lt;&gt;"In progress",I297&lt;&gt;"In review",I297&lt;&gt;"Complete"),"Choose progress",IF(AND(OR(H297="Pass",I297="Complete"),OR(J297="",K297="",L297="")),"Evidence or file missing",""))))))</f>
        <v/>
      </c>
      <c r="N297" s="29"/>
      <c r="O297" s="29"/>
      <c r="P297" s="29"/>
      <c r="Q297" s="29"/>
      <c r="R297" s="29"/>
      <c r="S297" s="29"/>
      <c r="T297" s="29"/>
      <c r="U297" s="29"/>
      <c r="V297" s="29"/>
      <c r="W297" s="29"/>
      <c r="X297" s="29"/>
    </row>
    <row r="298" customFormat="false" ht="44" hidden="false" customHeight="true" outlineLevel="0" collapsed="false">
      <c r="A298" s="29"/>
      <c r="B298" s="39"/>
      <c r="C298" s="39"/>
      <c r="D298" s="29"/>
      <c r="E298" s="29"/>
      <c r="F298" s="29"/>
      <c r="G298" s="29"/>
      <c r="H298" s="34"/>
      <c r="I298" s="34"/>
      <c r="J298" s="34"/>
      <c r="K298" s="34"/>
      <c r="L298" s="34"/>
      <c r="M298" s="35" t="str">
        <f aca="false">IF(A298="",IF(SUMPRODUCT(--(B298:L298&lt;&gt;""))+SUMPRODUCT(--(N298:X298&lt;&gt;""))&gt;0,"Missing ID",""),IF(COUNTIF($A$8:$A$307,A298)&gt;1,"Duplicate ID",IF(OR(B298="",C298="",V298="",W298=""),"Source incomplete",IF(AND(H298&lt;&gt;"Pass",H298&lt;&gt;"Fail",H298&lt;&gt;"Unresolved"),"Choose compliance",IF(AND(I298&lt;&gt;"Not started",I298&lt;&gt;"In progress",I298&lt;&gt;"In review",I298&lt;&gt;"Complete"),"Choose progress",IF(AND(OR(H298="Pass",I298="Complete"),OR(J298="",K298="",L298="")),"Evidence or file missing",""))))))</f>
        <v/>
      </c>
      <c r="N298" s="29"/>
      <c r="O298" s="29"/>
      <c r="P298" s="29"/>
      <c r="Q298" s="29"/>
      <c r="R298" s="29"/>
      <c r="S298" s="29"/>
      <c r="T298" s="29"/>
      <c r="U298" s="29"/>
      <c r="V298" s="29"/>
      <c r="W298" s="29"/>
      <c r="X298" s="29"/>
    </row>
    <row r="299" customFormat="false" ht="44" hidden="false" customHeight="true" outlineLevel="0" collapsed="false">
      <c r="A299" s="29"/>
      <c r="B299" s="39"/>
      <c r="C299" s="39"/>
      <c r="D299" s="29"/>
      <c r="E299" s="29"/>
      <c r="F299" s="29"/>
      <c r="G299" s="29"/>
      <c r="H299" s="34"/>
      <c r="I299" s="34"/>
      <c r="J299" s="34"/>
      <c r="K299" s="34"/>
      <c r="L299" s="34"/>
      <c r="M299" s="35" t="str">
        <f aca="false">IF(A299="",IF(SUMPRODUCT(--(B299:L299&lt;&gt;""))+SUMPRODUCT(--(N299:X299&lt;&gt;""))&gt;0,"Missing ID",""),IF(COUNTIF($A$8:$A$307,A299)&gt;1,"Duplicate ID",IF(OR(B299="",C299="",V299="",W299=""),"Source incomplete",IF(AND(H299&lt;&gt;"Pass",H299&lt;&gt;"Fail",H299&lt;&gt;"Unresolved"),"Choose compliance",IF(AND(I299&lt;&gt;"Not started",I299&lt;&gt;"In progress",I299&lt;&gt;"In review",I299&lt;&gt;"Complete"),"Choose progress",IF(AND(OR(H299="Pass",I299="Complete"),OR(J299="",K299="",L299="")),"Evidence or file missing",""))))))</f>
        <v/>
      </c>
      <c r="N299" s="29"/>
      <c r="O299" s="29"/>
      <c r="P299" s="29"/>
      <c r="Q299" s="29"/>
      <c r="R299" s="29"/>
      <c r="S299" s="29"/>
      <c r="T299" s="29"/>
      <c r="U299" s="29"/>
      <c r="V299" s="29"/>
      <c r="W299" s="29"/>
      <c r="X299" s="29"/>
    </row>
    <row r="300" customFormat="false" ht="44" hidden="false" customHeight="true" outlineLevel="0" collapsed="false">
      <c r="A300" s="29"/>
      <c r="B300" s="39"/>
      <c r="C300" s="39"/>
      <c r="D300" s="29"/>
      <c r="E300" s="29"/>
      <c r="F300" s="29"/>
      <c r="G300" s="29"/>
      <c r="H300" s="34"/>
      <c r="I300" s="34"/>
      <c r="J300" s="34"/>
      <c r="K300" s="34"/>
      <c r="L300" s="34"/>
      <c r="M300" s="35" t="str">
        <f aca="false">IF(A300="",IF(SUMPRODUCT(--(B300:L300&lt;&gt;""))+SUMPRODUCT(--(N300:X300&lt;&gt;""))&gt;0,"Missing ID",""),IF(COUNTIF($A$8:$A$307,A300)&gt;1,"Duplicate ID",IF(OR(B300="",C300="",V300="",W300=""),"Source incomplete",IF(AND(H300&lt;&gt;"Pass",H300&lt;&gt;"Fail",H300&lt;&gt;"Unresolved"),"Choose compliance",IF(AND(I300&lt;&gt;"Not started",I300&lt;&gt;"In progress",I300&lt;&gt;"In review",I300&lt;&gt;"Complete"),"Choose progress",IF(AND(OR(H300="Pass",I300="Complete"),OR(J300="",K300="",L300="")),"Evidence or file missing",""))))))</f>
        <v/>
      </c>
      <c r="N300" s="29"/>
      <c r="O300" s="29"/>
      <c r="P300" s="29"/>
      <c r="Q300" s="29"/>
      <c r="R300" s="29"/>
      <c r="S300" s="29"/>
      <c r="T300" s="29"/>
      <c r="U300" s="29"/>
      <c r="V300" s="29"/>
      <c r="W300" s="29"/>
      <c r="X300" s="29"/>
    </row>
    <row r="301" customFormat="false" ht="44" hidden="false" customHeight="true" outlineLevel="0" collapsed="false">
      <c r="A301" s="29"/>
      <c r="B301" s="39"/>
      <c r="C301" s="39"/>
      <c r="D301" s="29"/>
      <c r="E301" s="29"/>
      <c r="F301" s="29"/>
      <c r="G301" s="29"/>
      <c r="H301" s="34"/>
      <c r="I301" s="34"/>
      <c r="J301" s="34"/>
      <c r="K301" s="34"/>
      <c r="L301" s="34"/>
      <c r="M301" s="35" t="str">
        <f aca="false">IF(A301="",IF(SUMPRODUCT(--(B301:L301&lt;&gt;""))+SUMPRODUCT(--(N301:X301&lt;&gt;""))&gt;0,"Missing ID",""),IF(COUNTIF($A$8:$A$307,A301)&gt;1,"Duplicate ID",IF(OR(B301="",C301="",V301="",W301=""),"Source incomplete",IF(AND(H301&lt;&gt;"Pass",H301&lt;&gt;"Fail",H301&lt;&gt;"Unresolved"),"Choose compliance",IF(AND(I301&lt;&gt;"Not started",I301&lt;&gt;"In progress",I301&lt;&gt;"In review",I301&lt;&gt;"Complete"),"Choose progress",IF(AND(OR(H301="Pass",I301="Complete"),OR(J301="",K301="",L301="")),"Evidence or file missing",""))))))</f>
        <v/>
      </c>
      <c r="N301" s="29"/>
      <c r="O301" s="29"/>
      <c r="P301" s="29"/>
      <c r="Q301" s="29"/>
      <c r="R301" s="29"/>
      <c r="S301" s="29"/>
      <c r="T301" s="29"/>
      <c r="U301" s="29"/>
      <c r="V301" s="29"/>
      <c r="W301" s="29"/>
      <c r="X301" s="29"/>
    </row>
    <row r="302" customFormat="false" ht="44" hidden="false" customHeight="true" outlineLevel="0" collapsed="false">
      <c r="A302" s="29"/>
      <c r="B302" s="39"/>
      <c r="C302" s="39"/>
      <c r="D302" s="29"/>
      <c r="E302" s="29"/>
      <c r="F302" s="29"/>
      <c r="G302" s="29"/>
      <c r="H302" s="34"/>
      <c r="I302" s="34"/>
      <c r="J302" s="34"/>
      <c r="K302" s="34"/>
      <c r="L302" s="34"/>
      <c r="M302" s="35" t="str">
        <f aca="false">IF(A302="",IF(SUMPRODUCT(--(B302:L302&lt;&gt;""))+SUMPRODUCT(--(N302:X302&lt;&gt;""))&gt;0,"Missing ID",""),IF(COUNTIF($A$8:$A$307,A302)&gt;1,"Duplicate ID",IF(OR(B302="",C302="",V302="",W302=""),"Source incomplete",IF(AND(H302&lt;&gt;"Pass",H302&lt;&gt;"Fail",H302&lt;&gt;"Unresolved"),"Choose compliance",IF(AND(I302&lt;&gt;"Not started",I302&lt;&gt;"In progress",I302&lt;&gt;"In review",I302&lt;&gt;"Complete"),"Choose progress",IF(AND(OR(H302="Pass",I302="Complete"),OR(J302="",K302="",L302="")),"Evidence or file missing",""))))))</f>
        <v/>
      </c>
      <c r="N302" s="29"/>
      <c r="O302" s="29"/>
      <c r="P302" s="29"/>
      <c r="Q302" s="29"/>
      <c r="R302" s="29"/>
      <c r="S302" s="29"/>
      <c r="T302" s="29"/>
      <c r="U302" s="29"/>
      <c r="V302" s="29"/>
      <c r="W302" s="29"/>
      <c r="X302" s="29"/>
    </row>
    <row r="303" customFormat="false" ht="44" hidden="false" customHeight="true" outlineLevel="0" collapsed="false">
      <c r="A303" s="29"/>
      <c r="B303" s="39"/>
      <c r="C303" s="39"/>
      <c r="D303" s="29"/>
      <c r="E303" s="29"/>
      <c r="F303" s="29"/>
      <c r="G303" s="29"/>
      <c r="H303" s="34"/>
      <c r="I303" s="34"/>
      <c r="J303" s="34"/>
      <c r="K303" s="34"/>
      <c r="L303" s="34"/>
      <c r="M303" s="35" t="str">
        <f aca="false">IF(A303="",IF(SUMPRODUCT(--(B303:L303&lt;&gt;""))+SUMPRODUCT(--(N303:X303&lt;&gt;""))&gt;0,"Missing ID",""),IF(COUNTIF($A$8:$A$307,A303)&gt;1,"Duplicate ID",IF(OR(B303="",C303="",V303="",W303=""),"Source incomplete",IF(AND(H303&lt;&gt;"Pass",H303&lt;&gt;"Fail",H303&lt;&gt;"Unresolved"),"Choose compliance",IF(AND(I303&lt;&gt;"Not started",I303&lt;&gt;"In progress",I303&lt;&gt;"In review",I303&lt;&gt;"Complete"),"Choose progress",IF(AND(OR(H303="Pass",I303="Complete"),OR(J303="",K303="",L303="")),"Evidence or file missing",""))))))</f>
        <v/>
      </c>
      <c r="N303" s="29"/>
      <c r="O303" s="29"/>
      <c r="P303" s="29"/>
      <c r="Q303" s="29"/>
      <c r="R303" s="29"/>
      <c r="S303" s="29"/>
      <c r="T303" s="29"/>
      <c r="U303" s="29"/>
      <c r="V303" s="29"/>
      <c r="W303" s="29"/>
      <c r="X303" s="29"/>
    </row>
    <row r="304" customFormat="false" ht="44" hidden="false" customHeight="true" outlineLevel="0" collapsed="false">
      <c r="A304" s="29"/>
      <c r="B304" s="39"/>
      <c r="C304" s="39"/>
      <c r="D304" s="29"/>
      <c r="E304" s="29"/>
      <c r="F304" s="29"/>
      <c r="G304" s="29"/>
      <c r="H304" s="34"/>
      <c r="I304" s="34"/>
      <c r="J304" s="34"/>
      <c r="K304" s="34"/>
      <c r="L304" s="34"/>
      <c r="M304" s="35" t="str">
        <f aca="false">IF(A304="",IF(SUMPRODUCT(--(B304:L304&lt;&gt;""))+SUMPRODUCT(--(N304:X304&lt;&gt;""))&gt;0,"Missing ID",""),IF(COUNTIF($A$8:$A$307,A304)&gt;1,"Duplicate ID",IF(OR(B304="",C304="",V304="",W304=""),"Source incomplete",IF(AND(H304&lt;&gt;"Pass",H304&lt;&gt;"Fail",H304&lt;&gt;"Unresolved"),"Choose compliance",IF(AND(I304&lt;&gt;"Not started",I304&lt;&gt;"In progress",I304&lt;&gt;"In review",I304&lt;&gt;"Complete"),"Choose progress",IF(AND(OR(H304="Pass",I304="Complete"),OR(J304="",K304="",L304="")),"Evidence or file missing",""))))))</f>
        <v/>
      </c>
      <c r="N304" s="29"/>
      <c r="O304" s="29"/>
      <c r="P304" s="29"/>
      <c r="Q304" s="29"/>
      <c r="R304" s="29"/>
      <c r="S304" s="29"/>
      <c r="T304" s="29"/>
      <c r="U304" s="29"/>
      <c r="V304" s="29"/>
      <c r="W304" s="29"/>
      <c r="X304" s="29"/>
    </row>
    <row r="305" customFormat="false" ht="44" hidden="false" customHeight="true" outlineLevel="0" collapsed="false">
      <c r="A305" s="29"/>
      <c r="B305" s="39"/>
      <c r="C305" s="39"/>
      <c r="D305" s="29"/>
      <c r="E305" s="29"/>
      <c r="F305" s="29"/>
      <c r="G305" s="29"/>
      <c r="H305" s="34"/>
      <c r="I305" s="34"/>
      <c r="J305" s="34"/>
      <c r="K305" s="34"/>
      <c r="L305" s="34"/>
      <c r="M305" s="35" t="str">
        <f aca="false">IF(A305="",IF(SUMPRODUCT(--(B305:L305&lt;&gt;""))+SUMPRODUCT(--(N305:X305&lt;&gt;""))&gt;0,"Missing ID",""),IF(COUNTIF($A$8:$A$307,A305)&gt;1,"Duplicate ID",IF(OR(B305="",C305="",V305="",W305=""),"Source incomplete",IF(AND(H305&lt;&gt;"Pass",H305&lt;&gt;"Fail",H305&lt;&gt;"Unresolved"),"Choose compliance",IF(AND(I305&lt;&gt;"Not started",I305&lt;&gt;"In progress",I305&lt;&gt;"In review",I305&lt;&gt;"Complete"),"Choose progress",IF(AND(OR(H305="Pass",I305="Complete"),OR(J305="",K305="",L305="")),"Evidence or file missing",""))))))</f>
        <v/>
      </c>
      <c r="N305" s="29"/>
      <c r="O305" s="29"/>
      <c r="P305" s="29"/>
      <c r="Q305" s="29"/>
      <c r="R305" s="29"/>
      <c r="S305" s="29"/>
      <c r="T305" s="29"/>
      <c r="U305" s="29"/>
      <c r="V305" s="29"/>
      <c r="W305" s="29"/>
      <c r="X305" s="29"/>
    </row>
    <row r="306" customFormat="false" ht="44" hidden="false" customHeight="true" outlineLevel="0" collapsed="false">
      <c r="A306" s="29"/>
      <c r="B306" s="39"/>
      <c r="C306" s="39"/>
      <c r="D306" s="29"/>
      <c r="E306" s="29"/>
      <c r="F306" s="29"/>
      <c r="G306" s="29"/>
      <c r="H306" s="34"/>
      <c r="I306" s="34"/>
      <c r="J306" s="34"/>
      <c r="K306" s="34"/>
      <c r="L306" s="34"/>
      <c r="M306" s="35" t="str">
        <f aca="false">IF(A306="",IF(SUMPRODUCT(--(B306:L306&lt;&gt;""))+SUMPRODUCT(--(N306:X306&lt;&gt;""))&gt;0,"Missing ID",""),IF(COUNTIF($A$8:$A$307,A306)&gt;1,"Duplicate ID",IF(OR(B306="",C306="",V306="",W306=""),"Source incomplete",IF(AND(H306&lt;&gt;"Pass",H306&lt;&gt;"Fail",H306&lt;&gt;"Unresolved"),"Choose compliance",IF(AND(I306&lt;&gt;"Not started",I306&lt;&gt;"In progress",I306&lt;&gt;"In review",I306&lt;&gt;"Complete"),"Choose progress",IF(AND(OR(H306="Pass",I306="Complete"),OR(J306="",K306="",L306="")),"Evidence or file missing",""))))))</f>
        <v/>
      </c>
      <c r="N306" s="29"/>
      <c r="O306" s="29"/>
      <c r="P306" s="29"/>
      <c r="Q306" s="29"/>
      <c r="R306" s="29"/>
      <c r="S306" s="29"/>
      <c r="T306" s="29"/>
      <c r="U306" s="29"/>
      <c r="V306" s="29"/>
      <c r="W306" s="29"/>
      <c r="X306" s="29"/>
    </row>
    <row r="307" customFormat="false" ht="44" hidden="false" customHeight="true" outlineLevel="0" collapsed="false">
      <c r="A307" s="29"/>
      <c r="B307" s="39"/>
      <c r="C307" s="39"/>
      <c r="D307" s="29"/>
      <c r="E307" s="29"/>
      <c r="F307" s="29"/>
      <c r="G307" s="29"/>
      <c r="H307" s="34"/>
      <c r="I307" s="34"/>
      <c r="J307" s="34"/>
      <c r="K307" s="34"/>
      <c r="L307" s="34"/>
      <c r="M307" s="35" t="str">
        <f aca="false">IF(A307="",IF(SUMPRODUCT(--(B307:L307&lt;&gt;""))+SUMPRODUCT(--(N307:X307&lt;&gt;""))&gt;0,"Missing ID",""),IF(COUNTIF($A$8:$A$307,A307)&gt;1,"Duplicate ID",IF(OR(B307="",C307="",V307="",W307=""),"Source incomplete",IF(AND(H307&lt;&gt;"Pass",H307&lt;&gt;"Fail",H307&lt;&gt;"Unresolved"),"Choose compliance",IF(AND(I307&lt;&gt;"Not started",I307&lt;&gt;"In progress",I307&lt;&gt;"In review",I307&lt;&gt;"Complete"),"Choose progress",IF(AND(OR(H307="Pass",I307="Complete"),OR(J307="",K307="",L307="")),"Evidence or file missing",""))))))</f>
        <v/>
      </c>
      <c r="N307" s="29"/>
      <c r="O307" s="29"/>
      <c r="P307" s="29"/>
      <c r="Q307" s="29"/>
      <c r="R307" s="29"/>
      <c r="S307" s="29"/>
      <c r="T307" s="29"/>
      <c r="U307" s="29"/>
      <c r="V307" s="29"/>
      <c r="W307" s="29"/>
      <c r="X307" s="29"/>
    </row>
  </sheetData>
  <mergeCells count="2">
    <mergeCell ref="A1:C2"/>
    <mergeCell ref="A3:C5"/>
  </mergeCells>
  <conditionalFormatting sqref="L8:L127">
    <cfRule type="expression" priority="2" aboveAverage="0" equalAverage="0" bottom="0" percent="0" rank="0" text="" dxfId="1">
      <formula>$L8="Comply"</formula>
    </cfRule>
    <cfRule type="expression" priority="3" aboveAverage="0" equalAverage="0" bottom="0" percent="0" rank="0" text="" dxfId="29">
      <formula>$L8="Partial"</formula>
    </cfRule>
    <cfRule type="expression" priority="4" aboveAverage="0" equalAverage="0" bottom="0" percent="0" rank="0" text="" dxfId="30">
      <formula>$L8="Gap"</formula>
    </cfRule>
    <cfRule type="expression" priority="5" aboveAverage="0" equalAverage="0" bottom="0" percent="0" rank="0" text="" dxfId="0">
      <formula>$L8="Question"</formula>
    </cfRule>
    <cfRule type="expression" priority="6" aboveAverage="0" equalAverage="0" bottom="0" percent="0" rank="0" text="" dxfId="31">
      <formula>$L8="N/A"</formula>
    </cfRule>
  </conditionalFormatting>
  <conditionalFormatting sqref="M8:M127">
    <cfRule type="expression" priority="7" aboveAverage="0" equalAverage="0" bottom="0" percent="0" rank="0" text="" dxfId="31">
      <formula>$M8="Not Started"</formula>
    </cfRule>
    <cfRule type="expression" priority="8" aboveAverage="0" equalAverage="0" bottom="0" percent="0" rank="0" text="" dxfId="32">
      <formula>$M8="In Progress"</formula>
    </cfRule>
    <cfRule type="expression" priority="9" aboveAverage="0" equalAverage="0" bottom="0" percent="0" rank="0" text="" dxfId="0">
      <formula>$M8="In Review"</formula>
    </cfRule>
    <cfRule type="expression" priority="10" aboveAverage="0" equalAverage="0" bottom="0" percent="0" rank="0" text="" dxfId="1">
      <formula>$M8="Final"</formula>
    </cfRule>
  </conditionalFormatting>
  <conditionalFormatting sqref="U8:U127">
    <cfRule type="expression" priority="11" aboveAverage="0" equalAverage="0" bottom="0" percent="0" rank="0" text="" dxfId="30">
      <formula>$U8="Red flag"</formula>
    </cfRule>
    <cfRule type="expression" priority="12" aboveAverage="0" equalAverage="0" bottom="0" percent="0" rank="0" text="" dxfId="0">
      <formula>$U8="Needs action"</formula>
    </cfRule>
    <cfRule type="expression" priority="13" aboveAverage="0" equalAverage="0" bottom="0" percent="0" rank="0" text="" dxfId="29">
      <formula>$U8="Review"</formula>
    </cfRule>
    <cfRule type="expression" priority="14" aboveAverage="0" equalAverage="0" bottom="0" percent="0" rank="0" text="" dxfId="1">
      <formula>$U8="Closed"</formula>
    </cfRule>
  </conditionalFormatting>
  <conditionalFormatting sqref="H8:I307">
    <cfRule type="cellIs" priority="15" operator="equal" aboveAverage="0" equalAverage="0" bottom="0" percent="0" rank="0" text="" dxfId="33">
      <formula>"Unresolved"</formula>
    </cfRule>
    <cfRule type="cellIs" priority="16" operator="equal" aboveAverage="0" equalAverage="0" bottom="0" percent="0" rank="0" text="" dxfId="34">
      <formula>"Fail"</formula>
    </cfRule>
    <cfRule type="cellIs" priority="17" operator="equal" aboveAverage="0" equalAverage="0" bottom="0" percent="0" rank="0" text="" dxfId="35">
      <formula>"Pass"</formula>
    </cfRule>
    <cfRule type="cellIs" priority="18" operator="equal" aboveAverage="0" equalAverage="0" bottom="0" percent="0" rank="0" text="" dxfId="36">
      <formula>"In progress"</formula>
    </cfRule>
    <cfRule type="cellIs" priority="19" operator="equal" aboveAverage="0" equalAverage="0" bottom="0" percent="0" rank="0" text="" dxfId="37">
      <formula>"In review"</formula>
    </cfRule>
    <cfRule type="cellIs" priority="20" operator="equal" aboveAverage="0" equalAverage="0" bottom="0" percent="0" rank="0" text="" dxfId="38">
      <formula>"Complete"</formula>
    </cfRule>
  </conditionalFormatting>
  <dataValidations count="3">
    <dataValidation allowBlank="true" error="Use the dropdown values." errorStyle="stop" errorTitle="Choose a listed value" operator="between" showDropDown="false" showErrorMessage="true" showInputMessage="false" sqref="H8:H307" type="list">
      <formula1>ComplianceStatuses</formula1>
      <formula2>0</formula2>
    </dataValidation>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 allowBlank="true" error="Use the dropdown values." errorStyle="stop" errorTitle="Choose a listed value" operator="between" showDropDown="false" showErrorMessage="true" showInputMessage="false" sqref="P8:P307" type="list">
      <formula1>RequirementLevels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&amp;L&amp;"Arial,Bold"&amp;12&amp;K000000Requirement Matrix</oddHeader>
    <oddFooter>&amp;L&amp;"Calibri"&amp;11&amp;K000000Requirement Matrix&amp;R&amp;"Calibri"&amp;11&amp;K000000Page &amp;P of &amp;N</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7.78"/>
    <col collapsed="false" customWidth="true" hidden="false" outlineLevel="0" max="2" min="2" style="0" width="23.33"/>
    <col collapsed="false" customWidth="true" hidden="false" outlineLevel="0" max="3" min="3" style="0" width="46.67"/>
    <col collapsed="false" customWidth="true" hidden="false" outlineLevel="0" max="4" min="4" style="0" width="16.67"/>
    <col collapsed="false" customWidth="true" hidden="false" outlineLevel="0" max="5" min="5" style="0" width="31.11"/>
    <col collapsed="false" customWidth="true" hidden="false" outlineLevel="0" max="6" min="6" style="0" width="8.34"/>
    <col collapsed="false" customWidth="true" hidden="false" outlineLevel="0" max="7" min="7" style="0" width="18.89"/>
    <col collapsed="false" customWidth="true" hidden="false" outlineLevel="0" max="8" min="8" style="0" width="23.89"/>
    <col collapsed="false" customWidth="true" hidden="false" outlineLevel="0" max="9" min="9" style="0" width="12.22"/>
    <col collapsed="false" customWidth="true" hidden="true" outlineLevel="1" max="10" min="10" style="0" width="18.89"/>
    <col collapsed="false" customWidth="true" hidden="true" outlineLevel="1" max="11" min="11" style="0" width="11.67"/>
    <col collapsed="false" customWidth="true" hidden="true" outlineLevel="1" max="12" min="12" style="0" width="33.33"/>
  </cols>
  <sheetData>
    <row r="1" customFormat="false" ht="23" hidden="false" customHeight="true" outlineLevel="0" collapsed="false">
      <c r="A1" s="28" t="s">
        <v>94</v>
      </c>
      <c r="B1" s="28" t="s">
        <v>94</v>
      </c>
      <c r="C1" s="28" t="s">
        <v>94</v>
      </c>
      <c r="D1" s="29"/>
      <c r="E1" s="29"/>
      <c r="F1" s="29"/>
      <c r="G1" s="29"/>
      <c r="H1" s="29"/>
      <c r="I1" s="29"/>
      <c r="J1" s="29"/>
      <c r="K1" s="29"/>
      <c r="L1" s="29"/>
    </row>
    <row r="2" customFormat="false" ht="23" hidden="false" customHeight="true" outlineLevel="0" collapsed="false">
      <c r="A2" s="28" t="s">
        <v>94</v>
      </c>
      <c r="B2" s="28" t="s">
        <v>94</v>
      </c>
      <c r="C2" s="28" t="s">
        <v>94</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22" hidden="false" customHeight="true" outlineLevel="0" collapsed="false">
      <c r="A5" s="11" t="s">
        <v>69</v>
      </c>
      <c r="B5" s="11" t="s">
        <v>69</v>
      </c>
      <c r="C5" s="11" t="s">
        <v>69</v>
      </c>
      <c r="D5" s="29"/>
      <c r="E5" s="29"/>
      <c r="F5" s="29"/>
      <c r="G5" s="29"/>
      <c r="H5" s="29"/>
      <c r="I5" s="29"/>
      <c r="J5" s="29"/>
      <c r="K5" s="29"/>
      <c r="L5" s="29"/>
    </row>
    <row r="6" customFormat="false" ht="44" hidden="false" customHeight="true" outlineLevel="0" collapsed="false">
      <c r="A6" s="29"/>
      <c r="B6" s="29"/>
      <c r="C6" s="29"/>
      <c r="D6" s="29"/>
      <c r="E6" s="29"/>
      <c r="F6" s="29"/>
      <c r="G6" s="29"/>
      <c r="H6" s="29"/>
      <c r="I6" s="29"/>
      <c r="J6" s="29"/>
      <c r="K6" s="29"/>
      <c r="L6" s="29"/>
    </row>
    <row r="7" customFormat="false" ht="42" hidden="false" customHeight="true" outlineLevel="0" collapsed="false">
      <c r="A7" s="30" t="s">
        <v>95</v>
      </c>
      <c r="B7" s="30" t="s">
        <v>96</v>
      </c>
      <c r="C7" s="30" t="s">
        <v>97</v>
      </c>
      <c r="D7" s="30" t="s">
        <v>72</v>
      </c>
      <c r="E7" s="30" t="s">
        <v>98</v>
      </c>
      <c r="F7" s="30" t="s">
        <v>74</v>
      </c>
      <c r="G7" s="30" t="s">
        <v>99</v>
      </c>
      <c r="H7" s="30" t="s">
        <v>100</v>
      </c>
      <c r="I7" s="30" t="s">
        <v>101</v>
      </c>
      <c r="J7" s="30" t="s">
        <v>102</v>
      </c>
      <c r="K7" s="30" t="s">
        <v>103</v>
      </c>
      <c r="L7" s="30" t="s">
        <v>91</v>
      </c>
    </row>
    <row r="8" customFormat="false" ht="44" hidden="false" customHeight="true" outlineLevel="0" collapsed="false">
      <c r="A8" s="31"/>
      <c r="B8" s="33"/>
      <c r="C8" s="33"/>
      <c r="D8" s="33"/>
      <c r="E8" s="33"/>
      <c r="F8" s="33"/>
      <c r="G8" s="33"/>
      <c r="H8" s="33"/>
      <c r="I8" s="33"/>
      <c r="J8" s="33"/>
      <c r="K8" s="33"/>
      <c r="L8" s="33"/>
    </row>
    <row r="9" customFormat="false" ht="44" hidden="false" customHeight="true" outlineLevel="0" collapsed="false">
      <c r="A9" s="36"/>
      <c r="B9" s="38"/>
      <c r="C9" s="38"/>
      <c r="D9" s="38"/>
      <c r="E9" s="38"/>
      <c r="F9" s="38"/>
      <c r="G9" s="38"/>
      <c r="H9" s="38"/>
      <c r="I9" s="38"/>
      <c r="J9" s="38"/>
      <c r="K9" s="38"/>
      <c r="L9" s="38"/>
    </row>
    <row r="10" customFormat="false" ht="44" hidden="false" customHeight="true" outlineLevel="0" collapsed="false">
      <c r="A10" s="31"/>
      <c r="B10" s="33"/>
      <c r="C10" s="33"/>
      <c r="D10" s="33"/>
      <c r="E10" s="33"/>
      <c r="F10" s="33"/>
      <c r="G10" s="33"/>
      <c r="H10" s="33"/>
      <c r="I10" s="33"/>
      <c r="J10" s="33"/>
      <c r="K10" s="33"/>
      <c r="L10" s="33"/>
    </row>
    <row r="11" customFormat="false" ht="44" hidden="false" customHeight="true" outlineLevel="0" collapsed="false">
      <c r="A11" s="36"/>
      <c r="B11" s="38"/>
      <c r="C11" s="38"/>
      <c r="D11" s="38"/>
      <c r="E11" s="38"/>
      <c r="F11" s="38"/>
      <c r="G11" s="38"/>
      <c r="H11" s="38"/>
      <c r="I11" s="38"/>
      <c r="J11" s="38"/>
      <c r="K11" s="38"/>
      <c r="L11" s="38"/>
    </row>
    <row r="12" customFormat="false" ht="44" hidden="false" customHeight="true" outlineLevel="0" collapsed="false">
      <c r="A12" s="31"/>
      <c r="B12" s="33"/>
      <c r="C12" s="33"/>
      <c r="D12" s="33"/>
      <c r="E12" s="33"/>
      <c r="F12" s="33"/>
      <c r="G12" s="33"/>
      <c r="H12" s="33"/>
      <c r="I12" s="33"/>
      <c r="J12" s="33"/>
      <c r="K12" s="33"/>
      <c r="L12" s="33"/>
    </row>
    <row r="13" customFormat="false" ht="44" hidden="false" customHeight="true" outlineLevel="0" collapsed="false">
      <c r="A13" s="36"/>
      <c r="B13" s="38"/>
      <c r="C13" s="38"/>
      <c r="D13" s="38"/>
      <c r="E13" s="38"/>
      <c r="F13" s="38"/>
      <c r="G13" s="38"/>
      <c r="H13" s="38"/>
      <c r="I13" s="38"/>
      <c r="J13" s="38"/>
      <c r="K13" s="38"/>
      <c r="L13" s="38"/>
    </row>
    <row r="14" customFormat="false" ht="44" hidden="false" customHeight="true" outlineLevel="0" collapsed="false">
      <c r="A14" s="31"/>
      <c r="B14" s="33"/>
      <c r="C14" s="33"/>
      <c r="D14" s="33"/>
      <c r="E14" s="33"/>
      <c r="F14" s="33"/>
      <c r="G14" s="33"/>
      <c r="H14" s="33"/>
      <c r="I14" s="33"/>
      <c r="J14" s="33"/>
      <c r="K14" s="33"/>
      <c r="L14" s="33"/>
    </row>
    <row r="15" customFormat="false" ht="44" hidden="false" customHeight="true" outlineLevel="0" collapsed="false">
      <c r="A15" s="36"/>
      <c r="B15" s="38"/>
      <c r="C15" s="38"/>
      <c r="D15" s="38"/>
      <c r="E15" s="38"/>
      <c r="F15" s="38"/>
      <c r="G15" s="38"/>
      <c r="H15" s="38"/>
      <c r="I15" s="38"/>
      <c r="J15" s="38"/>
      <c r="K15" s="38"/>
      <c r="L15" s="38"/>
    </row>
    <row r="16" customFormat="false" ht="44" hidden="false" customHeight="true" outlineLevel="0" collapsed="false">
      <c r="A16" s="29"/>
      <c r="B16" s="29"/>
      <c r="C16" s="29"/>
      <c r="D16" s="29"/>
      <c r="E16" s="29"/>
      <c r="F16" s="29"/>
      <c r="G16" s="29"/>
      <c r="H16" s="29"/>
      <c r="I16" s="29"/>
      <c r="J16" s="29"/>
      <c r="K16" s="29"/>
      <c r="L16" s="29"/>
    </row>
    <row r="17" customFormat="false" ht="44" hidden="false" customHeight="true" outlineLevel="0" collapsed="false">
      <c r="A17" s="29"/>
      <c r="B17" s="29"/>
      <c r="C17" s="29"/>
      <c r="D17" s="29"/>
      <c r="E17" s="29"/>
      <c r="F17" s="29"/>
      <c r="G17" s="29"/>
      <c r="H17" s="29"/>
      <c r="I17" s="29"/>
      <c r="J17" s="29"/>
      <c r="K17" s="29"/>
      <c r="L17" s="29"/>
    </row>
    <row r="18" customFormat="false" ht="44" hidden="false" customHeight="true" outlineLevel="0" collapsed="false">
      <c r="A18" s="29"/>
      <c r="B18" s="29"/>
      <c r="C18" s="29"/>
      <c r="D18" s="29"/>
      <c r="E18" s="29"/>
      <c r="F18" s="29"/>
      <c r="G18" s="29"/>
      <c r="H18" s="29"/>
      <c r="I18" s="29"/>
      <c r="J18" s="29"/>
      <c r="K18" s="29"/>
      <c r="L18" s="29"/>
    </row>
    <row r="19" customFormat="false" ht="44" hidden="false" customHeight="true" outlineLevel="0" collapsed="false">
      <c r="A19" s="29"/>
      <c r="B19" s="29"/>
      <c r="C19" s="29"/>
      <c r="D19" s="29"/>
      <c r="E19" s="29"/>
      <c r="F19" s="29"/>
      <c r="G19" s="29"/>
      <c r="H19" s="29"/>
      <c r="I19" s="29"/>
      <c r="J19" s="29"/>
      <c r="K19" s="29"/>
      <c r="L19" s="29"/>
    </row>
    <row r="20" customFormat="false" ht="44" hidden="false" customHeight="true" outlineLevel="0" collapsed="false">
      <c r="A20" s="29"/>
      <c r="B20" s="29"/>
      <c r="C20" s="29"/>
      <c r="D20" s="29"/>
      <c r="E20" s="29"/>
      <c r="F20" s="29"/>
      <c r="G20" s="29"/>
      <c r="H20" s="29"/>
      <c r="I20" s="29"/>
      <c r="J20" s="29"/>
      <c r="K20" s="29"/>
      <c r="L20" s="29"/>
    </row>
    <row r="21" customFormat="false" ht="44" hidden="false" customHeight="true" outlineLevel="0" collapsed="false">
      <c r="A21" s="29"/>
      <c r="B21" s="29"/>
      <c r="C21" s="29"/>
      <c r="D21" s="29"/>
      <c r="E21" s="29"/>
      <c r="F21" s="29"/>
      <c r="G21" s="29"/>
      <c r="H21" s="29"/>
      <c r="I21" s="29"/>
      <c r="J21" s="29"/>
      <c r="K21" s="29"/>
      <c r="L21" s="29"/>
    </row>
    <row r="22" customFormat="false" ht="44" hidden="false" customHeight="true" outlineLevel="0" collapsed="false">
      <c r="A22" s="29"/>
      <c r="B22" s="29"/>
      <c r="C22" s="29"/>
      <c r="D22" s="29"/>
      <c r="E22" s="29"/>
      <c r="F22" s="29"/>
      <c r="G22" s="29"/>
      <c r="H22" s="29"/>
      <c r="I22" s="29"/>
      <c r="J22" s="29"/>
      <c r="K22" s="29"/>
      <c r="L22" s="29"/>
    </row>
    <row r="23" customFormat="false" ht="44" hidden="false" customHeight="true" outlineLevel="0" collapsed="false">
      <c r="A23" s="29"/>
      <c r="B23" s="29"/>
      <c r="C23" s="29"/>
      <c r="D23" s="29"/>
      <c r="E23" s="29"/>
      <c r="F23" s="29"/>
      <c r="G23" s="29"/>
      <c r="H23" s="29"/>
      <c r="I23" s="29"/>
      <c r="J23" s="29"/>
      <c r="K23" s="29"/>
      <c r="L23" s="29"/>
    </row>
    <row r="24" customFormat="false" ht="44" hidden="false" customHeight="true" outlineLevel="0" collapsed="false">
      <c r="A24" s="29"/>
      <c r="B24" s="29"/>
      <c r="C24" s="29"/>
      <c r="D24" s="29"/>
      <c r="E24" s="29"/>
      <c r="F24" s="29"/>
      <c r="G24" s="29"/>
      <c r="H24" s="29"/>
      <c r="I24" s="29"/>
      <c r="J24" s="29"/>
      <c r="K24" s="29"/>
      <c r="L24" s="29"/>
    </row>
    <row r="25" customFormat="false" ht="44" hidden="false" customHeight="true" outlineLevel="0" collapsed="false">
      <c r="A25" s="29"/>
      <c r="B25" s="29"/>
      <c r="C25" s="29"/>
      <c r="D25" s="29"/>
      <c r="E25" s="29"/>
      <c r="F25" s="29"/>
      <c r="G25" s="29"/>
      <c r="H25" s="29"/>
      <c r="I25" s="29"/>
      <c r="J25" s="29"/>
      <c r="K25" s="29"/>
      <c r="L25" s="29"/>
    </row>
    <row r="26" customFormat="false" ht="44" hidden="false" customHeight="true" outlineLevel="0" collapsed="false">
      <c r="A26" s="29"/>
      <c r="B26" s="29"/>
      <c r="C26" s="29"/>
      <c r="D26" s="29"/>
      <c r="E26" s="29"/>
      <c r="F26" s="29"/>
      <c r="G26" s="29"/>
      <c r="H26" s="29"/>
      <c r="I26" s="29"/>
      <c r="J26" s="29"/>
      <c r="K26" s="29"/>
      <c r="L26" s="29"/>
    </row>
    <row r="27" customFormat="false" ht="44" hidden="false" customHeight="true" outlineLevel="0" collapsed="false">
      <c r="A27" s="29"/>
      <c r="B27" s="29"/>
      <c r="C27" s="29"/>
      <c r="D27" s="29"/>
      <c r="E27" s="29"/>
      <c r="F27" s="29"/>
      <c r="G27" s="29"/>
      <c r="H27" s="29"/>
      <c r="I27" s="29"/>
      <c r="J27" s="29"/>
      <c r="K27" s="29"/>
      <c r="L27" s="29"/>
    </row>
    <row r="28" customFormat="false" ht="44" hidden="false" customHeight="true" outlineLevel="0" collapsed="false">
      <c r="A28" s="29"/>
      <c r="B28" s="29"/>
      <c r="C28" s="29"/>
      <c r="D28" s="29"/>
      <c r="E28" s="29"/>
      <c r="F28" s="29"/>
      <c r="G28" s="29"/>
      <c r="H28" s="29"/>
      <c r="I28" s="29"/>
      <c r="J28" s="29"/>
      <c r="K28" s="29"/>
      <c r="L28" s="29"/>
    </row>
    <row r="29" customFormat="false" ht="44" hidden="false" customHeight="true" outlineLevel="0" collapsed="false">
      <c r="A29" s="29"/>
      <c r="B29" s="29"/>
      <c r="C29" s="29"/>
      <c r="D29" s="29"/>
      <c r="E29" s="29"/>
      <c r="F29" s="29"/>
      <c r="G29" s="29"/>
      <c r="H29" s="29"/>
      <c r="I29" s="29"/>
      <c r="J29" s="29"/>
      <c r="K29" s="29"/>
      <c r="L29" s="29"/>
    </row>
    <row r="30" customFormat="false" ht="44" hidden="false" customHeight="true" outlineLevel="0" collapsed="false">
      <c r="A30" s="29"/>
      <c r="B30" s="29"/>
      <c r="C30" s="29"/>
      <c r="D30" s="29"/>
      <c r="E30" s="29"/>
      <c r="F30" s="29"/>
      <c r="G30" s="29"/>
      <c r="H30" s="29"/>
      <c r="I30" s="29"/>
      <c r="J30" s="29"/>
      <c r="K30" s="29"/>
      <c r="L30" s="29"/>
    </row>
    <row r="31" customFormat="false" ht="44" hidden="false" customHeight="true" outlineLevel="0" collapsed="false">
      <c r="A31" s="29"/>
      <c r="B31" s="29"/>
      <c r="C31" s="29"/>
      <c r="D31" s="29"/>
      <c r="E31" s="29"/>
      <c r="F31" s="29"/>
      <c r="G31" s="29"/>
      <c r="H31" s="29"/>
      <c r="I31" s="29"/>
      <c r="J31" s="29"/>
      <c r="K31" s="29"/>
      <c r="L31" s="29"/>
    </row>
    <row r="32" customFormat="false" ht="44" hidden="false" customHeight="true" outlineLevel="0" collapsed="false">
      <c r="A32" s="29"/>
      <c r="B32" s="29"/>
      <c r="C32" s="29"/>
      <c r="D32" s="29"/>
      <c r="E32" s="29"/>
      <c r="F32" s="29"/>
      <c r="G32" s="29"/>
      <c r="H32" s="29"/>
      <c r="I32" s="29"/>
      <c r="J32" s="29"/>
      <c r="K32" s="29"/>
      <c r="L32" s="29"/>
    </row>
    <row r="33" customFormat="false" ht="44" hidden="false" customHeight="true" outlineLevel="0" collapsed="false">
      <c r="A33" s="29"/>
      <c r="B33" s="29"/>
      <c r="C33" s="29"/>
      <c r="D33" s="29"/>
      <c r="E33" s="29"/>
      <c r="F33" s="29"/>
      <c r="G33" s="29"/>
      <c r="H33" s="29"/>
      <c r="I33" s="29"/>
      <c r="J33" s="29"/>
      <c r="K33" s="29"/>
      <c r="L33" s="29"/>
    </row>
    <row r="34" customFormat="false" ht="44" hidden="false" customHeight="true" outlineLevel="0" collapsed="false">
      <c r="A34" s="29"/>
      <c r="B34" s="29"/>
      <c r="C34" s="29"/>
      <c r="D34" s="29"/>
      <c r="E34" s="29"/>
      <c r="F34" s="29"/>
      <c r="G34" s="29"/>
      <c r="H34" s="29"/>
      <c r="I34" s="29"/>
      <c r="J34" s="29"/>
      <c r="K34" s="29"/>
      <c r="L34" s="29"/>
    </row>
    <row r="35" customFormat="false" ht="44" hidden="false" customHeight="true" outlineLevel="0" collapsed="false">
      <c r="A35" s="29"/>
      <c r="B35" s="29"/>
      <c r="C35" s="29"/>
      <c r="D35" s="29"/>
      <c r="E35" s="29"/>
      <c r="F35" s="29"/>
      <c r="G35" s="29"/>
      <c r="H35" s="29"/>
      <c r="I35" s="29"/>
      <c r="J35" s="29"/>
      <c r="K35" s="29"/>
      <c r="L35" s="29"/>
    </row>
    <row r="36" customFormat="false" ht="44" hidden="false" customHeight="true" outlineLevel="0" collapsed="false">
      <c r="A36" s="29"/>
      <c r="B36" s="29"/>
      <c r="C36" s="29"/>
      <c r="D36" s="29"/>
      <c r="E36" s="29"/>
      <c r="F36" s="29"/>
      <c r="G36" s="29"/>
      <c r="H36" s="29"/>
      <c r="I36" s="29"/>
      <c r="J36" s="29"/>
      <c r="K36" s="29"/>
      <c r="L36" s="29"/>
    </row>
    <row r="37" customFormat="false" ht="44" hidden="false" customHeight="true" outlineLevel="0" collapsed="false">
      <c r="A37" s="29"/>
      <c r="B37" s="29"/>
      <c r="C37" s="29"/>
      <c r="D37" s="29"/>
      <c r="E37" s="29"/>
      <c r="F37" s="29"/>
      <c r="G37" s="29"/>
      <c r="H37" s="29"/>
      <c r="I37" s="29"/>
      <c r="J37" s="29"/>
      <c r="K37" s="29"/>
      <c r="L37" s="29"/>
    </row>
    <row r="38" customFormat="false" ht="44" hidden="false" customHeight="true" outlineLevel="0" collapsed="false">
      <c r="A38" s="29"/>
      <c r="B38" s="29"/>
      <c r="C38" s="29"/>
      <c r="D38" s="29"/>
      <c r="E38" s="29"/>
      <c r="F38" s="29"/>
      <c r="G38" s="29"/>
      <c r="H38" s="29"/>
      <c r="I38" s="29"/>
      <c r="J38" s="29"/>
      <c r="K38" s="29"/>
      <c r="L38" s="29"/>
    </row>
    <row r="39" customFormat="false" ht="44" hidden="false" customHeight="true" outlineLevel="0" collapsed="false">
      <c r="A39" s="29"/>
      <c r="B39" s="29"/>
      <c r="C39" s="29"/>
      <c r="D39" s="29"/>
      <c r="E39" s="29"/>
      <c r="F39" s="29"/>
      <c r="G39" s="29"/>
      <c r="H39" s="29"/>
      <c r="I39" s="29"/>
      <c r="J39" s="29"/>
      <c r="K39" s="29"/>
      <c r="L39" s="29"/>
    </row>
    <row r="40" customFormat="false" ht="44" hidden="false" customHeight="true" outlineLevel="0" collapsed="false">
      <c r="A40" s="29"/>
      <c r="B40" s="29"/>
      <c r="C40" s="29"/>
      <c r="D40" s="29"/>
      <c r="E40" s="29"/>
      <c r="F40" s="29"/>
      <c r="G40" s="29"/>
      <c r="H40" s="29"/>
      <c r="I40" s="29"/>
      <c r="J40" s="29"/>
      <c r="K40" s="29"/>
      <c r="L40" s="29"/>
    </row>
    <row r="41" customFormat="false" ht="44" hidden="false" customHeight="true" outlineLevel="0" collapsed="false">
      <c r="A41" s="29"/>
      <c r="B41" s="29"/>
      <c r="C41" s="29"/>
      <c r="D41" s="29"/>
      <c r="E41" s="29"/>
      <c r="F41" s="29"/>
      <c r="G41" s="29"/>
      <c r="H41" s="29"/>
      <c r="I41" s="29"/>
      <c r="J41" s="29"/>
      <c r="K41" s="29"/>
      <c r="L41" s="29"/>
    </row>
    <row r="42" customFormat="false" ht="44" hidden="false" customHeight="true" outlineLevel="0" collapsed="false">
      <c r="A42" s="29"/>
      <c r="B42" s="29"/>
      <c r="C42" s="29"/>
      <c r="D42" s="29"/>
      <c r="E42" s="29"/>
      <c r="F42" s="29"/>
      <c r="G42" s="29"/>
      <c r="H42" s="29"/>
      <c r="I42" s="29"/>
      <c r="J42" s="29"/>
      <c r="K42" s="29"/>
      <c r="L42" s="29"/>
    </row>
    <row r="43" customFormat="false" ht="44" hidden="false" customHeight="true" outlineLevel="0" collapsed="false">
      <c r="A43" s="29"/>
      <c r="B43" s="29"/>
      <c r="C43" s="29"/>
      <c r="D43" s="29"/>
      <c r="E43" s="29"/>
      <c r="F43" s="29"/>
      <c r="G43" s="29"/>
      <c r="H43" s="29"/>
      <c r="I43" s="29"/>
      <c r="J43" s="29"/>
      <c r="K43" s="29"/>
      <c r="L43" s="29"/>
    </row>
    <row r="44" customFormat="false" ht="44" hidden="false" customHeight="true" outlineLevel="0" collapsed="false">
      <c r="A44" s="29"/>
      <c r="B44" s="29"/>
      <c r="C44" s="29"/>
      <c r="D44" s="29"/>
      <c r="E44" s="29"/>
      <c r="F44" s="29"/>
      <c r="G44" s="29"/>
      <c r="H44" s="29"/>
      <c r="I44" s="29"/>
      <c r="J44" s="29"/>
      <c r="K44" s="29"/>
      <c r="L44" s="29"/>
    </row>
    <row r="45" customFormat="false" ht="44" hidden="false" customHeight="true" outlineLevel="0" collapsed="false">
      <c r="A45" s="29"/>
      <c r="B45" s="29"/>
      <c r="C45" s="29"/>
      <c r="D45" s="29"/>
      <c r="E45" s="29"/>
      <c r="F45" s="29"/>
      <c r="G45" s="29"/>
      <c r="H45" s="29"/>
      <c r="I45" s="29"/>
      <c r="J45" s="29"/>
      <c r="K45" s="29"/>
      <c r="L45" s="29"/>
    </row>
    <row r="46" customFormat="false" ht="44" hidden="false" customHeight="true" outlineLevel="0" collapsed="false">
      <c r="A46" s="29"/>
      <c r="B46" s="29"/>
      <c r="C46" s="29"/>
      <c r="D46" s="29"/>
      <c r="E46" s="29"/>
      <c r="F46" s="29"/>
      <c r="G46" s="29"/>
      <c r="H46" s="29"/>
      <c r="I46" s="29"/>
      <c r="J46" s="29"/>
      <c r="K46" s="29"/>
      <c r="L46" s="29"/>
    </row>
    <row r="47" customFormat="false" ht="44" hidden="false" customHeight="true" outlineLevel="0" collapsed="false">
      <c r="A47" s="29"/>
      <c r="B47" s="29"/>
      <c r="C47" s="29"/>
      <c r="D47" s="29"/>
      <c r="E47" s="29"/>
      <c r="F47" s="29"/>
      <c r="G47" s="29"/>
      <c r="H47" s="29"/>
      <c r="I47" s="29"/>
      <c r="J47" s="29"/>
      <c r="K47" s="29"/>
      <c r="L47" s="29"/>
    </row>
    <row r="48" customFormat="false" ht="44" hidden="false" customHeight="true" outlineLevel="0" collapsed="false">
      <c r="A48" s="29"/>
      <c r="B48" s="29"/>
      <c r="C48" s="29"/>
      <c r="D48" s="29"/>
      <c r="E48" s="29"/>
      <c r="F48" s="29"/>
      <c r="G48" s="29"/>
      <c r="H48" s="29"/>
      <c r="I48" s="29"/>
      <c r="J48" s="29"/>
      <c r="K48" s="29"/>
      <c r="L48" s="29"/>
    </row>
    <row r="49" customFormat="false" ht="44" hidden="false" customHeight="true" outlineLevel="0" collapsed="false">
      <c r="A49" s="29"/>
      <c r="B49" s="29"/>
      <c r="C49" s="29"/>
      <c r="D49" s="29"/>
      <c r="E49" s="29"/>
      <c r="F49" s="29"/>
      <c r="G49" s="29"/>
      <c r="H49" s="29"/>
      <c r="I49" s="29"/>
      <c r="J49" s="29"/>
      <c r="K49" s="29"/>
      <c r="L49" s="29"/>
    </row>
    <row r="50" customFormat="false" ht="44" hidden="false" customHeight="true" outlineLevel="0" collapsed="false">
      <c r="A50" s="29"/>
      <c r="B50" s="29"/>
      <c r="C50" s="29"/>
      <c r="D50" s="29"/>
      <c r="E50" s="29"/>
      <c r="F50" s="29"/>
      <c r="G50" s="29"/>
      <c r="H50" s="29"/>
      <c r="I50" s="29"/>
      <c r="J50" s="29"/>
      <c r="K50" s="29"/>
      <c r="L50" s="29"/>
    </row>
    <row r="51" customFormat="false" ht="44" hidden="false" customHeight="true" outlineLevel="0" collapsed="false">
      <c r="A51" s="29"/>
      <c r="B51" s="29"/>
      <c r="C51" s="29"/>
      <c r="D51" s="29"/>
      <c r="E51" s="29"/>
      <c r="F51" s="29"/>
      <c r="G51" s="29"/>
      <c r="H51" s="29"/>
      <c r="I51" s="29"/>
      <c r="J51" s="29"/>
      <c r="K51" s="29"/>
      <c r="L51" s="29"/>
    </row>
    <row r="52" customFormat="false" ht="44" hidden="false" customHeight="true" outlineLevel="0" collapsed="false">
      <c r="A52" s="29"/>
      <c r="B52" s="29"/>
      <c r="C52" s="29"/>
      <c r="D52" s="29"/>
      <c r="E52" s="29"/>
      <c r="F52" s="29"/>
      <c r="G52" s="29"/>
      <c r="H52" s="29"/>
      <c r="I52" s="29"/>
      <c r="J52" s="29"/>
      <c r="K52" s="29"/>
      <c r="L52" s="29"/>
    </row>
    <row r="53" customFormat="false" ht="44" hidden="false" customHeight="true" outlineLevel="0" collapsed="false">
      <c r="A53" s="29"/>
      <c r="B53" s="29"/>
      <c r="C53" s="29"/>
      <c r="D53" s="29"/>
      <c r="E53" s="29"/>
      <c r="F53" s="29"/>
      <c r="G53" s="29"/>
      <c r="H53" s="29"/>
      <c r="I53" s="29"/>
      <c r="J53" s="29"/>
      <c r="K53" s="29"/>
      <c r="L53" s="29"/>
    </row>
    <row r="54" customFormat="false" ht="44" hidden="false" customHeight="true" outlineLevel="0" collapsed="false">
      <c r="A54" s="29"/>
      <c r="B54" s="29"/>
      <c r="C54" s="29"/>
      <c r="D54" s="29"/>
      <c r="E54" s="29"/>
      <c r="F54" s="29"/>
      <c r="G54" s="29"/>
      <c r="H54" s="29"/>
      <c r="I54" s="29"/>
      <c r="J54" s="29"/>
      <c r="K54" s="29"/>
      <c r="L54" s="29"/>
    </row>
    <row r="55" customFormat="false" ht="44" hidden="false" customHeight="true" outlineLevel="0" collapsed="false">
      <c r="A55" s="29"/>
      <c r="B55" s="29"/>
      <c r="C55" s="29"/>
      <c r="D55" s="29"/>
      <c r="E55" s="29"/>
      <c r="F55" s="29"/>
      <c r="G55" s="29"/>
      <c r="H55" s="29"/>
      <c r="I55" s="29"/>
      <c r="J55" s="29"/>
      <c r="K55" s="29"/>
      <c r="L55" s="29"/>
    </row>
    <row r="56" customFormat="false" ht="44" hidden="false" customHeight="true" outlineLevel="0" collapsed="false">
      <c r="A56" s="29"/>
      <c r="B56" s="29"/>
      <c r="C56" s="29"/>
      <c r="D56" s="29"/>
      <c r="E56" s="29"/>
      <c r="F56" s="29"/>
      <c r="G56" s="29"/>
      <c r="H56" s="29"/>
      <c r="I56" s="29"/>
      <c r="J56" s="29"/>
      <c r="K56" s="29"/>
      <c r="L56" s="29"/>
    </row>
    <row r="57" customFormat="false" ht="44" hidden="false" customHeight="true" outlineLevel="0" collapsed="false">
      <c r="A57" s="29"/>
      <c r="B57" s="29"/>
      <c r="C57" s="29"/>
      <c r="D57" s="29"/>
      <c r="E57" s="29"/>
      <c r="F57" s="29"/>
      <c r="G57" s="29"/>
      <c r="H57" s="29"/>
      <c r="I57" s="29"/>
      <c r="J57" s="29"/>
      <c r="K57" s="29"/>
      <c r="L57" s="29"/>
    </row>
    <row r="58" customFormat="false" ht="44" hidden="false" customHeight="true" outlineLevel="0" collapsed="false">
      <c r="A58" s="29"/>
      <c r="B58" s="29"/>
      <c r="C58" s="29"/>
      <c r="D58" s="29"/>
      <c r="E58" s="29"/>
      <c r="F58" s="29"/>
      <c r="G58" s="29"/>
      <c r="H58" s="29"/>
      <c r="I58" s="29"/>
      <c r="J58" s="29"/>
      <c r="K58" s="29"/>
      <c r="L58" s="29"/>
    </row>
    <row r="59" customFormat="false" ht="44" hidden="false" customHeight="true" outlineLevel="0" collapsed="false">
      <c r="A59" s="29"/>
      <c r="B59" s="29"/>
      <c r="C59" s="29"/>
      <c r="D59" s="29"/>
      <c r="E59" s="29"/>
      <c r="F59" s="29"/>
      <c r="G59" s="29"/>
      <c r="H59" s="29"/>
      <c r="I59" s="29"/>
      <c r="J59" s="29"/>
      <c r="K59" s="29"/>
      <c r="L59" s="29"/>
    </row>
    <row r="60" customFormat="false" ht="44" hidden="false" customHeight="true" outlineLevel="0" collapsed="false">
      <c r="A60" s="29"/>
      <c r="B60" s="29"/>
      <c r="C60" s="29"/>
      <c r="D60" s="29"/>
      <c r="E60" s="29"/>
      <c r="F60" s="29"/>
      <c r="G60" s="29"/>
      <c r="H60" s="29"/>
      <c r="I60" s="29"/>
      <c r="J60" s="29"/>
      <c r="K60" s="29"/>
      <c r="L60" s="29"/>
    </row>
    <row r="61" customFormat="false" ht="44" hidden="false" customHeight="true" outlineLevel="0" collapsed="false">
      <c r="A61" s="29"/>
      <c r="B61" s="29"/>
      <c r="C61" s="29"/>
      <c r="D61" s="29"/>
      <c r="E61" s="29"/>
      <c r="F61" s="29"/>
      <c r="G61" s="29"/>
      <c r="H61" s="29"/>
      <c r="I61" s="29"/>
      <c r="J61" s="29"/>
      <c r="K61" s="29"/>
      <c r="L61" s="29"/>
    </row>
    <row r="62" customFormat="false" ht="44" hidden="false" customHeight="true" outlineLevel="0" collapsed="false">
      <c r="A62" s="29"/>
      <c r="B62" s="29"/>
      <c r="C62" s="29"/>
      <c r="D62" s="29"/>
      <c r="E62" s="29"/>
      <c r="F62" s="29"/>
      <c r="G62" s="29"/>
      <c r="H62" s="29"/>
      <c r="I62" s="29"/>
      <c r="J62" s="29"/>
      <c r="K62" s="29"/>
      <c r="L62" s="29"/>
    </row>
    <row r="63" customFormat="false" ht="44" hidden="false" customHeight="true" outlineLevel="0" collapsed="false">
      <c r="A63" s="29"/>
      <c r="B63" s="29"/>
      <c r="C63" s="29"/>
      <c r="D63" s="29"/>
      <c r="E63" s="29"/>
      <c r="F63" s="29"/>
      <c r="G63" s="29"/>
      <c r="H63" s="29"/>
      <c r="I63" s="29"/>
      <c r="J63" s="29"/>
      <c r="K63" s="29"/>
      <c r="L63" s="29"/>
    </row>
    <row r="64" customFormat="false" ht="44" hidden="false" customHeight="true" outlineLevel="0" collapsed="false">
      <c r="A64" s="29"/>
      <c r="B64" s="29"/>
      <c r="C64" s="29"/>
      <c r="D64" s="29"/>
      <c r="E64" s="29"/>
      <c r="F64" s="29"/>
      <c r="G64" s="29"/>
      <c r="H64" s="29"/>
      <c r="I64" s="29"/>
      <c r="J64" s="29"/>
      <c r="K64" s="29"/>
      <c r="L64" s="29"/>
    </row>
    <row r="65" customFormat="false" ht="44" hidden="false" customHeight="true" outlineLevel="0" collapsed="false">
      <c r="A65" s="29"/>
      <c r="B65" s="29"/>
      <c r="C65" s="29"/>
      <c r="D65" s="29"/>
      <c r="E65" s="29"/>
      <c r="F65" s="29"/>
      <c r="G65" s="29"/>
      <c r="H65" s="29"/>
      <c r="I65" s="29"/>
      <c r="J65" s="29"/>
      <c r="K65" s="29"/>
      <c r="L65" s="29"/>
    </row>
    <row r="66" customFormat="false" ht="44" hidden="false" customHeight="true" outlineLevel="0" collapsed="false">
      <c r="A66" s="29"/>
      <c r="B66" s="29"/>
      <c r="C66" s="29"/>
      <c r="D66" s="29"/>
      <c r="E66" s="29"/>
      <c r="F66" s="29"/>
      <c r="G66" s="29"/>
      <c r="H66" s="29"/>
      <c r="I66" s="29"/>
      <c r="J66" s="29"/>
      <c r="K66" s="29"/>
      <c r="L66" s="29"/>
    </row>
    <row r="67" customFormat="false" ht="44" hidden="false" customHeight="true" outlineLevel="0" collapsed="false">
      <c r="A67" s="29"/>
      <c r="B67" s="29"/>
      <c r="C67" s="29"/>
      <c r="D67" s="29"/>
      <c r="E67" s="29"/>
      <c r="F67" s="29"/>
      <c r="G67" s="29"/>
      <c r="H67" s="29"/>
      <c r="I67" s="29"/>
      <c r="J67" s="29"/>
      <c r="K67" s="29"/>
      <c r="L67" s="29"/>
    </row>
    <row r="68" customFormat="false" ht="44" hidden="false" customHeight="true" outlineLevel="0" collapsed="false">
      <c r="A68" s="29"/>
      <c r="B68" s="29"/>
      <c r="C68" s="29"/>
      <c r="D68" s="29"/>
      <c r="E68" s="29"/>
      <c r="F68" s="29"/>
      <c r="G68" s="29"/>
      <c r="H68" s="29"/>
      <c r="I68" s="29"/>
      <c r="J68" s="29"/>
      <c r="K68" s="29"/>
      <c r="L68" s="29"/>
    </row>
    <row r="69" customFormat="false" ht="44" hidden="false" customHeight="true" outlineLevel="0" collapsed="false">
      <c r="A69" s="29"/>
      <c r="B69" s="29"/>
      <c r="C69" s="29"/>
      <c r="D69" s="29"/>
      <c r="E69" s="29"/>
      <c r="F69" s="29"/>
      <c r="G69" s="29"/>
      <c r="H69" s="29"/>
      <c r="I69" s="29"/>
      <c r="J69" s="29"/>
      <c r="K69" s="29"/>
      <c r="L69" s="29"/>
    </row>
    <row r="70" customFormat="false" ht="44" hidden="false" customHeight="true" outlineLevel="0" collapsed="false">
      <c r="A70" s="29"/>
      <c r="B70" s="29"/>
      <c r="C70" s="29"/>
      <c r="D70" s="29"/>
      <c r="E70" s="29"/>
      <c r="F70" s="29"/>
      <c r="G70" s="29"/>
      <c r="H70" s="29"/>
      <c r="I70" s="29"/>
      <c r="J70" s="29"/>
      <c r="K70" s="29"/>
      <c r="L70" s="29"/>
    </row>
    <row r="71" customFormat="false" ht="44" hidden="false" customHeight="true" outlineLevel="0" collapsed="false">
      <c r="A71" s="29"/>
      <c r="B71" s="29"/>
      <c r="C71" s="29"/>
      <c r="D71" s="29"/>
      <c r="E71" s="29"/>
      <c r="F71" s="29"/>
      <c r="G71" s="29"/>
      <c r="H71" s="29"/>
      <c r="I71" s="29"/>
      <c r="J71" s="29"/>
      <c r="K71" s="29"/>
      <c r="L71" s="29"/>
    </row>
    <row r="72" customFormat="false" ht="44" hidden="false" customHeight="true" outlineLevel="0" collapsed="false">
      <c r="A72" s="29"/>
      <c r="B72" s="29"/>
      <c r="C72" s="29"/>
      <c r="D72" s="29"/>
      <c r="E72" s="29"/>
      <c r="F72" s="29"/>
      <c r="G72" s="29"/>
      <c r="H72" s="29"/>
      <c r="I72" s="29"/>
      <c r="J72" s="29"/>
      <c r="K72" s="29"/>
      <c r="L72" s="29"/>
    </row>
    <row r="73" customFormat="false" ht="44" hidden="false" customHeight="true" outlineLevel="0" collapsed="false">
      <c r="A73" s="29"/>
      <c r="B73" s="29"/>
      <c r="C73" s="29"/>
      <c r="D73" s="29"/>
      <c r="E73" s="29"/>
      <c r="F73" s="29"/>
      <c r="G73" s="29"/>
      <c r="H73" s="29"/>
      <c r="I73" s="29"/>
      <c r="J73" s="29"/>
      <c r="K73" s="29"/>
      <c r="L73" s="29"/>
    </row>
    <row r="74" customFormat="false" ht="44" hidden="false" customHeight="true" outlineLevel="0" collapsed="false">
      <c r="A74" s="29"/>
      <c r="B74" s="29"/>
      <c r="C74" s="29"/>
      <c r="D74" s="29"/>
      <c r="E74" s="29"/>
      <c r="F74" s="29"/>
      <c r="G74" s="29"/>
      <c r="H74" s="29"/>
      <c r="I74" s="29"/>
      <c r="J74" s="29"/>
      <c r="K74" s="29"/>
      <c r="L74" s="29"/>
    </row>
    <row r="75" customFormat="false" ht="44" hidden="false" customHeight="true" outlineLevel="0" collapsed="false">
      <c r="A75" s="29"/>
      <c r="B75" s="29"/>
      <c r="C75" s="29"/>
      <c r="D75" s="29"/>
      <c r="E75" s="29"/>
      <c r="F75" s="29"/>
      <c r="G75" s="29"/>
      <c r="H75" s="29"/>
      <c r="I75" s="29"/>
      <c r="J75" s="29"/>
      <c r="K75" s="29"/>
      <c r="L75" s="29"/>
    </row>
    <row r="76" customFormat="false" ht="44" hidden="false" customHeight="true" outlineLevel="0" collapsed="false">
      <c r="A76" s="29"/>
      <c r="B76" s="29"/>
      <c r="C76" s="29"/>
      <c r="D76" s="29"/>
      <c r="E76" s="29"/>
      <c r="F76" s="29"/>
      <c r="G76" s="29"/>
      <c r="H76" s="29"/>
      <c r="I76" s="29"/>
      <c r="J76" s="29"/>
      <c r="K76" s="29"/>
      <c r="L76" s="29"/>
    </row>
    <row r="77" customFormat="false" ht="44" hidden="false" customHeight="true" outlineLevel="0" collapsed="false">
      <c r="A77" s="29"/>
      <c r="B77" s="29"/>
      <c r="C77" s="29"/>
      <c r="D77" s="29"/>
      <c r="E77" s="29"/>
      <c r="F77" s="29"/>
      <c r="G77" s="29"/>
      <c r="H77" s="29"/>
      <c r="I77" s="29"/>
      <c r="J77" s="29"/>
      <c r="K77" s="29"/>
      <c r="L77" s="29"/>
    </row>
    <row r="78" customFormat="false" ht="44" hidden="false" customHeight="true" outlineLevel="0" collapsed="false">
      <c r="A78" s="29"/>
      <c r="B78" s="29"/>
      <c r="C78" s="29"/>
      <c r="D78" s="29"/>
      <c r="E78" s="29"/>
      <c r="F78" s="29"/>
      <c r="G78" s="29"/>
      <c r="H78" s="29"/>
      <c r="I78" s="29"/>
      <c r="J78" s="29"/>
      <c r="K78" s="29"/>
      <c r="L78" s="29"/>
    </row>
    <row r="79" customFormat="false" ht="44" hidden="false" customHeight="true" outlineLevel="0" collapsed="false">
      <c r="A79" s="29"/>
      <c r="B79" s="29"/>
      <c r="C79" s="29"/>
      <c r="D79" s="29"/>
      <c r="E79" s="29"/>
      <c r="F79" s="29"/>
      <c r="G79" s="29"/>
      <c r="H79" s="29"/>
      <c r="I79" s="29"/>
      <c r="J79" s="29"/>
      <c r="K79" s="29"/>
      <c r="L79" s="29"/>
    </row>
    <row r="80" customFormat="false" ht="44" hidden="false" customHeight="true" outlineLevel="0" collapsed="false">
      <c r="A80" s="29"/>
      <c r="B80" s="29"/>
      <c r="C80" s="29"/>
      <c r="D80" s="29"/>
      <c r="E80" s="29"/>
      <c r="F80" s="29"/>
      <c r="G80" s="29"/>
      <c r="H80" s="29"/>
      <c r="I80" s="29"/>
      <c r="J80" s="29"/>
      <c r="K80" s="29"/>
      <c r="L80" s="29"/>
    </row>
    <row r="81" customFormat="false" ht="44" hidden="false" customHeight="true" outlineLevel="0" collapsed="false">
      <c r="A81" s="29"/>
      <c r="B81" s="29"/>
      <c r="C81" s="29"/>
      <c r="D81" s="29"/>
      <c r="E81" s="29"/>
      <c r="F81" s="29"/>
      <c r="G81" s="29"/>
      <c r="H81" s="29"/>
      <c r="I81" s="29"/>
      <c r="J81" s="29"/>
      <c r="K81" s="29"/>
      <c r="L81" s="29"/>
    </row>
    <row r="82" customFormat="false" ht="44" hidden="false" customHeight="true" outlineLevel="0" collapsed="false">
      <c r="A82" s="29"/>
      <c r="B82" s="29"/>
      <c r="C82" s="29"/>
      <c r="D82" s="29"/>
      <c r="E82" s="29"/>
      <c r="F82" s="29"/>
      <c r="G82" s="29"/>
      <c r="H82" s="29"/>
      <c r="I82" s="29"/>
      <c r="J82" s="29"/>
      <c r="K82" s="29"/>
      <c r="L82" s="29"/>
    </row>
    <row r="83" customFormat="false" ht="44" hidden="false" customHeight="true" outlineLevel="0" collapsed="false">
      <c r="A83" s="29"/>
      <c r="B83" s="29"/>
      <c r="C83" s="29"/>
      <c r="D83" s="29"/>
      <c r="E83" s="29"/>
      <c r="F83" s="29"/>
      <c r="G83" s="29"/>
      <c r="H83" s="29"/>
      <c r="I83" s="29"/>
      <c r="J83" s="29"/>
      <c r="K83" s="29"/>
      <c r="L83" s="29"/>
    </row>
    <row r="84" customFormat="false" ht="44" hidden="false" customHeight="true" outlineLevel="0" collapsed="false">
      <c r="A84" s="29"/>
      <c r="B84" s="29"/>
      <c r="C84" s="29"/>
      <c r="D84" s="29"/>
      <c r="E84" s="29"/>
      <c r="F84" s="29"/>
      <c r="G84" s="29"/>
      <c r="H84" s="29"/>
      <c r="I84" s="29"/>
      <c r="J84" s="29"/>
      <c r="K84" s="29"/>
      <c r="L84" s="29"/>
    </row>
    <row r="85" customFormat="false" ht="44" hidden="false" customHeight="true" outlineLevel="0" collapsed="false">
      <c r="A85" s="29"/>
      <c r="B85" s="29"/>
      <c r="C85" s="29"/>
      <c r="D85" s="29"/>
      <c r="E85" s="29"/>
      <c r="F85" s="29"/>
      <c r="G85" s="29"/>
      <c r="H85" s="29"/>
      <c r="I85" s="29"/>
      <c r="J85" s="29"/>
      <c r="K85" s="29"/>
      <c r="L85" s="29"/>
    </row>
    <row r="86" customFormat="false" ht="44" hidden="false" customHeight="true" outlineLevel="0" collapsed="false">
      <c r="A86" s="29"/>
      <c r="B86" s="29"/>
      <c r="C86" s="29"/>
      <c r="D86" s="29"/>
      <c r="E86" s="29"/>
      <c r="F86" s="29"/>
      <c r="G86" s="29"/>
      <c r="H86" s="29"/>
      <c r="I86" s="29"/>
      <c r="J86" s="29"/>
      <c r="K86" s="29"/>
      <c r="L86" s="29"/>
    </row>
    <row r="87" customFormat="false" ht="44" hidden="false" customHeight="true" outlineLevel="0" collapsed="false">
      <c r="A87" s="29"/>
      <c r="B87" s="29"/>
      <c r="C87" s="29"/>
      <c r="D87" s="29"/>
      <c r="E87" s="29"/>
      <c r="F87" s="29"/>
      <c r="G87" s="29"/>
      <c r="H87" s="29"/>
      <c r="I87" s="29"/>
      <c r="J87" s="29"/>
      <c r="K87" s="29"/>
      <c r="L87" s="29"/>
    </row>
    <row r="88" customFormat="false" ht="44" hidden="false" customHeight="true" outlineLevel="0" collapsed="false">
      <c r="A88" s="29"/>
      <c r="B88" s="29"/>
      <c r="C88" s="29"/>
      <c r="D88" s="29"/>
      <c r="E88" s="29"/>
      <c r="F88" s="29"/>
      <c r="G88" s="29"/>
      <c r="H88" s="29"/>
      <c r="I88" s="29"/>
      <c r="J88" s="29"/>
      <c r="K88" s="29"/>
      <c r="L88" s="29"/>
    </row>
    <row r="89" customFormat="false" ht="44" hidden="false" customHeight="true" outlineLevel="0" collapsed="false">
      <c r="A89" s="29"/>
      <c r="B89" s="29"/>
      <c r="C89" s="29"/>
      <c r="D89" s="29"/>
      <c r="E89" s="29"/>
      <c r="F89" s="29"/>
      <c r="G89" s="29"/>
      <c r="H89" s="29"/>
      <c r="I89" s="29"/>
      <c r="J89" s="29"/>
      <c r="K89" s="29"/>
      <c r="L89" s="29"/>
    </row>
    <row r="90" customFormat="false" ht="44" hidden="false" customHeight="true" outlineLevel="0" collapsed="false">
      <c r="A90" s="29"/>
      <c r="B90" s="29"/>
      <c r="C90" s="29"/>
      <c r="D90" s="29"/>
      <c r="E90" s="29"/>
      <c r="F90" s="29"/>
      <c r="G90" s="29"/>
      <c r="H90" s="29"/>
      <c r="I90" s="29"/>
      <c r="J90" s="29"/>
      <c r="K90" s="29"/>
      <c r="L90" s="29"/>
    </row>
    <row r="91" customFormat="false" ht="44" hidden="false" customHeight="true" outlineLevel="0" collapsed="false">
      <c r="A91" s="29"/>
      <c r="B91" s="29"/>
      <c r="C91" s="29"/>
      <c r="D91" s="29"/>
      <c r="E91" s="29"/>
      <c r="F91" s="29"/>
      <c r="G91" s="29"/>
      <c r="H91" s="29"/>
      <c r="I91" s="29"/>
      <c r="J91" s="29"/>
      <c r="K91" s="29"/>
      <c r="L91" s="29"/>
    </row>
    <row r="92" customFormat="false" ht="44" hidden="false" customHeight="true" outlineLevel="0" collapsed="false">
      <c r="A92" s="29"/>
      <c r="B92" s="29"/>
      <c r="C92" s="29"/>
      <c r="D92" s="29"/>
      <c r="E92" s="29"/>
      <c r="F92" s="29"/>
      <c r="G92" s="29"/>
      <c r="H92" s="29"/>
      <c r="I92" s="29"/>
      <c r="J92" s="29"/>
      <c r="K92" s="29"/>
      <c r="L92" s="29"/>
    </row>
    <row r="93" customFormat="false" ht="44" hidden="false" customHeight="true" outlineLevel="0" collapsed="false">
      <c r="A93" s="29"/>
      <c r="B93" s="29"/>
      <c r="C93" s="29"/>
      <c r="D93" s="29"/>
      <c r="E93" s="29"/>
      <c r="F93" s="29"/>
      <c r="G93" s="29"/>
      <c r="H93" s="29"/>
      <c r="I93" s="29"/>
      <c r="J93" s="29"/>
      <c r="K93" s="29"/>
      <c r="L93" s="29"/>
    </row>
    <row r="94" customFormat="false" ht="44" hidden="false" customHeight="true" outlineLevel="0" collapsed="false">
      <c r="A94" s="29"/>
      <c r="B94" s="29"/>
      <c r="C94" s="29"/>
      <c r="D94" s="29"/>
      <c r="E94" s="29"/>
      <c r="F94" s="29"/>
      <c r="G94" s="29"/>
      <c r="H94" s="29"/>
      <c r="I94" s="29"/>
      <c r="J94" s="29"/>
      <c r="K94" s="29"/>
      <c r="L94" s="29"/>
    </row>
    <row r="95" customFormat="false" ht="44" hidden="false" customHeight="true" outlineLevel="0" collapsed="false">
      <c r="A95" s="29"/>
      <c r="B95" s="29"/>
      <c r="C95" s="29"/>
      <c r="D95" s="29"/>
      <c r="E95" s="29"/>
      <c r="F95" s="29"/>
      <c r="G95" s="29"/>
      <c r="H95" s="29"/>
      <c r="I95" s="29"/>
      <c r="J95" s="29"/>
      <c r="K95" s="29"/>
      <c r="L95" s="29"/>
    </row>
    <row r="96" customFormat="false" ht="44" hidden="false" customHeight="true" outlineLevel="0" collapsed="false">
      <c r="A96" s="29"/>
      <c r="B96" s="29"/>
      <c r="C96" s="29"/>
      <c r="D96" s="29"/>
      <c r="E96" s="29"/>
      <c r="F96" s="29"/>
      <c r="G96" s="29"/>
      <c r="H96" s="29"/>
      <c r="I96" s="29"/>
      <c r="J96" s="29"/>
      <c r="K96" s="29"/>
      <c r="L96" s="29"/>
    </row>
    <row r="97" customFormat="false" ht="44" hidden="false" customHeight="true" outlineLevel="0" collapsed="false">
      <c r="A97" s="29"/>
      <c r="B97" s="29"/>
      <c r="C97" s="29"/>
      <c r="D97" s="29"/>
      <c r="E97" s="29"/>
      <c r="F97" s="29"/>
      <c r="G97" s="29"/>
      <c r="H97" s="29"/>
      <c r="I97" s="29"/>
      <c r="J97" s="29"/>
      <c r="K97" s="29"/>
      <c r="L97" s="29"/>
    </row>
    <row r="98" customFormat="false" ht="44" hidden="false" customHeight="true" outlineLevel="0" collapsed="false">
      <c r="A98" s="29"/>
      <c r="B98" s="29"/>
      <c r="C98" s="29"/>
      <c r="D98" s="29"/>
      <c r="E98" s="29"/>
      <c r="F98" s="29"/>
      <c r="G98" s="29"/>
      <c r="H98" s="29"/>
      <c r="I98" s="29"/>
      <c r="J98" s="29"/>
      <c r="K98" s="29"/>
      <c r="L98" s="29"/>
    </row>
    <row r="99" customFormat="false" ht="44" hidden="false" customHeight="true" outlineLevel="0" collapsed="false">
      <c r="A99" s="29"/>
      <c r="B99" s="29"/>
      <c r="C99" s="29"/>
      <c r="D99" s="29"/>
      <c r="E99" s="29"/>
      <c r="F99" s="29"/>
      <c r="G99" s="29"/>
      <c r="H99" s="29"/>
      <c r="I99" s="29"/>
      <c r="J99" s="29"/>
      <c r="K99" s="29"/>
      <c r="L99" s="29"/>
    </row>
    <row r="100" customFormat="false" ht="44" hidden="false" customHeight="true" outlineLevel="0" collapsed="false">
      <c r="A100" s="29"/>
      <c r="B100" s="29"/>
      <c r="C100" s="29"/>
      <c r="D100" s="29"/>
      <c r="E100" s="29"/>
      <c r="F100" s="29"/>
      <c r="G100" s="29"/>
      <c r="H100" s="29"/>
      <c r="I100" s="29"/>
      <c r="J100" s="29"/>
      <c r="K100" s="29"/>
      <c r="L100" s="29"/>
    </row>
    <row r="101" customFormat="false" ht="44" hidden="false" customHeight="true" outlineLevel="0" collapsed="false">
      <c r="A101" s="29"/>
      <c r="B101" s="29"/>
      <c r="C101" s="29"/>
      <c r="D101" s="29"/>
      <c r="E101" s="29"/>
      <c r="F101" s="29"/>
      <c r="G101" s="29"/>
      <c r="H101" s="29"/>
      <c r="I101" s="29"/>
      <c r="J101" s="29"/>
      <c r="K101" s="29"/>
      <c r="L101" s="29"/>
    </row>
    <row r="102" customFormat="false" ht="44" hidden="false" customHeight="true" outlineLevel="0" collapsed="false">
      <c r="A102" s="29"/>
      <c r="B102" s="29"/>
      <c r="C102" s="29"/>
      <c r="D102" s="29"/>
      <c r="E102" s="29"/>
      <c r="F102" s="29"/>
      <c r="G102" s="29"/>
      <c r="H102" s="29"/>
      <c r="I102" s="29"/>
      <c r="J102" s="29"/>
      <c r="K102" s="29"/>
      <c r="L102" s="29"/>
    </row>
    <row r="103" customFormat="false" ht="44" hidden="false" customHeight="true" outlineLevel="0" collapsed="false">
      <c r="A103" s="29"/>
      <c r="B103" s="29"/>
      <c r="C103" s="29"/>
      <c r="D103" s="29"/>
      <c r="E103" s="29"/>
      <c r="F103" s="29"/>
      <c r="G103" s="29"/>
      <c r="H103" s="29"/>
      <c r="I103" s="29"/>
      <c r="J103" s="29"/>
      <c r="K103" s="29"/>
      <c r="L103" s="29"/>
    </row>
    <row r="104" customFormat="false" ht="44" hidden="false" customHeight="true" outlineLevel="0" collapsed="false">
      <c r="A104" s="29"/>
      <c r="B104" s="29"/>
      <c r="C104" s="29"/>
      <c r="D104" s="29"/>
      <c r="E104" s="29"/>
      <c r="F104" s="29"/>
      <c r="G104" s="29"/>
      <c r="H104" s="29"/>
      <c r="I104" s="29"/>
      <c r="J104" s="29"/>
      <c r="K104" s="29"/>
      <c r="L104" s="29"/>
    </row>
    <row r="105" customFormat="false" ht="44" hidden="false" customHeight="true" outlineLevel="0" collapsed="false">
      <c r="A105" s="29"/>
      <c r="B105" s="29"/>
      <c r="C105" s="29"/>
      <c r="D105" s="29"/>
      <c r="E105" s="29"/>
      <c r="F105" s="29"/>
      <c r="G105" s="29"/>
      <c r="H105" s="29"/>
      <c r="I105" s="29"/>
      <c r="J105" s="29"/>
      <c r="K105" s="29"/>
      <c r="L105" s="29"/>
    </row>
    <row r="106" customFormat="false" ht="44" hidden="false" customHeight="true" outlineLevel="0" collapsed="false">
      <c r="A106" s="29"/>
      <c r="B106" s="29"/>
      <c r="C106" s="29"/>
      <c r="D106" s="29"/>
      <c r="E106" s="29"/>
      <c r="F106" s="29"/>
      <c r="G106" s="29"/>
      <c r="H106" s="29"/>
      <c r="I106" s="29"/>
      <c r="J106" s="29"/>
      <c r="K106" s="29"/>
      <c r="L106" s="29"/>
    </row>
    <row r="107" customFormat="false" ht="44" hidden="false" customHeight="true" outlineLevel="0" collapsed="false">
      <c r="A107" s="29"/>
      <c r="B107" s="29"/>
      <c r="C107" s="29"/>
      <c r="D107" s="29"/>
      <c r="E107" s="29"/>
      <c r="F107" s="29"/>
      <c r="G107" s="29"/>
      <c r="H107" s="29"/>
      <c r="I107" s="29"/>
      <c r="J107" s="29"/>
      <c r="K107" s="29"/>
      <c r="L107" s="29"/>
    </row>
    <row r="108" customFormat="false" ht="44" hidden="false" customHeight="true" outlineLevel="0" collapsed="false">
      <c r="A108" s="29"/>
      <c r="B108" s="29"/>
      <c r="C108" s="29"/>
      <c r="D108" s="29"/>
      <c r="E108" s="29"/>
      <c r="F108" s="29"/>
      <c r="G108" s="29"/>
      <c r="H108" s="29"/>
      <c r="I108" s="29"/>
      <c r="J108" s="29"/>
      <c r="K108" s="29"/>
      <c r="L108" s="29"/>
    </row>
    <row r="109" customFormat="false" ht="44" hidden="false" customHeight="true" outlineLevel="0" collapsed="false">
      <c r="A109" s="29"/>
      <c r="B109" s="29"/>
      <c r="C109" s="29"/>
      <c r="D109" s="29"/>
      <c r="E109" s="29"/>
      <c r="F109" s="29"/>
      <c r="G109" s="29"/>
      <c r="H109" s="29"/>
      <c r="I109" s="29"/>
      <c r="J109" s="29"/>
      <c r="K109" s="29"/>
      <c r="L109" s="29"/>
    </row>
    <row r="110" customFormat="false" ht="44" hidden="false" customHeight="true" outlineLevel="0" collapsed="false">
      <c r="A110" s="29"/>
      <c r="B110" s="29"/>
      <c r="C110" s="29"/>
      <c r="D110" s="29"/>
      <c r="E110" s="29"/>
      <c r="F110" s="29"/>
      <c r="G110" s="29"/>
      <c r="H110" s="29"/>
      <c r="I110" s="29"/>
      <c r="J110" s="29"/>
      <c r="K110" s="29"/>
      <c r="L110" s="29"/>
    </row>
    <row r="111" customFormat="false" ht="44" hidden="false" customHeight="true" outlineLevel="0" collapsed="false">
      <c r="A111" s="29"/>
      <c r="B111" s="29"/>
      <c r="C111" s="29"/>
      <c r="D111" s="29"/>
      <c r="E111" s="29"/>
      <c r="F111" s="29"/>
      <c r="G111" s="29"/>
      <c r="H111" s="29"/>
      <c r="I111" s="29"/>
      <c r="J111" s="29"/>
      <c r="K111" s="29"/>
      <c r="L111" s="29"/>
    </row>
    <row r="112" customFormat="false" ht="44" hidden="false" customHeight="true" outlineLevel="0" collapsed="false">
      <c r="A112" s="29"/>
      <c r="B112" s="29"/>
      <c r="C112" s="29"/>
      <c r="D112" s="29"/>
      <c r="E112" s="29"/>
      <c r="F112" s="29"/>
      <c r="G112" s="29"/>
      <c r="H112" s="29"/>
      <c r="I112" s="29"/>
      <c r="J112" s="29"/>
      <c r="K112" s="29"/>
      <c r="L112" s="29"/>
    </row>
    <row r="113" customFormat="false" ht="44" hidden="false" customHeight="true" outlineLevel="0" collapsed="false">
      <c r="A113" s="29"/>
      <c r="B113" s="29"/>
      <c r="C113" s="29"/>
      <c r="D113" s="29"/>
      <c r="E113" s="29"/>
      <c r="F113" s="29"/>
      <c r="G113" s="29"/>
      <c r="H113" s="29"/>
      <c r="I113" s="29"/>
      <c r="J113" s="29"/>
      <c r="K113" s="29"/>
      <c r="L113" s="29"/>
    </row>
    <row r="114" customFormat="false" ht="44" hidden="false" customHeight="true" outlineLevel="0" collapsed="false">
      <c r="A114" s="29"/>
      <c r="B114" s="29"/>
      <c r="C114" s="29"/>
      <c r="D114" s="29"/>
      <c r="E114" s="29"/>
      <c r="F114" s="29"/>
      <c r="G114" s="29"/>
      <c r="H114" s="29"/>
      <c r="I114" s="29"/>
      <c r="J114" s="29"/>
      <c r="K114" s="29"/>
      <c r="L114" s="29"/>
    </row>
    <row r="115" customFormat="false" ht="44" hidden="false" customHeight="true" outlineLevel="0" collapsed="false">
      <c r="A115" s="29"/>
      <c r="B115" s="29"/>
      <c r="C115" s="29"/>
      <c r="D115" s="29"/>
      <c r="E115" s="29"/>
      <c r="F115" s="29"/>
      <c r="G115" s="29"/>
      <c r="H115" s="29"/>
      <c r="I115" s="29"/>
      <c r="J115" s="29"/>
      <c r="K115" s="29"/>
      <c r="L115" s="29"/>
    </row>
    <row r="116" customFormat="false" ht="44" hidden="false" customHeight="true" outlineLevel="0" collapsed="false">
      <c r="A116" s="29"/>
      <c r="B116" s="29"/>
      <c r="C116" s="29"/>
      <c r="D116" s="29"/>
      <c r="E116" s="29"/>
      <c r="F116" s="29"/>
      <c r="G116" s="29"/>
      <c r="H116" s="29"/>
      <c r="I116" s="29"/>
      <c r="J116" s="29"/>
      <c r="K116" s="29"/>
      <c r="L116" s="29"/>
    </row>
    <row r="117" customFormat="false" ht="44" hidden="false" customHeight="true" outlineLevel="0" collapsed="false">
      <c r="A117" s="29"/>
      <c r="B117" s="29"/>
      <c r="C117" s="29"/>
      <c r="D117" s="29"/>
      <c r="E117" s="29"/>
      <c r="F117" s="29"/>
      <c r="G117" s="29"/>
      <c r="H117" s="29"/>
      <c r="I117" s="29"/>
      <c r="J117" s="29"/>
      <c r="K117" s="29"/>
      <c r="L117" s="29"/>
    </row>
    <row r="118" customFormat="false" ht="44" hidden="false" customHeight="true" outlineLevel="0" collapsed="false">
      <c r="A118" s="29"/>
      <c r="B118" s="29"/>
      <c r="C118" s="29"/>
      <c r="D118" s="29"/>
      <c r="E118" s="29"/>
      <c r="F118" s="29"/>
      <c r="G118" s="29"/>
      <c r="H118" s="29"/>
      <c r="I118" s="29"/>
      <c r="J118" s="29"/>
      <c r="K118" s="29"/>
      <c r="L118" s="29"/>
    </row>
    <row r="119" customFormat="false" ht="44" hidden="false" customHeight="true" outlineLevel="0" collapsed="false">
      <c r="A119" s="29"/>
      <c r="B119" s="29"/>
      <c r="C119" s="29"/>
      <c r="D119" s="29"/>
      <c r="E119" s="29"/>
      <c r="F119" s="29"/>
      <c r="G119" s="29"/>
      <c r="H119" s="29"/>
      <c r="I119" s="29"/>
      <c r="J119" s="29"/>
      <c r="K119" s="29"/>
      <c r="L119" s="29"/>
    </row>
    <row r="120" customFormat="false" ht="44" hidden="false" customHeight="true" outlineLevel="0" collapsed="false">
      <c r="A120" s="29"/>
      <c r="B120" s="29"/>
      <c r="C120" s="29"/>
      <c r="D120" s="29"/>
      <c r="E120" s="29"/>
      <c r="F120" s="29"/>
      <c r="G120" s="29"/>
      <c r="H120" s="29"/>
      <c r="I120" s="29"/>
      <c r="J120" s="29"/>
      <c r="K120" s="29"/>
      <c r="L120" s="29"/>
    </row>
    <row r="121" customFormat="false" ht="44" hidden="false" customHeight="true" outlineLevel="0" collapsed="false">
      <c r="A121" s="29"/>
      <c r="B121" s="29"/>
      <c r="C121" s="29"/>
      <c r="D121" s="29"/>
      <c r="E121" s="29"/>
      <c r="F121" s="29"/>
      <c r="G121" s="29"/>
      <c r="H121" s="29"/>
      <c r="I121" s="29"/>
      <c r="J121" s="29"/>
      <c r="K121" s="29"/>
      <c r="L121" s="29"/>
    </row>
    <row r="122" customFormat="false" ht="44" hidden="false" customHeight="true" outlineLevel="0" collapsed="false">
      <c r="A122" s="29"/>
      <c r="B122" s="29"/>
      <c r="C122" s="29"/>
      <c r="D122" s="29"/>
      <c r="E122" s="29"/>
      <c r="F122" s="29"/>
      <c r="G122" s="29"/>
      <c r="H122" s="29"/>
      <c r="I122" s="29"/>
      <c r="J122" s="29"/>
      <c r="K122" s="29"/>
      <c r="L122" s="29"/>
    </row>
    <row r="123" customFormat="false" ht="44" hidden="false" customHeight="true" outlineLevel="0" collapsed="false">
      <c r="A123" s="29"/>
      <c r="B123" s="29"/>
      <c r="C123" s="29"/>
      <c r="D123" s="29"/>
      <c r="E123" s="29"/>
      <c r="F123" s="29"/>
      <c r="G123" s="29"/>
      <c r="H123" s="29"/>
      <c r="I123" s="29"/>
      <c r="J123" s="29"/>
      <c r="K123" s="29"/>
      <c r="L123" s="29"/>
    </row>
    <row r="124" customFormat="false" ht="44" hidden="false" customHeight="true" outlineLevel="0" collapsed="false">
      <c r="A124" s="29"/>
      <c r="B124" s="29"/>
      <c r="C124" s="29"/>
      <c r="D124" s="29"/>
      <c r="E124" s="29"/>
      <c r="F124" s="29"/>
      <c r="G124" s="29"/>
      <c r="H124" s="29"/>
      <c r="I124" s="29"/>
      <c r="J124" s="29"/>
      <c r="K124" s="29"/>
      <c r="L124" s="29"/>
    </row>
    <row r="125" customFormat="false" ht="44" hidden="false" customHeight="true" outlineLevel="0" collapsed="false">
      <c r="A125" s="29"/>
      <c r="B125" s="29"/>
      <c r="C125" s="29"/>
      <c r="D125" s="29"/>
      <c r="E125" s="29"/>
      <c r="F125" s="29"/>
      <c r="G125" s="29"/>
      <c r="H125" s="29"/>
      <c r="I125" s="29"/>
      <c r="J125" s="29"/>
      <c r="K125" s="29"/>
      <c r="L125" s="29"/>
    </row>
    <row r="126" customFormat="false" ht="44" hidden="false" customHeight="true" outlineLevel="0" collapsed="false">
      <c r="A126" s="29"/>
      <c r="B126" s="29"/>
      <c r="C126" s="29"/>
      <c r="D126" s="29"/>
      <c r="E126" s="29"/>
      <c r="F126" s="29"/>
      <c r="G126" s="29"/>
      <c r="H126" s="29"/>
      <c r="I126" s="29"/>
      <c r="J126" s="29"/>
      <c r="K126" s="29"/>
      <c r="L126" s="29"/>
    </row>
    <row r="127" customFormat="false" ht="44" hidden="false" customHeight="true" outlineLevel="0" collapsed="false">
      <c r="A127" s="29"/>
      <c r="B127" s="29"/>
      <c r="C127" s="29"/>
      <c r="D127" s="29"/>
      <c r="E127" s="29"/>
      <c r="F127" s="29"/>
      <c r="G127" s="29"/>
      <c r="H127" s="29"/>
      <c r="I127" s="29"/>
      <c r="J127" s="29"/>
      <c r="K127" s="29"/>
      <c r="L127" s="29"/>
    </row>
    <row r="128" customFormat="false" ht="44" hidden="false" customHeight="true" outlineLevel="0" collapsed="false">
      <c r="A128" s="29"/>
      <c r="B128" s="29"/>
      <c r="C128" s="29"/>
      <c r="D128" s="29"/>
      <c r="E128" s="29"/>
      <c r="F128" s="29"/>
      <c r="G128" s="29"/>
      <c r="H128" s="29"/>
      <c r="I128" s="29"/>
      <c r="J128" s="29"/>
      <c r="K128" s="29"/>
      <c r="L128" s="29"/>
    </row>
    <row r="129" customFormat="false" ht="44" hidden="false" customHeight="true" outlineLevel="0" collapsed="false">
      <c r="A129" s="29"/>
      <c r="B129" s="29"/>
      <c r="C129" s="29"/>
      <c r="D129" s="29"/>
      <c r="E129" s="29"/>
      <c r="F129" s="29"/>
      <c r="G129" s="29"/>
      <c r="H129" s="29"/>
      <c r="I129" s="29"/>
      <c r="J129" s="29"/>
      <c r="K129" s="29"/>
      <c r="L129" s="29"/>
    </row>
    <row r="130" customFormat="false" ht="44" hidden="false" customHeight="true" outlineLevel="0" collapsed="false">
      <c r="A130" s="29"/>
      <c r="B130" s="29"/>
      <c r="C130" s="29"/>
      <c r="D130" s="29"/>
      <c r="E130" s="29"/>
      <c r="F130" s="29"/>
      <c r="G130" s="29"/>
      <c r="H130" s="29"/>
      <c r="I130" s="29"/>
      <c r="J130" s="29"/>
      <c r="K130" s="29"/>
      <c r="L130" s="29"/>
    </row>
    <row r="131" customFormat="false" ht="44" hidden="false" customHeight="true" outlineLevel="0" collapsed="false">
      <c r="A131" s="29"/>
      <c r="B131" s="29"/>
      <c r="C131" s="29"/>
      <c r="D131" s="29"/>
      <c r="E131" s="29"/>
      <c r="F131" s="29"/>
      <c r="G131" s="29"/>
      <c r="H131" s="29"/>
      <c r="I131" s="29"/>
      <c r="J131" s="29"/>
      <c r="K131" s="29"/>
      <c r="L131" s="29"/>
    </row>
    <row r="132" customFormat="false" ht="44" hidden="false" customHeight="true" outlineLevel="0" collapsed="false">
      <c r="A132" s="29"/>
      <c r="B132" s="29"/>
      <c r="C132" s="29"/>
      <c r="D132" s="29"/>
      <c r="E132" s="29"/>
      <c r="F132" s="29"/>
      <c r="G132" s="29"/>
      <c r="H132" s="29"/>
      <c r="I132" s="29"/>
      <c r="J132" s="29"/>
      <c r="K132" s="29"/>
      <c r="L132" s="29"/>
    </row>
    <row r="133" customFormat="false" ht="44" hidden="false" customHeight="true" outlineLevel="0" collapsed="false">
      <c r="A133" s="29"/>
      <c r="B133" s="29"/>
      <c r="C133" s="29"/>
      <c r="D133" s="29"/>
      <c r="E133" s="29"/>
      <c r="F133" s="29"/>
      <c r="G133" s="29"/>
      <c r="H133" s="29"/>
      <c r="I133" s="29"/>
      <c r="J133" s="29"/>
      <c r="K133" s="29"/>
      <c r="L133" s="29"/>
    </row>
    <row r="134" customFormat="false" ht="44" hidden="false" customHeight="true" outlineLevel="0" collapsed="false">
      <c r="A134" s="29"/>
      <c r="B134" s="29"/>
      <c r="C134" s="29"/>
      <c r="D134" s="29"/>
      <c r="E134" s="29"/>
      <c r="F134" s="29"/>
      <c r="G134" s="29"/>
      <c r="H134" s="29"/>
      <c r="I134" s="29"/>
      <c r="J134" s="29"/>
      <c r="K134" s="29"/>
      <c r="L134" s="29"/>
    </row>
    <row r="135" customFormat="false" ht="44" hidden="false" customHeight="true" outlineLevel="0" collapsed="false">
      <c r="A135" s="29"/>
      <c r="B135" s="29"/>
      <c r="C135" s="29"/>
      <c r="D135" s="29"/>
      <c r="E135" s="29"/>
      <c r="F135" s="29"/>
      <c r="G135" s="29"/>
      <c r="H135" s="29"/>
      <c r="I135" s="29"/>
      <c r="J135" s="29"/>
      <c r="K135" s="29"/>
      <c r="L135" s="29"/>
    </row>
    <row r="136" customFormat="false" ht="44" hidden="false" customHeight="true" outlineLevel="0" collapsed="false">
      <c r="A136" s="29"/>
      <c r="B136" s="29"/>
      <c r="C136" s="29"/>
      <c r="D136" s="29"/>
      <c r="E136" s="29"/>
      <c r="F136" s="29"/>
      <c r="G136" s="29"/>
      <c r="H136" s="29"/>
      <c r="I136" s="29"/>
      <c r="J136" s="29"/>
      <c r="K136" s="29"/>
      <c r="L136" s="29"/>
    </row>
    <row r="137" customFormat="false" ht="44" hidden="false" customHeight="true" outlineLevel="0" collapsed="false">
      <c r="A137" s="29"/>
      <c r="B137" s="29"/>
      <c r="C137" s="29"/>
      <c r="D137" s="29"/>
      <c r="E137" s="29"/>
      <c r="F137" s="29"/>
      <c r="G137" s="29"/>
      <c r="H137" s="29"/>
      <c r="I137" s="29"/>
      <c r="J137" s="29"/>
      <c r="K137" s="29"/>
      <c r="L137" s="29"/>
    </row>
    <row r="138" customFormat="false" ht="44" hidden="false" customHeight="true" outlineLevel="0" collapsed="false">
      <c r="A138" s="29"/>
      <c r="B138" s="29"/>
      <c r="C138" s="29"/>
      <c r="D138" s="29"/>
      <c r="E138" s="29"/>
      <c r="F138" s="29"/>
      <c r="G138" s="29"/>
      <c r="H138" s="29"/>
      <c r="I138" s="29"/>
      <c r="J138" s="29"/>
      <c r="K138" s="29"/>
      <c r="L138" s="29"/>
    </row>
    <row r="139" customFormat="false" ht="44" hidden="false" customHeight="true" outlineLevel="0" collapsed="false">
      <c r="A139" s="29"/>
      <c r="B139" s="29"/>
      <c r="C139" s="29"/>
      <c r="D139" s="29"/>
      <c r="E139" s="29"/>
      <c r="F139" s="29"/>
      <c r="G139" s="29"/>
      <c r="H139" s="29"/>
      <c r="I139" s="29"/>
      <c r="J139" s="29"/>
      <c r="K139" s="29"/>
      <c r="L139" s="29"/>
    </row>
    <row r="140" customFormat="false" ht="44" hidden="false" customHeight="true" outlineLevel="0" collapsed="false">
      <c r="A140" s="29"/>
      <c r="B140" s="29"/>
      <c r="C140" s="29"/>
      <c r="D140" s="29"/>
      <c r="E140" s="29"/>
      <c r="F140" s="29"/>
      <c r="G140" s="29"/>
      <c r="H140" s="29"/>
      <c r="I140" s="29"/>
      <c r="J140" s="29"/>
      <c r="K140" s="29"/>
      <c r="L140" s="29"/>
    </row>
    <row r="141" customFormat="false" ht="44" hidden="false" customHeight="true" outlineLevel="0" collapsed="false">
      <c r="A141" s="29"/>
      <c r="B141" s="29"/>
      <c r="C141" s="29"/>
      <c r="D141" s="29"/>
      <c r="E141" s="29"/>
      <c r="F141" s="29"/>
      <c r="G141" s="29"/>
      <c r="H141" s="29"/>
      <c r="I141" s="29"/>
      <c r="J141" s="29"/>
      <c r="K141" s="29"/>
      <c r="L141" s="29"/>
    </row>
    <row r="142" customFormat="false" ht="44" hidden="false" customHeight="true" outlineLevel="0" collapsed="false">
      <c r="A142" s="29"/>
      <c r="B142" s="29"/>
      <c r="C142" s="29"/>
      <c r="D142" s="29"/>
      <c r="E142" s="29"/>
      <c r="F142" s="29"/>
      <c r="G142" s="29"/>
      <c r="H142" s="29"/>
      <c r="I142" s="29"/>
      <c r="J142" s="29"/>
      <c r="K142" s="29"/>
      <c r="L142" s="29"/>
    </row>
    <row r="143" customFormat="false" ht="44" hidden="false" customHeight="true" outlineLevel="0" collapsed="false">
      <c r="A143" s="29"/>
      <c r="B143" s="29"/>
      <c r="C143" s="29"/>
      <c r="D143" s="29"/>
      <c r="E143" s="29"/>
      <c r="F143" s="29"/>
      <c r="G143" s="29"/>
      <c r="H143" s="29"/>
      <c r="I143" s="29"/>
      <c r="J143" s="29"/>
      <c r="K143" s="29"/>
      <c r="L143" s="29"/>
    </row>
    <row r="144" customFormat="false" ht="44" hidden="false" customHeight="true" outlineLevel="0" collapsed="false">
      <c r="A144" s="29"/>
      <c r="B144" s="29"/>
      <c r="C144" s="29"/>
      <c r="D144" s="29"/>
      <c r="E144" s="29"/>
      <c r="F144" s="29"/>
      <c r="G144" s="29"/>
      <c r="H144" s="29"/>
      <c r="I144" s="29"/>
      <c r="J144" s="29"/>
      <c r="K144" s="29"/>
      <c r="L144" s="29"/>
    </row>
    <row r="145" customFormat="false" ht="44" hidden="false" customHeight="true" outlineLevel="0" collapsed="false">
      <c r="A145" s="29"/>
      <c r="B145" s="29"/>
      <c r="C145" s="29"/>
      <c r="D145" s="29"/>
      <c r="E145" s="29"/>
      <c r="F145" s="29"/>
      <c r="G145" s="29"/>
      <c r="H145" s="29"/>
      <c r="I145" s="29"/>
      <c r="J145" s="29"/>
      <c r="K145" s="29"/>
      <c r="L145" s="29"/>
    </row>
    <row r="146" customFormat="false" ht="44" hidden="false" customHeight="true" outlineLevel="0" collapsed="false">
      <c r="A146" s="29"/>
      <c r="B146" s="29"/>
      <c r="C146" s="29"/>
      <c r="D146" s="29"/>
      <c r="E146" s="29"/>
      <c r="F146" s="29"/>
      <c r="G146" s="29"/>
      <c r="H146" s="29"/>
      <c r="I146" s="29"/>
      <c r="J146" s="29"/>
      <c r="K146" s="29"/>
      <c r="L146" s="29"/>
    </row>
    <row r="147" customFormat="false" ht="44" hidden="false" customHeight="true" outlineLevel="0" collapsed="false">
      <c r="A147" s="29"/>
      <c r="B147" s="29"/>
      <c r="C147" s="29"/>
      <c r="D147" s="29"/>
      <c r="E147" s="29"/>
      <c r="F147" s="29"/>
      <c r="G147" s="29"/>
      <c r="H147" s="29"/>
      <c r="I147" s="29"/>
      <c r="J147" s="29"/>
      <c r="K147" s="29"/>
      <c r="L147" s="29"/>
    </row>
    <row r="148" customFormat="false" ht="44" hidden="false" customHeight="true" outlineLevel="0" collapsed="false">
      <c r="A148" s="29"/>
      <c r="B148" s="29"/>
      <c r="C148" s="29"/>
      <c r="D148" s="29"/>
      <c r="E148" s="29"/>
      <c r="F148" s="29"/>
      <c r="G148" s="29"/>
      <c r="H148" s="29"/>
      <c r="I148" s="29"/>
      <c r="J148" s="29"/>
      <c r="K148" s="29"/>
      <c r="L148" s="29"/>
    </row>
    <row r="149" customFormat="false" ht="44" hidden="false" customHeight="true" outlineLevel="0" collapsed="false">
      <c r="A149" s="29"/>
      <c r="B149" s="29"/>
      <c r="C149" s="29"/>
      <c r="D149" s="29"/>
      <c r="E149" s="29"/>
      <c r="F149" s="29"/>
      <c r="G149" s="29"/>
      <c r="H149" s="29"/>
      <c r="I149" s="29"/>
      <c r="J149" s="29"/>
      <c r="K149" s="29"/>
      <c r="L149" s="29"/>
    </row>
    <row r="150" customFormat="false" ht="44" hidden="false" customHeight="true" outlineLevel="0" collapsed="false">
      <c r="A150" s="29"/>
      <c r="B150" s="29"/>
      <c r="C150" s="29"/>
      <c r="D150" s="29"/>
      <c r="E150" s="29"/>
      <c r="F150" s="29"/>
      <c r="G150" s="29"/>
      <c r="H150" s="29"/>
      <c r="I150" s="29"/>
      <c r="J150" s="29"/>
      <c r="K150" s="29"/>
      <c r="L150" s="29"/>
    </row>
    <row r="151" customFormat="false" ht="44" hidden="false" customHeight="true" outlineLevel="0" collapsed="false">
      <c r="A151" s="29"/>
      <c r="B151" s="29"/>
      <c r="C151" s="29"/>
      <c r="D151" s="29"/>
      <c r="E151" s="29"/>
      <c r="F151" s="29"/>
      <c r="G151" s="29"/>
      <c r="H151" s="29"/>
      <c r="I151" s="29"/>
      <c r="J151" s="29"/>
      <c r="K151" s="29"/>
      <c r="L151" s="29"/>
    </row>
    <row r="152" customFormat="false" ht="44" hidden="false" customHeight="true" outlineLevel="0" collapsed="false">
      <c r="A152" s="29"/>
      <c r="B152" s="29"/>
      <c r="C152" s="29"/>
      <c r="D152" s="29"/>
      <c r="E152" s="29"/>
      <c r="F152" s="29"/>
      <c r="G152" s="29"/>
      <c r="H152" s="29"/>
      <c r="I152" s="29"/>
      <c r="J152" s="29"/>
      <c r="K152" s="29"/>
      <c r="L152" s="29"/>
    </row>
    <row r="153" customFormat="false" ht="44" hidden="false" customHeight="true" outlineLevel="0" collapsed="false">
      <c r="A153" s="29"/>
      <c r="B153" s="29"/>
      <c r="C153" s="29"/>
      <c r="D153" s="29"/>
      <c r="E153" s="29"/>
      <c r="F153" s="29"/>
      <c r="G153" s="29"/>
      <c r="H153" s="29"/>
      <c r="I153" s="29"/>
      <c r="J153" s="29"/>
      <c r="K153" s="29"/>
      <c r="L153" s="29"/>
    </row>
    <row r="154" customFormat="false" ht="44" hidden="false" customHeight="true" outlineLevel="0" collapsed="false">
      <c r="A154" s="29"/>
      <c r="B154" s="29"/>
      <c r="C154" s="29"/>
      <c r="D154" s="29"/>
      <c r="E154" s="29"/>
      <c r="F154" s="29"/>
      <c r="G154" s="29"/>
      <c r="H154" s="29"/>
      <c r="I154" s="29"/>
      <c r="J154" s="29"/>
      <c r="K154" s="29"/>
      <c r="L154" s="29"/>
    </row>
    <row r="155" customFormat="false" ht="44" hidden="false" customHeight="true" outlineLevel="0" collapsed="false">
      <c r="A155" s="29"/>
      <c r="B155" s="29"/>
      <c r="C155" s="29"/>
      <c r="D155" s="29"/>
      <c r="E155" s="29"/>
      <c r="F155" s="29"/>
      <c r="G155" s="29"/>
      <c r="H155" s="29"/>
      <c r="I155" s="29"/>
      <c r="J155" s="29"/>
      <c r="K155" s="29"/>
      <c r="L155" s="29"/>
    </row>
    <row r="156" customFormat="false" ht="44" hidden="false" customHeight="true" outlineLevel="0" collapsed="false">
      <c r="A156" s="29"/>
      <c r="B156" s="29"/>
      <c r="C156" s="29"/>
      <c r="D156" s="29"/>
      <c r="E156" s="29"/>
      <c r="F156" s="29"/>
      <c r="G156" s="29"/>
      <c r="H156" s="29"/>
      <c r="I156" s="29"/>
      <c r="J156" s="29"/>
      <c r="K156" s="29"/>
      <c r="L156" s="29"/>
    </row>
    <row r="157" customFormat="false" ht="44" hidden="false" customHeight="true" outlineLevel="0" collapsed="false">
      <c r="A157" s="29"/>
      <c r="B157" s="29"/>
      <c r="C157" s="29"/>
      <c r="D157" s="29"/>
      <c r="E157" s="29"/>
      <c r="F157" s="29"/>
      <c r="G157" s="29"/>
      <c r="H157" s="29"/>
      <c r="I157" s="29"/>
      <c r="J157" s="29"/>
      <c r="K157" s="29"/>
      <c r="L157" s="29"/>
    </row>
    <row r="158" customFormat="false" ht="44" hidden="false" customHeight="true" outlineLevel="0" collapsed="false">
      <c r="A158" s="29"/>
      <c r="B158" s="29"/>
      <c r="C158" s="29"/>
      <c r="D158" s="29"/>
      <c r="E158" s="29"/>
      <c r="F158" s="29"/>
      <c r="G158" s="29"/>
      <c r="H158" s="29"/>
      <c r="I158" s="29"/>
      <c r="J158" s="29"/>
      <c r="K158" s="29"/>
      <c r="L158" s="29"/>
    </row>
    <row r="159" customFormat="false" ht="44" hidden="false" customHeight="true" outlineLevel="0" collapsed="false">
      <c r="A159" s="29"/>
      <c r="B159" s="29"/>
      <c r="C159" s="29"/>
      <c r="D159" s="29"/>
      <c r="E159" s="29"/>
      <c r="F159" s="29"/>
      <c r="G159" s="29"/>
      <c r="H159" s="29"/>
      <c r="I159" s="29"/>
      <c r="J159" s="29"/>
      <c r="K159" s="29"/>
      <c r="L159" s="29"/>
    </row>
    <row r="160" customFormat="false" ht="44" hidden="false" customHeight="true" outlineLevel="0" collapsed="false">
      <c r="A160" s="29"/>
      <c r="B160" s="29"/>
      <c r="C160" s="29"/>
      <c r="D160" s="29"/>
      <c r="E160" s="29"/>
      <c r="F160" s="29"/>
      <c r="G160" s="29"/>
      <c r="H160" s="29"/>
      <c r="I160" s="29"/>
      <c r="J160" s="29"/>
      <c r="K160" s="29"/>
      <c r="L160" s="29"/>
    </row>
    <row r="161" customFormat="false" ht="44" hidden="false" customHeight="true" outlineLevel="0" collapsed="false">
      <c r="A161" s="29"/>
      <c r="B161" s="29"/>
      <c r="C161" s="29"/>
      <c r="D161" s="29"/>
      <c r="E161" s="29"/>
      <c r="F161" s="29"/>
      <c r="G161" s="29"/>
      <c r="H161" s="29"/>
      <c r="I161" s="29"/>
      <c r="J161" s="29"/>
      <c r="K161" s="29"/>
      <c r="L161" s="29"/>
    </row>
    <row r="162" customFormat="false" ht="44" hidden="false" customHeight="true" outlineLevel="0" collapsed="false">
      <c r="A162" s="29"/>
      <c r="B162" s="29"/>
      <c r="C162" s="29"/>
      <c r="D162" s="29"/>
      <c r="E162" s="29"/>
      <c r="F162" s="29"/>
      <c r="G162" s="29"/>
      <c r="H162" s="29"/>
      <c r="I162" s="29"/>
      <c r="J162" s="29"/>
      <c r="K162" s="29"/>
      <c r="L162" s="29"/>
    </row>
    <row r="163" customFormat="false" ht="44" hidden="false" customHeight="true" outlineLevel="0" collapsed="false">
      <c r="A163" s="29"/>
      <c r="B163" s="29"/>
      <c r="C163" s="29"/>
      <c r="D163" s="29"/>
      <c r="E163" s="29"/>
      <c r="F163" s="29"/>
      <c r="G163" s="29"/>
      <c r="H163" s="29"/>
      <c r="I163" s="29"/>
      <c r="J163" s="29"/>
      <c r="K163" s="29"/>
      <c r="L163" s="29"/>
    </row>
    <row r="164" customFormat="false" ht="44" hidden="false" customHeight="true" outlineLevel="0" collapsed="false">
      <c r="A164" s="29"/>
      <c r="B164" s="29"/>
      <c r="C164" s="29"/>
      <c r="D164" s="29"/>
      <c r="E164" s="29"/>
      <c r="F164" s="29"/>
      <c r="G164" s="29"/>
      <c r="H164" s="29"/>
      <c r="I164" s="29"/>
      <c r="J164" s="29"/>
      <c r="K164" s="29"/>
      <c r="L164" s="29"/>
    </row>
    <row r="165" customFormat="false" ht="44" hidden="false" customHeight="true" outlineLevel="0" collapsed="false">
      <c r="A165" s="29"/>
      <c r="B165" s="29"/>
      <c r="C165" s="29"/>
      <c r="D165" s="29"/>
      <c r="E165" s="29"/>
      <c r="F165" s="29"/>
      <c r="G165" s="29"/>
      <c r="H165" s="29"/>
      <c r="I165" s="29"/>
      <c r="J165" s="29"/>
      <c r="K165" s="29"/>
      <c r="L165" s="29"/>
    </row>
    <row r="166" customFormat="false" ht="44" hidden="false" customHeight="true" outlineLevel="0" collapsed="false">
      <c r="A166" s="29"/>
      <c r="B166" s="29"/>
      <c r="C166" s="29"/>
      <c r="D166" s="29"/>
      <c r="E166" s="29"/>
      <c r="F166" s="29"/>
      <c r="G166" s="29"/>
      <c r="H166" s="29"/>
      <c r="I166" s="29"/>
      <c r="J166" s="29"/>
      <c r="K166" s="29"/>
      <c r="L166" s="29"/>
    </row>
    <row r="167" customFormat="false" ht="44" hidden="false" customHeight="true" outlineLevel="0" collapsed="false">
      <c r="A167" s="29"/>
      <c r="B167" s="29"/>
      <c r="C167" s="29"/>
      <c r="D167" s="29"/>
      <c r="E167" s="29"/>
      <c r="F167" s="29"/>
      <c r="G167" s="29"/>
      <c r="H167" s="29"/>
      <c r="I167" s="29"/>
      <c r="J167" s="29"/>
      <c r="K167" s="29"/>
      <c r="L167" s="29"/>
    </row>
    <row r="168" customFormat="false" ht="44" hidden="false" customHeight="true" outlineLevel="0" collapsed="false">
      <c r="A168" s="29"/>
      <c r="B168" s="29"/>
      <c r="C168" s="29"/>
      <c r="D168" s="29"/>
      <c r="E168" s="29"/>
      <c r="F168" s="29"/>
      <c r="G168" s="29"/>
      <c r="H168" s="29"/>
      <c r="I168" s="29"/>
      <c r="J168" s="29"/>
      <c r="K168" s="29"/>
      <c r="L168" s="29"/>
    </row>
    <row r="169" customFormat="false" ht="44" hidden="false" customHeight="true" outlineLevel="0" collapsed="false">
      <c r="A169" s="29"/>
      <c r="B169" s="29"/>
      <c r="C169" s="29"/>
      <c r="D169" s="29"/>
      <c r="E169" s="29"/>
      <c r="F169" s="29"/>
      <c r="G169" s="29"/>
      <c r="H169" s="29"/>
      <c r="I169" s="29"/>
      <c r="J169" s="29"/>
      <c r="K169" s="29"/>
      <c r="L169" s="29"/>
    </row>
    <row r="170" customFormat="false" ht="44" hidden="false" customHeight="true" outlineLevel="0" collapsed="false">
      <c r="A170" s="29"/>
      <c r="B170" s="29"/>
      <c r="C170" s="29"/>
      <c r="D170" s="29"/>
      <c r="E170" s="29"/>
      <c r="F170" s="29"/>
      <c r="G170" s="29"/>
      <c r="H170" s="29"/>
      <c r="I170" s="29"/>
      <c r="J170" s="29"/>
      <c r="K170" s="29"/>
      <c r="L170" s="29"/>
    </row>
    <row r="171" customFormat="false" ht="44" hidden="false" customHeight="true" outlineLevel="0" collapsed="false">
      <c r="A171" s="29"/>
      <c r="B171" s="29"/>
      <c r="C171" s="29"/>
      <c r="D171" s="29"/>
      <c r="E171" s="29"/>
      <c r="F171" s="29"/>
      <c r="G171" s="29"/>
      <c r="H171" s="29"/>
      <c r="I171" s="29"/>
      <c r="J171" s="29"/>
      <c r="K171" s="29"/>
      <c r="L171" s="29"/>
    </row>
    <row r="172" customFormat="false" ht="44" hidden="false" customHeight="true" outlineLevel="0" collapsed="false">
      <c r="A172" s="29"/>
      <c r="B172" s="29"/>
      <c r="C172" s="29"/>
      <c r="D172" s="29"/>
      <c r="E172" s="29"/>
      <c r="F172" s="29"/>
      <c r="G172" s="29"/>
      <c r="H172" s="29"/>
      <c r="I172" s="29"/>
      <c r="J172" s="29"/>
      <c r="K172" s="29"/>
      <c r="L172" s="29"/>
    </row>
    <row r="173" customFormat="false" ht="44" hidden="false" customHeight="true" outlineLevel="0" collapsed="false">
      <c r="A173" s="29"/>
      <c r="B173" s="29"/>
      <c r="C173" s="29"/>
      <c r="D173" s="29"/>
      <c r="E173" s="29"/>
      <c r="F173" s="29"/>
      <c r="G173" s="29"/>
      <c r="H173" s="29"/>
      <c r="I173" s="29"/>
      <c r="J173" s="29"/>
      <c r="K173" s="29"/>
      <c r="L173" s="29"/>
    </row>
    <row r="174" customFormat="false" ht="44" hidden="false" customHeight="true" outlineLevel="0" collapsed="false">
      <c r="A174" s="29"/>
      <c r="B174" s="29"/>
      <c r="C174" s="29"/>
      <c r="D174" s="29"/>
      <c r="E174" s="29"/>
      <c r="F174" s="29"/>
      <c r="G174" s="29"/>
      <c r="H174" s="29"/>
      <c r="I174" s="29"/>
      <c r="J174" s="29"/>
      <c r="K174" s="29"/>
      <c r="L174" s="29"/>
    </row>
    <row r="175" customFormat="false" ht="44" hidden="false" customHeight="true" outlineLevel="0" collapsed="false">
      <c r="A175" s="29"/>
      <c r="B175" s="29"/>
      <c r="C175" s="29"/>
      <c r="D175" s="29"/>
      <c r="E175" s="29"/>
      <c r="F175" s="29"/>
      <c r="G175" s="29"/>
      <c r="H175" s="29"/>
      <c r="I175" s="29"/>
      <c r="J175" s="29"/>
      <c r="K175" s="29"/>
      <c r="L175" s="29"/>
    </row>
    <row r="176" customFormat="false" ht="44" hidden="false" customHeight="true" outlineLevel="0" collapsed="false">
      <c r="A176" s="29"/>
      <c r="B176" s="29"/>
      <c r="C176" s="29"/>
      <c r="D176" s="29"/>
      <c r="E176" s="29"/>
      <c r="F176" s="29"/>
      <c r="G176" s="29"/>
      <c r="H176" s="29"/>
      <c r="I176" s="29"/>
      <c r="J176" s="29"/>
      <c r="K176" s="29"/>
      <c r="L176" s="29"/>
    </row>
    <row r="177" customFormat="false" ht="44" hidden="false" customHeight="true" outlineLevel="0" collapsed="false">
      <c r="A177" s="29"/>
      <c r="B177" s="29"/>
      <c r="C177" s="29"/>
      <c r="D177" s="29"/>
      <c r="E177" s="29"/>
      <c r="F177" s="29"/>
      <c r="G177" s="29"/>
      <c r="H177" s="29"/>
      <c r="I177" s="29"/>
      <c r="J177" s="29"/>
      <c r="K177" s="29"/>
      <c r="L177" s="29"/>
    </row>
    <row r="178" customFormat="false" ht="44" hidden="false" customHeight="true" outlineLevel="0" collapsed="false">
      <c r="A178" s="29"/>
      <c r="B178" s="29"/>
      <c r="C178" s="29"/>
      <c r="D178" s="29"/>
      <c r="E178" s="29"/>
      <c r="F178" s="29"/>
      <c r="G178" s="29"/>
      <c r="H178" s="29"/>
      <c r="I178" s="29"/>
      <c r="J178" s="29"/>
      <c r="K178" s="29"/>
      <c r="L178" s="29"/>
    </row>
    <row r="179" customFormat="false" ht="44" hidden="false" customHeight="true" outlineLevel="0" collapsed="false">
      <c r="A179" s="29"/>
      <c r="B179" s="29"/>
      <c r="C179" s="29"/>
      <c r="D179" s="29"/>
      <c r="E179" s="29"/>
      <c r="F179" s="29"/>
      <c r="G179" s="29"/>
      <c r="H179" s="29"/>
      <c r="I179" s="29"/>
      <c r="J179" s="29"/>
      <c r="K179" s="29"/>
      <c r="L179" s="29"/>
    </row>
    <row r="180" customFormat="false" ht="44" hidden="false" customHeight="true" outlineLevel="0" collapsed="false">
      <c r="A180" s="29"/>
      <c r="B180" s="29"/>
      <c r="C180" s="29"/>
      <c r="D180" s="29"/>
      <c r="E180" s="29"/>
      <c r="F180" s="29"/>
      <c r="G180" s="29"/>
      <c r="H180" s="29"/>
      <c r="I180" s="29"/>
      <c r="J180" s="29"/>
      <c r="K180" s="29"/>
      <c r="L180" s="29"/>
    </row>
    <row r="181" customFormat="false" ht="44" hidden="false" customHeight="true" outlineLevel="0" collapsed="false">
      <c r="A181" s="29"/>
      <c r="B181" s="29"/>
      <c r="C181" s="29"/>
      <c r="D181" s="29"/>
      <c r="E181" s="29"/>
      <c r="F181" s="29"/>
      <c r="G181" s="29"/>
      <c r="H181" s="29"/>
      <c r="I181" s="29"/>
      <c r="J181" s="29"/>
      <c r="K181" s="29"/>
      <c r="L181" s="29"/>
    </row>
    <row r="182" customFormat="false" ht="44" hidden="false" customHeight="true" outlineLevel="0" collapsed="false">
      <c r="A182" s="29"/>
      <c r="B182" s="29"/>
      <c r="C182" s="29"/>
      <c r="D182" s="29"/>
      <c r="E182" s="29"/>
      <c r="F182" s="29"/>
      <c r="G182" s="29"/>
      <c r="H182" s="29"/>
      <c r="I182" s="29"/>
      <c r="J182" s="29"/>
      <c r="K182" s="29"/>
      <c r="L182" s="29"/>
    </row>
    <row r="183" customFormat="false" ht="44" hidden="false" customHeight="true" outlineLevel="0" collapsed="false">
      <c r="A183" s="29"/>
      <c r="B183" s="29"/>
      <c r="C183" s="29"/>
      <c r="D183" s="29"/>
      <c r="E183" s="29"/>
      <c r="F183" s="29"/>
      <c r="G183" s="29"/>
      <c r="H183" s="29"/>
      <c r="I183" s="29"/>
      <c r="J183" s="29"/>
      <c r="K183" s="29"/>
      <c r="L183" s="29"/>
    </row>
    <row r="184" customFormat="false" ht="44" hidden="false" customHeight="true" outlineLevel="0" collapsed="false">
      <c r="A184" s="29"/>
      <c r="B184" s="29"/>
      <c r="C184" s="29"/>
      <c r="D184" s="29"/>
      <c r="E184" s="29"/>
      <c r="F184" s="29"/>
      <c r="G184" s="29"/>
      <c r="H184" s="29"/>
      <c r="I184" s="29"/>
      <c r="J184" s="29"/>
      <c r="K184" s="29"/>
      <c r="L184" s="29"/>
    </row>
    <row r="185" customFormat="false" ht="44" hidden="false" customHeight="true" outlineLevel="0" collapsed="false">
      <c r="A185" s="29"/>
      <c r="B185" s="29"/>
      <c r="C185" s="29"/>
      <c r="D185" s="29"/>
      <c r="E185" s="29"/>
      <c r="F185" s="29"/>
      <c r="G185" s="29"/>
      <c r="H185" s="29"/>
      <c r="I185" s="29"/>
      <c r="J185" s="29"/>
      <c r="K185" s="29"/>
      <c r="L185" s="29"/>
    </row>
    <row r="186" customFormat="false" ht="44" hidden="false" customHeight="true" outlineLevel="0" collapsed="false">
      <c r="A186" s="29"/>
      <c r="B186" s="29"/>
      <c r="C186" s="29"/>
      <c r="D186" s="29"/>
      <c r="E186" s="29"/>
      <c r="F186" s="29"/>
      <c r="G186" s="29"/>
      <c r="H186" s="29"/>
      <c r="I186" s="29"/>
      <c r="J186" s="29"/>
      <c r="K186" s="29"/>
      <c r="L186" s="29"/>
    </row>
    <row r="187" customFormat="false" ht="44" hidden="false" customHeight="true" outlineLevel="0" collapsed="false">
      <c r="A187" s="29"/>
      <c r="B187" s="29"/>
      <c r="C187" s="29"/>
      <c r="D187" s="29"/>
      <c r="E187" s="29"/>
      <c r="F187" s="29"/>
      <c r="G187" s="29"/>
      <c r="H187" s="29"/>
      <c r="I187" s="29"/>
      <c r="J187" s="29"/>
      <c r="K187" s="29"/>
      <c r="L187" s="29"/>
    </row>
    <row r="188" customFormat="false" ht="44" hidden="false" customHeight="true" outlineLevel="0" collapsed="false">
      <c r="A188" s="29"/>
      <c r="B188" s="29"/>
      <c r="C188" s="29"/>
      <c r="D188" s="29"/>
      <c r="E188" s="29"/>
      <c r="F188" s="29"/>
      <c r="G188" s="29"/>
      <c r="H188" s="29"/>
      <c r="I188" s="29"/>
      <c r="J188" s="29"/>
      <c r="K188" s="29"/>
      <c r="L188" s="29"/>
    </row>
    <row r="189" customFormat="false" ht="44" hidden="false" customHeight="true" outlineLevel="0" collapsed="false">
      <c r="A189" s="29"/>
      <c r="B189" s="29"/>
      <c r="C189" s="29"/>
      <c r="D189" s="29"/>
      <c r="E189" s="29"/>
      <c r="F189" s="29"/>
      <c r="G189" s="29"/>
      <c r="H189" s="29"/>
      <c r="I189" s="29"/>
      <c r="J189" s="29"/>
      <c r="K189" s="29"/>
      <c r="L189" s="29"/>
    </row>
    <row r="190" customFormat="false" ht="44" hidden="false" customHeight="true" outlineLevel="0" collapsed="false">
      <c r="A190" s="29"/>
      <c r="B190" s="29"/>
      <c r="C190" s="29"/>
      <c r="D190" s="29"/>
      <c r="E190" s="29"/>
      <c r="F190" s="29"/>
      <c r="G190" s="29"/>
      <c r="H190" s="29"/>
      <c r="I190" s="29"/>
      <c r="J190" s="29"/>
      <c r="K190" s="29"/>
      <c r="L190" s="29"/>
    </row>
    <row r="191" customFormat="false" ht="44" hidden="false" customHeight="true" outlineLevel="0" collapsed="false">
      <c r="A191" s="29"/>
      <c r="B191" s="29"/>
      <c r="C191" s="29"/>
      <c r="D191" s="29"/>
      <c r="E191" s="29"/>
      <c r="F191" s="29"/>
      <c r="G191" s="29"/>
      <c r="H191" s="29"/>
      <c r="I191" s="29"/>
      <c r="J191" s="29"/>
      <c r="K191" s="29"/>
      <c r="L191" s="29"/>
    </row>
    <row r="192" customFormat="false" ht="44" hidden="false" customHeight="true" outlineLevel="0" collapsed="false">
      <c r="A192" s="29"/>
      <c r="B192" s="29"/>
      <c r="C192" s="29"/>
      <c r="D192" s="29"/>
      <c r="E192" s="29"/>
      <c r="F192" s="29"/>
      <c r="G192" s="29"/>
      <c r="H192" s="29"/>
      <c r="I192" s="29"/>
      <c r="J192" s="29"/>
      <c r="K192" s="29"/>
      <c r="L192" s="29"/>
    </row>
    <row r="193" customFormat="false" ht="44" hidden="false" customHeight="true" outlineLevel="0" collapsed="false">
      <c r="A193" s="29"/>
      <c r="B193" s="29"/>
      <c r="C193" s="29"/>
      <c r="D193" s="29"/>
      <c r="E193" s="29"/>
      <c r="F193" s="29"/>
      <c r="G193" s="29"/>
      <c r="H193" s="29"/>
      <c r="I193" s="29"/>
      <c r="J193" s="29"/>
      <c r="K193" s="29"/>
      <c r="L193" s="29"/>
    </row>
    <row r="194" customFormat="false" ht="44" hidden="false" customHeight="true" outlineLevel="0" collapsed="false">
      <c r="A194" s="29"/>
      <c r="B194" s="29"/>
      <c r="C194" s="29"/>
      <c r="D194" s="29"/>
      <c r="E194" s="29"/>
      <c r="F194" s="29"/>
      <c r="G194" s="29"/>
      <c r="H194" s="29"/>
      <c r="I194" s="29"/>
      <c r="J194" s="29"/>
      <c r="K194" s="29"/>
      <c r="L194" s="29"/>
    </row>
    <row r="195" customFormat="false" ht="44" hidden="false" customHeight="true" outlineLevel="0" collapsed="false">
      <c r="A195" s="29"/>
      <c r="B195" s="29"/>
      <c r="C195" s="29"/>
      <c r="D195" s="29"/>
      <c r="E195" s="29"/>
      <c r="F195" s="29"/>
      <c r="G195" s="29"/>
      <c r="H195" s="29"/>
      <c r="I195" s="29"/>
      <c r="J195" s="29"/>
      <c r="K195" s="29"/>
      <c r="L195" s="29"/>
    </row>
    <row r="196" customFormat="false" ht="44" hidden="false" customHeight="true" outlineLevel="0" collapsed="false">
      <c r="A196" s="29"/>
      <c r="B196" s="29"/>
      <c r="C196" s="29"/>
      <c r="D196" s="29"/>
      <c r="E196" s="29"/>
      <c r="F196" s="29"/>
      <c r="G196" s="29"/>
      <c r="H196" s="29"/>
      <c r="I196" s="29"/>
      <c r="J196" s="29"/>
      <c r="K196" s="29"/>
      <c r="L196" s="29"/>
    </row>
    <row r="197" customFormat="false" ht="44" hidden="false" customHeight="true" outlineLevel="0" collapsed="false">
      <c r="A197" s="29"/>
      <c r="B197" s="29"/>
      <c r="C197" s="29"/>
      <c r="D197" s="29"/>
      <c r="E197" s="29"/>
      <c r="F197" s="29"/>
      <c r="G197" s="29"/>
      <c r="H197" s="29"/>
      <c r="I197" s="29"/>
      <c r="J197" s="29"/>
      <c r="K197" s="29"/>
      <c r="L197" s="29"/>
    </row>
    <row r="198" customFormat="false" ht="44" hidden="false" customHeight="true" outlineLevel="0" collapsed="false">
      <c r="A198" s="29"/>
      <c r="B198" s="29"/>
      <c r="C198" s="29"/>
      <c r="D198" s="29"/>
      <c r="E198" s="29"/>
      <c r="F198" s="29"/>
      <c r="G198" s="29"/>
      <c r="H198" s="29"/>
      <c r="I198" s="29"/>
      <c r="J198" s="29"/>
      <c r="K198" s="29"/>
      <c r="L198" s="29"/>
    </row>
    <row r="199" customFormat="false" ht="44" hidden="false" customHeight="true" outlineLevel="0" collapsed="false">
      <c r="A199" s="29"/>
      <c r="B199" s="29"/>
      <c r="C199" s="29"/>
      <c r="D199" s="29"/>
      <c r="E199" s="29"/>
      <c r="F199" s="29"/>
      <c r="G199" s="29"/>
      <c r="H199" s="29"/>
      <c r="I199" s="29"/>
      <c r="J199" s="29"/>
      <c r="K199" s="29"/>
      <c r="L199" s="29"/>
    </row>
    <row r="200" customFormat="false" ht="44" hidden="false" customHeight="true" outlineLevel="0" collapsed="false">
      <c r="A200" s="29"/>
      <c r="B200" s="29"/>
      <c r="C200" s="29"/>
      <c r="D200" s="29"/>
      <c r="E200" s="29"/>
      <c r="F200" s="29"/>
      <c r="G200" s="29"/>
      <c r="H200" s="29"/>
      <c r="I200" s="29"/>
      <c r="J200" s="29"/>
      <c r="K200" s="29"/>
      <c r="L200" s="29"/>
    </row>
    <row r="201" customFormat="false" ht="44" hidden="false" customHeight="true" outlineLevel="0" collapsed="false">
      <c r="A201" s="29"/>
      <c r="B201" s="29"/>
      <c r="C201" s="29"/>
      <c r="D201" s="29"/>
      <c r="E201" s="29"/>
      <c r="F201" s="29"/>
      <c r="G201" s="29"/>
      <c r="H201" s="29"/>
      <c r="I201" s="29"/>
      <c r="J201" s="29"/>
      <c r="K201" s="29"/>
      <c r="L201" s="29"/>
    </row>
    <row r="202" customFormat="false" ht="44" hidden="false" customHeight="true" outlineLevel="0" collapsed="false">
      <c r="A202" s="29"/>
      <c r="B202" s="29"/>
      <c r="C202" s="29"/>
      <c r="D202" s="29"/>
      <c r="E202" s="29"/>
      <c r="F202" s="29"/>
      <c r="G202" s="29"/>
      <c r="H202" s="29"/>
      <c r="I202" s="29"/>
      <c r="J202" s="29"/>
      <c r="K202" s="29"/>
      <c r="L202" s="29"/>
    </row>
    <row r="203" customFormat="false" ht="44" hidden="false" customHeight="true" outlineLevel="0" collapsed="false">
      <c r="A203" s="29"/>
      <c r="B203" s="29"/>
      <c r="C203" s="29"/>
      <c r="D203" s="29"/>
      <c r="E203" s="29"/>
      <c r="F203" s="29"/>
      <c r="G203" s="29"/>
      <c r="H203" s="29"/>
      <c r="I203" s="29"/>
      <c r="J203" s="29"/>
      <c r="K203" s="29"/>
      <c r="L203" s="29"/>
    </row>
    <row r="204" customFormat="false" ht="44" hidden="false" customHeight="true" outlineLevel="0" collapsed="false">
      <c r="A204" s="29"/>
      <c r="B204" s="29"/>
      <c r="C204" s="29"/>
      <c r="D204" s="29"/>
      <c r="E204" s="29"/>
      <c r="F204" s="29"/>
      <c r="G204" s="29"/>
      <c r="H204" s="29"/>
      <c r="I204" s="29"/>
      <c r="J204" s="29"/>
      <c r="K204" s="29"/>
      <c r="L204" s="29"/>
    </row>
    <row r="205" customFormat="false" ht="44" hidden="false" customHeight="true" outlineLevel="0" collapsed="false">
      <c r="A205" s="29"/>
      <c r="B205" s="29"/>
      <c r="C205" s="29"/>
      <c r="D205" s="29"/>
      <c r="E205" s="29"/>
      <c r="F205" s="29"/>
      <c r="G205" s="29"/>
      <c r="H205" s="29"/>
      <c r="I205" s="29"/>
      <c r="J205" s="29"/>
      <c r="K205" s="29"/>
      <c r="L205" s="29"/>
    </row>
    <row r="206" customFormat="false" ht="44" hidden="false" customHeight="true" outlineLevel="0" collapsed="false">
      <c r="A206" s="29"/>
      <c r="B206" s="29"/>
      <c r="C206" s="29"/>
      <c r="D206" s="29"/>
      <c r="E206" s="29"/>
      <c r="F206" s="29"/>
      <c r="G206" s="29"/>
      <c r="H206" s="29"/>
      <c r="I206" s="29"/>
      <c r="J206" s="29"/>
      <c r="K206" s="29"/>
      <c r="L206" s="29"/>
    </row>
    <row r="207" customFormat="false" ht="44" hidden="false" customHeight="true" outlineLevel="0" collapsed="false">
      <c r="A207" s="29"/>
      <c r="B207" s="29"/>
      <c r="C207" s="29"/>
      <c r="D207" s="29"/>
      <c r="E207" s="29"/>
      <c r="F207" s="29"/>
      <c r="G207" s="29"/>
      <c r="H207" s="29"/>
      <c r="I207" s="29"/>
      <c r="J207" s="29"/>
      <c r="K207" s="29"/>
      <c r="L207" s="29"/>
    </row>
    <row r="208" customFormat="false" ht="44" hidden="false" customHeight="true" outlineLevel="0" collapsed="false">
      <c r="A208" s="29"/>
      <c r="B208" s="29"/>
      <c r="C208" s="29"/>
      <c r="D208" s="29"/>
      <c r="E208" s="29"/>
      <c r="F208" s="29"/>
      <c r="G208" s="29"/>
      <c r="H208" s="29"/>
      <c r="I208" s="29"/>
      <c r="J208" s="29"/>
      <c r="K208" s="29"/>
      <c r="L208" s="29"/>
    </row>
    <row r="209" customFormat="false" ht="44" hidden="false" customHeight="true" outlineLevel="0" collapsed="false">
      <c r="A209" s="29"/>
      <c r="B209" s="29"/>
      <c r="C209" s="29"/>
      <c r="D209" s="29"/>
      <c r="E209" s="29"/>
      <c r="F209" s="29"/>
      <c r="G209" s="29"/>
      <c r="H209" s="29"/>
      <c r="I209" s="29"/>
      <c r="J209" s="29"/>
      <c r="K209" s="29"/>
      <c r="L209" s="29"/>
    </row>
    <row r="210" customFormat="false" ht="44" hidden="false" customHeight="true" outlineLevel="0" collapsed="false">
      <c r="A210" s="29"/>
      <c r="B210" s="29"/>
      <c r="C210" s="29"/>
      <c r="D210" s="29"/>
      <c r="E210" s="29"/>
      <c r="F210" s="29"/>
      <c r="G210" s="29"/>
      <c r="H210" s="29"/>
      <c r="I210" s="29"/>
      <c r="J210" s="29"/>
      <c r="K210" s="29"/>
      <c r="L210" s="29"/>
    </row>
    <row r="211" customFormat="false" ht="44" hidden="false" customHeight="true" outlineLevel="0" collapsed="false">
      <c r="A211" s="29"/>
      <c r="B211" s="29"/>
      <c r="C211" s="29"/>
      <c r="D211" s="29"/>
      <c r="E211" s="29"/>
      <c r="F211" s="29"/>
      <c r="G211" s="29"/>
      <c r="H211" s="29"/>
      <c r="I211" s="29"/>
      <c r="J211" s="29"/>
      <c r="K211" s="29"/>
      <c r="L211" s="29"/>
    </row>
    <row r="212" customFormat="false" ht="44" hidden="false" customHeight="true" outlineLevel="0" collapsed="false">
      <c r="A212" s="29"/>
      <c r="B212" s="29"/>
      <c r="C212" s="29"/>
      <c r="D212" s="29"/>
      <c r="E212" s="29"/>
      <c r="F212" s="29"/>
      <c r="G212" s="29"/>
      <c r="H212" s="29"/>
      <c r="I212" s="29"/>
      <c r="J212" s="29"/>
      <c r="K212" s="29"/>
      <c r="L212" s="29"/>
    </row>
    <row r="213" customFormat="false" ht="44" hidden="false" customHeight="true" outlineLevel="0" collapsed="false">
      <c r="A213" s="29"/>
      <c r="B213" s="29"/>
      <c r="C213" s="29"/>
      <c r="D213" s="29"/>
      <c r="E213" s="29"/>
      <c r="F213" s="29"/>
      <c r="G213" s="29"/>
      <c r="H213" s="29"/>
      <c r="I213" s="29"/>
      <c r="J213" s="29"/>
      <c r="K213" s="29"/>
      <c r="L213" s="29"/>
    </row>
    <row r="214" customFormat="false" ht="44" hidden="false" customHeight="true" outlineLevel="0" collapsed="false">
      <c r="A214" s="29"/>
      <c r="B214" s="29"/>
      <c r="C214" s="29"/>
      <c r="D214" s="29"/>
      <c r="E214" s="29"/>
      <c r="F214" s="29"/>
      <c r="G214" s="29"/>
      <c r="H214" s="29"/>
      <c r="I214" s="29"/>
      <c r="J214" s="29"/>
      <c r="K214" s="29"/>
      <c r="L214" s="29"/>
    </row>
    <row r="215" customFormat="false" ht="44" hidden="false" customHeight="true" outlineLevel="0" collapsed="false">
      <c r="A215" s="29"/>
      <c r="B215" s="29"/>
      <c r="C215" s="29"/>
      <c r="D215" s="29"/>
      <c r="E215" s="29"/>
      <c r="F215" s="29"/>
      <c r="G215" s="29"/>
      <c r="H215" s="29"/>
      <c r="I215" s="29"/>
      <c r="J215" s="29"/>
      <c r="K215" s="29"/>
      <c r="L215" s="29"/>
    </row>
    <row r="216" customFormat="false" ht="44" hidden="false" customHeight="true" outlineLevel="0" collapsed="false">
      <c r="A216" s="29"/>
      <c r="B216" s="29"/>
      <c r="C216" s="29"/>
      <c r="D216" s="29"/>
      <c r="E216" s="29"/>
      <c r="F216" s="29"/>
      <c r="G216" s="29"/>
      <c r="H216" s="29"/>
      <c r="I216" s="29"/>
      <c r="J216" s="29"/>
      <c r="K216" s="29"/>
      <c r="L216" s="29"/>
    </row>
    <row r="217" customFormat="false" ht="44" hidden="false" customHeight="true" outlineLevel="0" collapsed="false">
      <c r="A217" s="29"/>
      <c r="B217" s="29"/>
      <c r="C217" s="29"/>
      <c r="D217" s="29"/>
      <c r="E217" s="29"/>
      <c r="F217" s="29"/>
      <c r="G217" s="29"/>
      <c r="H217" s="29"/>
      <c r="I217" s="29"/>
      <c r="J217" s="29"/>
      <c r="K217" s="29"/>
      <c r="L217" s="29"/>
    </row>
    <row r="218" customFormat="false" ht="44" hidden="false" customHeight="true" outlineLevel="0" collapsed="false">
      <c r="A218" s="29"/>
      <c r="B218" s="29"/>
      <c r="C218" s="29"/>
      <c r="D218" s="29"/>
      <c r="E218" s="29"/>
      <c r="F218" s="29"/>
      <c r="G218" s="29"/>
      <c r="H218" s="29"/>
      <c r="I218" s="29"/>
      <c r="J218" s="29"/>
      <c r="K218" s="29"/>
      <c r="L218" s="29"/>
    </row>
    <row r="219" customFormat="false" ht="44" hidden="false" customHeight="true" outlineLevel="0" collapsed="false">
      <c r="A219" s="29"/>
      <c r="B219" s="29"/>
      <c r="C219" s="29"/>
      <c r="D219" s="29"/>
      <c r="E219" s="29"/>
      <c r="F219" s="29"/>
      <c r="G219" s="29"/>
      <c r="H219" s="29"/>
      <c r="I219" s="29"/>
      <c r="J219" s="29"/>
      <c r="K219" s="29"/>
      <c r="L219" s="29"/>
    </row>
    <row r="220" customFormat="false" ht="44" hidden="false" customHeight="true" outlineLevel="0" collapsed="false">
      <c r="A220" s="29"/>
      <c r="B220" s="29"/>
      <c r="C220" s="29"/>
      <c r="D220" s="29"/>
      <c r="E220" s="29"/>
      <c r="F220" s="29"/>
      <c r="G220" s="29"/>
      <c r="H220" s="29"/>
      <c r="I220" s="29"/>
      <c r="J220" s="29"/>
      <c r="K220" s="29"/>
      <c r="L220" s="29"/>
    </row>
    <row r="221" customFormat="false" ht="44" hidden="false" customHeight="true" outlineLevel="0" collapsed="false">
      <c r="A221" s="29"/>
      <c r="B221" s="29"/>
      <c r="C221" s="29"/>
      <c r="D221" s="29"/>
      <c r="E221" s="29"/>
      <c r="F221" s="29"/>
      <c r="G221" s="29"/>
      <c r="H221" s="29"/>
      <c r="I221" s="29"/>
      <c r="J221" s="29"/>
      <c r="K221" s="29"/>
      <c r="L221" s="29"/>
    </row>
    <row r="222" customFormat="false" ht="44" hidden="false" customHeight="true" outlineLevel="0" collapsed="false">
      <c r="A222" s="29"/>
      <c r="B222" s="29"/>
      <c r="C222" s="29"/>
      <c r="D222" s="29"/>
      <c r="E222" s="29"/>
      <c r="F222" s="29"/>
      <c r="G222" s="29"/>
      <c r="H222" s="29"/>
      <c r="I222" s="29"/>
      <c r="J222" s="29"/>
      <c r="K222" s="29"/>
      <c r="L222" s="29"/>
    </row>
    <row r="223" customFormat="false" ht="44" hidden="false" customHeight="true" outlineLevel="0" collapsed="false">
      <c r="A223" s="29"/>
      <c r="B223" s="29"/>
      <c r="C223" s="29"/>
      <c r="D223" s="29"/>
      <c r="E223" s="29"/>
      <c r="F223" s="29"/>
      <c r="G223" s="29"/>
      <c r="H223" s="29"/>
      <c r="I223" s="29"/>
      <c r="J223" s="29"/>
      <c r="K223" s="29"/>
      <c r="L223" s="29"/>
    </row>
    <row r="224" customFormat="false" ht="44" hidden="false" customHeight="true" outlineLevel="0" collapsed="false">
      <c r="A224" s="29"/>
      <c r="B224" s="29"/>
      <c r="C224" s="29"/>
      <c r="D224" s="29"/>
      <c r="E224" s="29"/>
      <c r="F224" s="29"/>
      <c r="G224" s="29"/>
      <c r="H224" s="29"/>
      <c r="I224" s="29"/>
      <c r="J224" s="29"/>
      <c r="K224" s="29"/>
      <c r="L224" s="29"/>
    </row>
    <row r="225" customFormat="false" ht="44" hidden="false" customHeight="true" outlineLevel="0" collapsed="false">
      <c r="A225" s="29"/>
      <c r="B225" s="29"/>
      <c r="C225" s="29"/>
      <c r="D225" s="29"/>
      <c r="E225" s="29"/>
      <c r="F225" s="29"/>
      <c r="G225" s="29"/>
      <c r="H225" s="29"/>
      <c r="I225" s="29"/>
      <c r="J225" s="29"/>
      <c r="K225" s="29"/>
      <c r="L225" s="29"/>
    </row>
    <row r="226" customFormat="false" ht="44" hidden="false" customHeight="true" outlineLevel="0" collapsed="false">
      <c r="A226" s="29"/>
      <c r="B226" s="29"/>
      <c r="C226" s="29"/>
      <c r="D226" s="29"/>
      <c r="E226" s="29"/>
      <c r="F226" s="29"/>
      <c r="G226" s="29"/>
      <c r="H226" s="29"/>
      <c r="I226" s="29"/>
      <c r="J226" s="29"/>
      <c r="K226" s="29"/>
      <c r="L226" s="29"/>
    </row>
    <row r="227" customFormat="false" ht="44" hidden="false" customHeight="true" outlineLevel="0" collapsed="false">
      <c r="A227" s="29"/>
      <c r="B227" s="29"/>
      <c r="C227" s="29"/>
      <c r="D227" s="29"/>
      <c r="E227" s="29"/>
      <c r="F227" s="29"/>
      <c r="G227" s="29"/>
      <c r="H227" s="29"/>
      <c r="I227" s="29"/>
      <c r="J227" s="29"/>
      <c r="K227" s="29"/>
      <c r="L227" s="29"/>
    </row>
    <row r="228" customFormat="false" ht="44" hidden="false" customHeight="true" outlineLevel="0" collapsed="false">
      <c r="A228" s="29"/>
      <c r="B228" s="29"/>
      <c r="C228" s="29"/>
      <c r="D228" s="29"/>
      <c r="E228" s="29"/>
      <c r="F228" s="29"/>
      <c r="G228" s="29"/>
      <c r="H228" s="29"/>
      <c r="I228" s="29"/>
      <c r="J228" s="29"/>
      <c r="K228" s="29"/>
      <c r="L228" s="29"/>
    </row>
    <row r="229" customFormat="false" ht="44" hidden="false" customHeight="true" outlineLevel="0" collapsed="false">
      <c r="A229" s="29"/>
      <c r="B229" s="29"/>
      <c r="C229" s="29"/>
      <c r="D229" s="29"/>
      <c r="E229" s="29"/>
      <c r="F229" s="29"/>
      <c r="G229" s="29"/>
      <c r="H229" s="29"/>
      <c r="I229" s="29"/>
      <c r="J229" s="29"/>
      <c r="K229" s="29"/>
      <c r="L229" s="29"/>
    </row>
    <row r="230" customFormat="false" ht="44" hidden="false" customHeight="true" outlineLevel="0" collapsed="false">
      <c r="A230" s="29"/>
      <c r="B230" s="29"/>
      <c r="C230" s="29"/>
      <c r="D230" s="29"/>
      <c r="E230" s="29"/>
      <c r="F230" s="29"/>
      <c r="G230" s="29"/>
      <c r="H230" s="29"/>
      <c r="I230" s="29"/>
      <c r="J230" s="29"/>
      <c r="K230" s="29"/>
      <c r="L230" s="29"/>
    </row>
    <row r="231" customFormat="false" ht="44" hidden="false" customHeight="true" outlineLevel="0" collapsed="false">
      <c r="A231" s="29"/>
      <c r="B231" s="29"/>
      <c r="C231" s="29"/>
      <c r="D231" s="29"/>
      <c r="E231" s="29"/>
      <c r="F231" s="29"/>
      <c r="G231" s="29"/>
      <c r="H231" s="29"/>
      <c r="I231" s="29"/>
      <c r="J231" s="29"/>
      <c r="K231" s="29"/>
      <c r="L231" s="29"/>
    </row>
    <row r="232" customFormat="false" ht="44" hidden="false" customHeight="true" outlineLevel="0" collapsed="false">
      <c r="A232" s="29"/>
      <c r="B232" s="29"/>
      <c r="C232" s="29"/>
      <c r="D232" s="29"/>
      <c r="E232" s="29"/>
      <c r="F232" s="29"/>
      <c r="G232" s="29"/>
      <c r="H232" s="29"/>
      <c r="I232" s="29"/>
      <c r="J232" s="29"/>
      <c r="K232" s="29"/>
      <c r="L232" s="29"/>
    </row>
    <row r="233" customFormat="false" ht="44" hidden="false" customHeight="true" outlineLevel="0" collapsed="false">
      <c r="A233" s="29"/>
      <c r="B233" s="29"/>
      <c r="C233" s="29"/>
      <c r="D233" s="29"/>
      <c r="E233" s="29"/>
      <c r="F233" s="29"/>
      <c r="G233" s="29"/>
      <c r="H233" s="29"/>
      <c r="I233" s="29"/>
      <c r="J233" s="29"/>
      <c r="K233" s="29"/>
      <c r="L233" s="29"/>
    </row>
    <row r="234" customFormat="false" ht="44" hidden="false" customHeight="true" outlineLevel="0" collapsed="false">
      <c r="A234" s="29"/>
      <c r="B234" s="29"/>
      <c r="C234" s="29"/>
      <c r="D234" s="29"/>
      <c r="E234" s="29"/>
      <c r="F234" s="29"/>
      <c r="G234" s="29"/>
      <c r="H234" s="29"/>
      <c r="I234" s="29"/>
      <c r="J234" s="29"/>
      <c r="K234" s="29"/>
      <c r="L234" s="29"/>
    </row>
    <row r="235" customFormat="false" ht="44" hidden="false" customHeight="true" outlineLevel="0" collapsed="false">
      <c r="A235" s="29"/>
      <c r="B235" s="29"/>
      <c r="C235" s="29"/>
      <c r="D235" s="29"/>
      <c r="E235" s="29"/>
      <c r="F235" s="29"/>
      <c r="G235" s="29"/>
      <c r="H235" s="29"/>
      <c r="I235" s="29"/>
      <c r="J235" s="29"/>
      <c r="K235" s="29"/>
      <c r="L235" s="29"/>
    </row>
    <row r="236" customFormat="false" ht="44" hidden="false" customHeight="true" outlineLevel="0" collapsed="false">
      <c r="A236" s="29"/>
      <c r="B236" s="29"/>
      <c r="C236" s="29"/>
      <c r="D236" s="29"/>
      <c r="E236" s="29"/>
      <c r="F236" s="29"/>
      <c r="G236" s="29"/>
      <c r="H236" s="29"/>
      <c r="I236" s="29"/>
      <c r="J236" s="29"/>
      <c r="K236" s="29"/>
      <c r="L236" s="29"/>
    </row>
    <row r="237" customFormat="false" ht="44" hidden="false" customHeight="true" outlineLevel="0" collapsed="false">
      <c r="A237" s="29"/>
      <c r="B237" s="29"/>
      <c r="C237" s="29"/>
      <c r="D237" s="29"/>
      <c r="E237" s="29"/>
      <c r="F237" s="29"/>
      <c r="G237" s="29"/>
      <c r="H237" s="29"/>
      <c r="I237" s="29"/>
      <c r="J237" s="29"/>
      <c r="K237" s="29"/>
      <c r="L237" s="29"/>
    </row>
    <row r="238" customFormat="false" ht="44" hidden="false" customHeight="true" outlineLevel="0" collapsed="false">
      <c r="A238" s="29"/>
      <c r="B238" s="29"/>
      <c r="C238" s="29"/>
      <c r="D238" s="29"/>
      <c r="E238" s="29"/>
      <c r="F238" s="29"/>
      <c r="G238" s="29"/>
      <c r="H238" s="29"/>
      <c r="I238" s="29"/>
      <c r="J238" s="29"/>
      <c r="K238" s="29"/>
      <c r="L238" s="29"/>
    </row>
    <row r="239" customFormat="false" ht="44" hidden="false" customHeight="true" outlineLevel="0" collapsed="false">
      <c r="A239" s="29"/>
      <c r="B239" s="29"/>
      <c r="C239" s="29"/>
      <c r="D239" s="29"/>
      <c r="E239" s="29"/>
      <c r="F239" s="29"/>
      <c r="G239" s="29"/>
      <c r="H239" s="29"/>
      <c r="I239" s="29"/>
      <c r="J239" s="29"/>
      <c r="K239" s="29"/>
      <c r="L239" s="29"/>
    </row>
    <row r="240" customFormat="false" ht="44" hidden="false" customHeight="true" outlineLevel="0" collapsed="false">
      <c r="A240" s="29"/>
      <c r="B240" s="29"/>
      <c r="C240" s="29"/>
      <c r="D240" s="29"/>
      <c r="E240" s="29"/>
      <c r="F240" s="29"/>
      <c r="G240" s="29"/>
      <c r="H240" s="29"/>
      <c r="I240" s="29"/>
      <c r="J240" s="29"/>
      <c r="K240" s="29"/>
      <c r="L240" s="29"/>
    </row>
    <row r="241" customFormat="false" ht="44" hidden="false" customHeight="true" outlineLevel="0" collapsed="false">
      <c r="A241" s="29"/>
      <c r="B241" s="29"/>
      <c r="C241" s="29"/>
      <c r="D241" s="29"/>
      <c r="E241" s="29"/>
      <c r="F241" s="29"/>
      <c r="G241" s="29"/>
      <c r="H241" s="29"/>
      <c r="I241" s="29"/>
      <c r="J241" s="29"/>
      <c r="K241" s="29"/>
      <c r="L241" s="29"/>
    </row>
    <row r="242" customFormat="false" ht="44" hidden="false" customHeight="true" outlineLevel="0" collapsed="false">
      <c r="A242" s="29"/>
      <c r="B242" s="29"/>
      <c r="C242" s="29"/>
      <c r="D242" s="29"/>
      <c r="E242" s="29"/>
      <c r="F242" s="29"/>
      <c r="G242" s="29"/>
      <c r="H242" s="29"/>
      <c r="I242" s="29"/>
      <c r="J242" s="29"/>
      <c r="K242" s="29"/>
      <c r="L242" s="29"/>
    </row>
    <row r="243" customFormat="false" ht="44" hidden="false" customHeight="true" outlineLevel="0" collapsed="false">
      <c r="A243" s="29"/>
      <c r="B243" s="29"/>
      <c r="C243" s="29"/>
      <c r="D243" s="29"/>
      <c r="E243" s="29"/>
      <c r="F243" s="29"/>
      <c r="G243" s="29"/>
      <c r="H243" s="29"/>
      <c r="I243" s="29"/>
      <c r="J243" s="29"/>
      <c r="K243" s="29"/>
      <c r="L243" s="29"/>
    </row>
    <row r="244" customFormat="false" ht="44" hidden="false" customHeight="true" outlineLevel="0" collapsed="false">
      <c r="A244" s="29"/>
      <c r="B244" s="29"/>
      <c r="C244" s="29"/>
      <c r="D244" s="29"/>
      <c r="E244" s="29"/>
      <c r="F244" s="29"/>
      <c r="G244" s="29"/>
      <c r="H244" s="29"/>
      <c r="I244" s="29"/>
      <c r="J244" s="29"/>
      <c r="K244" s="29"/>
      <c r="L244" s="29"/>
    </row>
    <row r="245" customFormat="false" ht="44" hidden="false" customHeight="true" outlineLevel="0" collapsed="false">
      <c r="A245" s="29"/>
      <c r="B245" s="29"/>
      <c r="C245" s="29"/>
      <c r="D245" s="29"/>
      <c r="E245" s="29"/>
      <c r="F245" s="29"/>
      <c r="G245" s="29"/>
      <c r="H245" s="29"/>
      <c r="I245" s="29"/>
      <c r="J245" s="29"/>
      <c r="K245" s="29"/>
      <c r="L245" s="29"/>
    </row>
    <row r="246" customFormat="false" ht="44" hidden="false" customHeight="true" outlineLevel="0" collapsed="false">
      <c r="A246" s="29"/>
      <c r="B246" s="29"/>
      <c r="C246" s="29"/>
      <c r="D246" s="29"/>
      <c r="E246" s="29"/>
      <c r="F246" s="29"/>
      <c r="G246" s="29"/>
      <c r="H246" s="29"/>
      <c r="I246" s="29"/>
      <c r="J246" s="29"/>
      <c r="K246" s="29"/>
      <c r="L246" s="29"/>
    </row>
    <row r="247" customFormat="false" ht="44" hidden="false" customHeight="true" outlineLevel="0" collapsed="false">
      <c r="A247" s="29"/>
      <c r="B247" s="29"/>
      <c r="C247" s="29"/>
      <c r="D247" s="29"/>
      <c r="E247" s="29"/>
      <c r="F247" s="29"/>
      <c r="G247" s="29"/>
      <c r="H247" s="29"/>
      <c r="I247" s="29"/>
      <c r="J247" s="29"/>
      <c r="K247" s="29"/>
      <c r="L247" s="29"/>
    </row>
    <row r="248" customFormat="false" ht="44" hidden="false" customHeight="true" outlineLevel="0" collapsed="false">
      <c r="A248" s="29"/>
      <c r="B248" s="29"/>
      <c r="C248" s="29"/>
      <c r="D248" s="29"/>
      <c r="E248" s="29"/>
      <c r="F248" s="29"/>
      <c r="G248" s="29"/>
      <c r="H248" s="29"/>
      <c r="I248" s="29"/>
      <c r="J248" s="29"/>
      <c r="K248" s="29"/>
      <c r="L248" s="29"/>
    </row>
    <row r="249" customFormat="false" ht="44" hidden="false" customHeight="true" outlineLevel="0" collapsed="false">
      <c r="A249" s="29"/>
      <c r="B249" s="29"/>
      <c r="C249" s="29"/>
      <c r="D249" s="29"/>
      <c r="E249" s="29"/>
      <c r="F249" s="29"/>
      <c r="G249" s="29"/>
      <c r="H249" s="29"/>
      <c r="I249" s="29"/>
      <c r="J249" s="29"/>
      <c r="K249" s="29"/>
      <c r="L249" s="29"/>
    </row>
    <row r="250" customFormat="false" ht="44" hidden="false" customHeight="true" outlineLevel="0" collapsed="false">
      <c r="A250" s="29"/>
      <c r="B250" s="29"/>
      <c r="C250" s="29"/>
      <c r="D250" s="29"/>
      <c r="E250" s="29"/>
      <c r="F250" s="29"/>
      <c r="G250" s="29"/>
      <c r="H250" s="29"/>
      <c r="I250" s="29"/>
      <c r="J250" s="29"/>
      <c r="K250" s="29"/>
      <c r="L250" s="29"/>
    </row>
    <row r="251" customFormat="false" ht="44" hidden="false" customHeight="true" outlineLevel="0" collapsed="false">
      <c r="A251" s="29"/>
      <c r="B251" s="29"/>
      <c r="C251" s="29"/>
      <c r="D251" s="29"/>
      <c r="E251" s="29"/>
      <c r="F251" s="29"/>
      <c r="G251" s="29"/>
      <c r="H251" s="29"/>
      <c r="I251" s="29"/>
      <c r="J251" s="29"/>
      <c r="K251" s="29"/>
      <c r="L251" s="29"/>
    </row>
    <row r="252" customFormat="false" ht="44" hidden="false" customHeight="true" outlineLevel="0" collapsed="false">
      <c r="A252" s="29"/>
      <c r="B252" s="29"/>
      <c r="C252" s="29"/>
      <c r="D252" s="29"/>
      <c r="E252" s="29"/>
      <c r="F252" s="29"/>
      <c r="G252" s="29"/>
      <c r="H252" s="29"/>
      <c r="I252" s="29"/>
      <c r="J252" s="29"/>
      <c r="K252" s="29"/>
      <c r="L252" s="29"/>
    </row>
    <row r="253" customFormat="false" ht="44" hidden="false" customHeight="true" outlineLevel="0" collapsed="false">
      <c r="A253" s="29"/>
      <c r="B253" s="29"/>
      <c r="C253" s="29"/>
      <c r="D253" s="29"/>
      <c r="E253" s="29"/>
      <c r="F253" s="29"/>
      <c r="G253" s="29"/>
      <c r="H253" s="29"/>
      <c r="I253" s="29"/>
      <c r="J253" s="29"/>
      <c r="K253" s="29"/>
      <c r="L253" s="29"/>
    </row>
    <row r="254" customFormat="false" ht="44" hidden="false" customHeight="true" outlineLevel="0" collapsed="false">
      <c r="A254" s="29"/>
      <c r="B254" s="29"/>
      <c r="C254" s="29"/>
      <c r="D254" s="29"/>
      <c r="E254" s="29"/>
      <c r="F254" s="29"/>
      <c r="G254" s="29"/>
      <c r="H254" s="29"/>
      <c r="I254" s="29"/>
      <c r="J254" s="29"/>
      <c r="K254" s="29"/>
      <c r="L254" s="29"/>
    </row>
    <row r="255" customFormat="false" ht="44" hidden="false" customHeight="true" outlineLevel="0" collapsed="false">
      <c r="A255" s="29"/>
      <c r="B255" s="29"/>
      <c r="C255" s="29"/>
      <c r="D255" s="29"/>
      <c r="E255" s="29"/>
      <c r="F255" s="29"/>
      <c r="G255" s="29"/>
      <c r="H255" s="29"/>
      <c r="I255" s="29"/>
      <c r="J255" s="29"/>
      <c r="K255" s="29"/>
      <c r="L255" s="29"/>
    </row>
    <row r="256" customFormat="false" ht="44" hidden="false" customHeight="true" outlineLevel="0" collapsed="false">
      <c r="A256" s="29"/>
      <c r="B256" s="29"/>
      <c r="C256" s="29"/>
      <c r="D256" s="29"/>
      <c r="E256" s="29"/>
      <c r="F256" s="29"/>
      <c r="G256" s="29"/>
      <c r="H256" s="29"/>
      <c r="I256" s="29"/>
      <c r="J256" s="29"/>
      <c r="K256" s="29"/>
      <c r="L256" s="29"/>
    </row>
    <row r="257" customFormat="false" ht="44" hidden="false" customHeight="true" outlineLevel="0" collapsed="false">
      <c r="A257" s="29"/>
      <c r="B257" s="29"/>
      <c r="C257" s="29"/>
      <c r="D257" s="29"/>
      <c r="E257" s="29"/>
      <c r="F257" s="29"/>
      <c r="G257" s="29"/>
      <c r="H257" s="29"/>
      <c r="I257" s="29"/>
      <c r="J257" s="29"/>
      <c r="K257" s="29"/>
      <c r="L257" s="29"/>
    </row>
    <row r="258" customFormat="false" ht="44" hidden="false" customHeight="true" outlineLevel="0" collapsed="false">
      <c r="A258" s="29"/>
      <c r="B258" s="29"/>
      <c r="C258" s="29"/>
      <c r="D258" s="29"/>
      <c r="E258" s="29"/>
      <c r="F258" s="29"/>
      <c r="G258" s="29"/>
      <c r="H258" s="29"/>
      <c r="I258" s="29"/>
      <c r="J258" s="29"/>
      <c r="K258" s="29"/>
      <c r="L258" s="29"/>
    </row>
    <row r="259" customFormat="false" ht="44" hidden="false" customHeight="true" outlineLevel="0" collapsed="false">
      <c r="A259" s="29"/>
      <c r="B259" s="29"/>
      <c r="C259" s="29"/>
      <c r="D259" s="29"/>
      <c r="E259" s="29"/>
      <c r="F259" s="29"/>
      <c r="G259" s="29"/>
      <c r="H259" s="29"/>
      <c r="I259" s="29"/>
      <c r="J259" s="29"/>
      <c r="K259" s="29"/>
      <c r="L259" s="29"/>
    </row>
    <row r="260" customFormat="false" ht="44" hidden="false" customHeight="true" outlineLevel="0" collapsed="false">
      <c r="A260" s="29"/>
      <c r="B260" s="29"/>
      <c r="C260" s="29"/>
      <c r="D260" s="29"/>
      <c r="E260" s="29"/>
      <c r="F260" s="29"/>
      <c r="G260" s="29"/>
      <c r="H260" s="29"/>
      <c r="I260" s="29"/>
      <c r="J260" s="29"/>
      <c r="K260" s="29"/>
      <c r="L260" s="29"/>
    </row>
    <row r="261" customFormat="false" ht="44" hidden="false" customHeight="true" outlineLevel="0" collapsed="false">
      <c r="A261" s="29"/>
      <c r="B261" s="29"/>
      <c r="C261" s="29"/>
      <c r="D261" s="29"/>
      <c r="E261" s="29"/>
      <c r="F261" s="29"/>
      <c r="G261" s="29"/>
      <c r="H261" s="29"/>
      <c r="I261" s="29"/>
      <c r="J261" s="29"/>
      <c r="K261" s="29"/>
      <c r="L261" s="29"/>
    </row>
    <row r="262" customFormat="false" ht="44" hidden="false" customHeight="true" outlineLevel="0" collapsed="false">
      <c r="A262" s="29"/>
      <c r="B262" s="29"/>
      <c r="C262" s="29"/>
      <c r="D262" s="29"/>
      <c r="E262" s="29"/>
      <c r="F262" s="29"/>
      <c r="G262" s="29"/>
      <c r="H262" s="29"/>
      <c r="I262" s="29"/>
      <c r="J262" s="29"/>
      <c r="K262" s="29"/>
      <c r="L262" s="29"/>
    </row>
    <row r="263" customFormat="false" ht="44" hidden="false" customHeight="true" outlineLevel="0" collapsed="false">
      <c r="A263" s="29"/>
      <c r="B263" s="29"/>
      <c r="C263" s="29"/>
      <c r="D263" s="29"/>
      <c r="E263" s="29"/>
      <c r="F263" s="29"/>
      <c r="G263" s="29"/>
      <c r="H263" s="29"/>
      <c r="I263" s="29"/>
      <c r="J263" s="29"/>
      <c r="K263" s="29"/>
      <c r="L263" s="29"/>
    </row>
    <row r="264" customFormat="false" ht="44" hidden="false" customHeight="true" outlineLevel="0" collapsed="false">
      <c r="A264" s="29"/>
      <c r="B264" s="29"/>
      <c r="C264" s="29"/>
      <c r="D264" s="29"/>
      <c r="E264" s="29"/>
      <c r="F264" s="29"/>
      <c r="G264" s="29"/>
      <c r="H264" s="29"/>
      <c r="I264" s="29"/>
      <c r="J264" s="29"/>
      <c r="K264" s="29"/>
      <c r="L264" s="29"/>
    </row>
    <row r="265" customFormat="false" ht="44" hidden="false" customHeight="true" outlineLevel="0" collapsed="false">
      <c r="A265" s="29"/>
      <c r="B265" s="29"/>
      <c r="C265" s="29"/>
      <c r="D265" s="29"/>
      <c r="E265" s="29"/>
      <c r="F265" s="29"/>
      <c r="G265" s="29"/>
      <c r="H265" s="29"/>
      <c r="I265" s="29"/>
      <c r="J265" s="29"/>
      <c r="K265" s="29"/>
      <c r="L265" s="29"/>
    </row>
    <row r="266" customFormat="false" ht="44" hidden="false" customHeight="true" outlineLevel="0" collapsed="false">
      <c r="A266" s="29"/>
      <c r="B266" s="29"/>
      <c r="C266" s="29"/>
      <c r="D266" s="29"/>
      <c r="E266" s="29"/>
      <c r="F266" s="29"/>
      <c r="G266" s="29"/>
      <c r="H266" s="29"/>
      <c r="I266" s="29"/>
      <c r="J266" s="29"/>
      <c r="K266" s="29"/>
      <c r="L266" s="29"/>
    </row>
    <row r="267" customFormat="false" ht="44" hidden="false" customHeight="true" outlineLevel="0" collapsed="false">
      <c r="A267" s="29"/>
      <c r="B267" s="29"/>
      <c r="C267" s="29"/>
      <c r="D267" s="29"/>
      <c r="E267" s="29"/>
      <c r="F267" s="29"/>
      <c r="G267" s="29"/>
      <c r="H267" s="29"/>
      <c r="I267" s="29"/>
      <c r="J267" s="29"/>
      <c r="K267" s="29"/>
      <c r="L267" s="29"/>
    </row>
    <row r="268" customFormat="false" ht="44" hidden="false" customHeight="true" outlineLevel="0" collapsed="false">
      <c r="A268" s="29"/>
      <c r="B268" s="29"/>
      <c r="C268" s="29"/>
      <c r="D268" s="29"/>
      <c r="E268" s="29"/>
      <c r="F268" s="29"/>
      <c r="G268" s="29"/>
      <c r="H268" s="29"/>
      <c r="I268" s="29"/>
      <c r="J268" s="29"/>
      <c r="K268" s="29"/>
      <c r="L268" s="29"/>
    </row>
    <row r="269" customFormat="false" ht="44" hidden="false" customHeight="true" outlineLevel="0" collapsed="false">
      <c r="A269" s="29"/>
      <c r="B269" s="29"/>
      <c r="C269" s="29"/>
      <c r="D269" s="29"/>
      <c r="E269" s="29"/>
      <c r="F269" s="29"/>
      <c r="G269" s="29"/>
      <c r="H269" s="29"/>
      <c r="I269" s="29"/>
      <c r="J269" s="29"/>
      <c r="K269" s="29"/>
      <c r="L269" s="29"/>
    </row>
    <row r="270" customFormat="false" ht="44" hidden="false" customHeight="true" outlineLevel="0" collapsed="false">
      <c r="A270" s="29"/>
      <c r="B270" s="29"/>
      <c r="C270" s="29"/>
      <c r="D270" s="29"/>
      <c r="E270" s="29"/>
      <c r="F270" s="29"/>
      <c r="G270" s="29"/>
      <c r="H270" s="29"/>
      <c r="I270" s="29"/>
      <c r="J270" s="29"/>
      <c r="K270" s="29"/>
      <c r="L270" s="29"/>
    </row>
    <row r="271" customFormat="false" ht="44" hidden="false" customHeight="true" outlineLevel="0" collapsed="false">
      <c r="A271" s="29"/>
      <c r="B271" s="29"/>
      <c r="C271" s="29"/>
      <c r="D271" s="29"/>
      <c r="E271" s="29"/>
      <c r="F271" s="29"/>
      <c r="G271" s="29"/>
      <c r="H271" s="29"/>
      <c r="I271" s="29"/>
      <c r="J271" s="29"/>
      <c r="K271" s="29"/>
      <c r="L271" s="29"/>
    </row>
    <row r="272" customFormat="false" ht="44" hidden="false" customHeight="true" outlineLevel="0" collapsed="false">
      <c r="A272" s="29"/>
      <c r="B272" s="29"/>
      <c r="C272" s="29"/>
      <c r="D272" s="29"/>
      <c r="E272" s="29"/>
      <c r="F272" s="29"/>
      <c r="G272" s="29"/>
      <c r="H272" s="29"/>
      <c r="I272" s="29"/>
      <c r="J272" s="29"/>
      <c r="K272" s="29"/>
      <c r="L272" s="29"/>
    </row>
    <row r="273" customFormat="false" ht="44" hidden="false" customHeight="true" outlineLevel="0" collapsed="false">
      <c r="A273" s="29"/>
      <c r="B273" s="29"/>
      <c r="C273" s="29"/>
      <c r="D273" s="29"/>
      <c r="E273" s="29"/>
      <c r="F273" s="29"/>
      <c r="G273" s="29"/>
      <c r="H273" s="29"/>
      <c r="I273" s="29"/>
      <c r="J273" s="29"/>
      <c r="K273" s="29"/>
      <c r="L273" s="29"/>
    </row>
    <row r="274" customFormat="false" ht="44" hidden="false" customHeight="true" outlineLevel="0" collapsed="false">
      <c r="A274" s="29"/>
      <c r="B274" s="29"/>
      <c r="C274" s="29"/>
      <c r="D274" s="29"/>
      <c r="E274" s="29"/>
      <c r="F274" s="29"/>
      <c r="G274" s="29"/>
      <c r="H274" s="29"/>
      <c r="I274" s="29"/>
      <c r="J274" s="29"/>
      <c r="K274" s="29"/>
      <c r="L274" s="29"/>
    </row>
    <row r="275" customFormat="false" ht="44" hidden="false" customHeight="true" outlineLevel="0" collapsed="false">
      <c r="A275" s="29"/>
      <c r="B275" s="29"/>
      <c r="C275" s="29"/>
      <c r="D275" s="29"/>
      <c r="E275" s="29"/>
      <c r="F275" s="29"/>
      <c r="G275" s="29"/>
      <c r="H275" s="29"/>
      <c r="I275" s="29"/>
      <c r="J275" s="29"/>
      <c r="K275" s="29"/>
      <c r="L275" s="29"/>
    </row>
    <row r="276" customFormat="false" ht="44" hidden="false" customHeight="true" outlineLevel="0" collapsed="false">
      <c r="A276" s="29"/>
      <c r="B276" s="29"/>
      <c r="C276" s="29"/>
      <c r="D276" s="29"/>
      <c r="E276" s="29"/>
      <c r="F276" s="29"/>
      <c r="G276" s="29"/>
      <c r="H276" s="29"/>
      <c r="I276" s="29"/>
      <c r="J276" s="29"/>
      <c r="K276" s="29"/>
      <c r="L276" s="29"/>
    </row>
    <row r="277" customFormat="false" ht="44" hidden="false" customHeight="true" outlineLevel="0" collapsed="false">
      <c r="A277" s="29"/>
      <c r="B277" s="29"/>
      <c r="C277" s="29"/>
      <c r="D277" s="29"/>
      <c r="E277" s="29"/>
      <c r="F277" s="29"/>
      <c r="G277" s="29"/>
      <c r="H277" s="29"/>
      <c r="I277" s="29"/>
      <c r="J277" s="29"/>
      <c r="K277" s="29"/>
      <c r="L277" s="29"/>
    </row>
    <row r="278" customFormat="false" ht="44" hidden="false" customHeight="true" outlineLevel="0" collapsed="false">
      <c r="A278" s="29"/>
      <c r="B278" s="29"/>
      <c r="C278" s="29"/>
      <c r="D278" s="29"/>
      <c r="E278" s="29"/>
      <c r="F278" s="29"/>
      <c r="G278" s="29"/>
      <c r="H278" s="29"/>
      <c r="I278" s="29"/>
      <c r="J278" s="29"/>
      <c r="K278" s="29"/>
      <c r="L278" s="29"/>
    </row>
    <row r="279" customFormat="false" ht="44" hidden="false" customHeight="true" outlineLevel="0" collapsed="false">
      <c r="A279" s="29"/>
      <c r="B279" s="29"/>
      <c r="C279" s="29"/>
      <c r="D279" s="29"/>
      <c r="E279" s="29"/>
      <c r="F279" s="29"/>
      <c r="G279" s="29"/>
      <c r="H279" s="29"/>
      <c r="I279" s="29"/>
      <c r="J279" s="29"/>
      <c r="K279" s="29"/>
      <c r="L279" s="29"/>
    </row>
    <row r="280" customFormat="false" ht="44" hidden="false" customHeight="true" outlineLevel="0" collapsed="false">
      <c r="A280" s="29"/>
      <c r="B280" s="29"/>
      <c r="C280" s="29"/>
      <c r="D280" s="29"/>
      <c r="E280" s="29"/>
      <c r="F280" s="29"/>
      <c r="G280" s="29"/>
      <c r="H280" s="29"/>
      <c r="I280" s="29"/>
      <c r="J280" s="29"/>
      <c r="K280" s="29"/>
      <c r="L280" s="29"/>
    </row>
    <row r="281" customFormat="false" ht="44" hidden="false" customHeight="true" outlineLevel="0" collapsed="false">
      <c r="A281" s="29"/>
      <c r="B281" s="29"/>
      <c r="C281" s="29"/>
      <c r="D281" s="29"/>
      <c r="E281" s="29"/>
      <c r="F281" s="29"/>
      <c r="G281" s="29"/>
      <c r="H281" s="29"/>
      <c r="I281" s="29"/>
      <c r="J281" s="29"/>
      <c r="K281" s="29"/>
      <c r="L281" s="29"/>
    </row>
    <row r="282" customFormat="false" ht="44" hidden="false" customHeight="true" outlineLevel="0" collapsed="false">
      <c r="A282" s="29"/>
      <c r="B282" s="29"/>
      <c r="C282" s="29"/>
      <c r="D282" s="29"/>
      <c r="E282" s="29"/>
      <c r="F282" s="29"/>
      <c r="G282" s="29"/>
      <c r="H282" s="29"/>
      <c r="I282" s="29"/>
      <c r="J282" s="29"/>
      <c r="K282" s="29"/>
      <c r="L282" s="29"/>
    </row>
    <row r="283" customFormat="false" ht="44" hidden="false" customHeight="true" outlineLevel="0" collapsed="false">
      <c r="A283" s="29"/>
      <c r="B283" s="29"/>
      <c r="C283" s="29"/>
      <c r="D283" s="29"/>
      <c r="E283" s="29"/>
      <c r="F283" s="29"/>
      <c r="G283" s="29"/>
      <c r="H283" s="29"/>
      <c r="I283" s="29"/>
      <c r="J283" s="29"/>
      <c r="K283" s="29"/>
      <c r="L283" s="29"/>
    </row>
    <row r="284" customFormat="false" ht="44" hidden="false" customHeight="true" outlineLevel="0" collapsed="false">
      <c r="A284" s="29"/>
      <c r="B284" s="29"/>
      <c r="C284" s="29"/>
      <c r="D284" s="29"/>
      <c r="E284" s="29"/>
      <c r="F284" s="29"/>
      <c r="G284" s="29"/>
      <c r="H284" s="29"/>
      <c r="I284" s="29"/>
      <c r="J284" s="29"/>
      <c r="K284" s="29"/>
      <c r="L284" s="29"/>
    </row>
    <row r="285" customFormat="false" ht="44" hidden="false" customHeight="true" outlineLevel="0" collapsed="false">
      <c r="A285" s="29"/>
      <c r="B285" s="29"/>
      <c r="C285" s="29"/>
      <c r="D285" s="29"/>
      <c r="E285" s="29"/>
      <c r="F285" s="29"/>
      <c r="G285" s="29"/>
      <c r="H285" s="29"/>
      <c r="I285" s="29"/>
      <c r="J285" s="29"/>
      <c r="K285" s="29"/>
      <c r="L285" s="29"/>
    </row>
    <row r="286" customFormat="false" ht="44" hidden="false" customHeight="true" outlineLevel="0" collapsed="false">
      <c r="A286" s="29"/>
      <c r="B286" s="29"/>
      <c r="C286" s="29"/>
      <c r="D286" s="29"/>
      <c r="E286" s="29"/>
      <c r="F286" s="29"/>
      <c r="G286" s="29"/>
      <c r="H286" s="29"/>
      <c r="I286" s="29"/>
      <c r="J286" s="29"/>
      <c r="K286" s="29"/>
      <c r="L286" s="29"/>
    </row>
    <row r="287" customFormat="false" ht="44" hidden="false" customHeight="true" outlineLevel="0" collapsed="false">
      <c r="A287" s="29"/>
      <c r="B287" s="29"/>
      <c r="C287" s="29"/>
      <c r="D287" s="29"/>
      <c r="E287" s="29"/>
      <c r="F287" s="29"/>
      <c r="G287" s="29"/>
      <c r="H287" s="29"/>
      <c r="I287" s="29"/>
      <c r="J287" s="29"/>
      <c r="K287" s="29"/>
      <c r="L287" s="29"/>
    </row>
    <row r="288" customFormat="false" ht="44" hidden="false" customHeight="true" outlineLevel="0" collapsed="false">
      <c r="A288" s="29"/>
      <c r="B288" s="29"/>
      <c r="C288" s="29"/>
      <c r="D288" s="29"/>
      <c r="E288" s="29"/>
      <c r="F288" s="29"/>
      <c r="G288" s="29"/>
      <c r="H288" s="29"/>
      <c r="I288" s="29"/>
      <c r="J288" s="29"/>
      <c r="K288" s="29"/>
      <c r="L288" s="29"/>
    </row>
    <row r="289" customFormat="false" ht="44" hidden="false" customHeight="true" outlineLevel="0" collapsed="false">
      <c r="A289" s="29"/>
      <c r="B289" s="29"/>
      <c r="C289" s="29"/>
      <c r="D289" s="29"/>
      <c r="E289" s="29"/>
      <c r="F289" s="29"/>
      <c r="G289" s="29"/>
      <c r="H289" s="29"/>
      <c r="I289" s="29"/>
      <c r="J289" s="29"/>
      <c r="K289" s="29"/>
      <c r="L289" s="29"/>
    </row>
    <row r="290" customFormat="false" ht="44" hidden="false" customHeight="true" outlineLevel="0" collapsed="false">
      <c r="A290" s="29"/>
      <c r="B290" s="29"/>
      <c r="C290" s="29"/>
      <c r="D290" s="29"/>
      <c r="E290" s="29"/>
      <c r="F290" s="29"/>
      <c r="G290" s="29"/>
      <c r="H290" s="29"/>
      <c r="I290" s="29"/>
      <c r="J290" s="29"/>
      <c r="K290" s="29"/>
      <c r="L290" s="29"/>
    </row>
    <row r="291" customFormat="false" ht="44" hidden="false" customHeight="true" outlineLevel="0" collapsed="false">
      <c r="A291" s="29"/>
      <c r="B291" s="29"/>
      <c r="C291" s="29"/>
      <c r="D291" s="29"/>
      <c r="E291" s="29"/>
      <c r="F291" s="29"/>
      <c r="G291" s="29"/>
      <c r="H291" s="29"/>
      <c r="I291" s="29"/>
      <c r="J291" s="29"/>
      <c r="K291" s="29"/>
      <c r="L291" s="29"/>
    </row>
    <row r="292" customFormat="false" ht="44" hidden="false" customHeight="true" outlineLevel="0" collapsed="false">
      <c r="A292" s="29"/>
      <c r="B292" s="29"/>
      <c r="C292" s="29"/>
      <c r="D292" s="29"/>
      <c r="E292" s="29"/>
      <c r="F292" s="29"/>
      <c r="G292" s="29"/>
      <c r="H292" s="29"/>
      <c r="I292" s="29"/>
      <c r="J292" s="29"/>
      <c r="K292" s="29"/>
      <c r="L292" s="29"/>
    </row>
    <row r="293" customFormat="false" ht="44" hidden="false" customHeight="true" outlineLevel="0" collapsed="false">
      <c r="A293" s="29"/>
      <c r="B293" s="29"/>
      <c r="C293" s="29"/>
      <c r="D293" s="29"/>
      <c r="E293" s="29"/>
      <c r="F293" s="29"/>
      <c r="G293" s="29"/>
      <c r="H293" s="29"/>
      <c r="I293" s="29"/>
      <c r="J293" s="29"/>
      <c r="K293" s="29"/>
      <c r="L293" s="29"/>
    </row>
    <row r="294" customFormat="false" ht="44" hidden="false" customHeight="true" outlineLevel="0" collapsed="false">
      <c r="A294" s="29"/>
      <c r="B294" s="29"/>
      <c r="C294" s="29"/>
      <c r="D294" s="29"/>
      <c r="E294" s="29"/>
      <c r="F294" s="29"/>
      <c r="G294" s="29"/>
      <c r="H294" s="29"/>
      <c r="I294" s="29"/>
      <c r="J294" s="29"/>
      <c r="K294" s="29"/>
      <c r="L294" s="29"/>
    </row>
    <row r="295" customFormat="false" ht="44" hidden="false" customHeight="true" outlineLevel="0" collapsed="false">
      <c r="A295" s="29"/>
      <c r="B295" s="29"/>
      <c r="C295" s="29"/>
      <c r="D295" s="29"/>
      <c r="E295" s="29"/>
      <c r="F295" s="29"/>
      <c r="G295" s="29"/>
      <c r="H295" s="29"/>
      <c r="I295" s="29"/>
      <c r="J295" s="29"/>
      <c r="K295" s="29"/>
      <c r="L295" s="29"/>
    </row>
    <row r="296" customFormat="false" ht="44" hidden="false" customHeight="true" outlineLevel="0" collapsed="false">
      <c r="A296" s="29"/>
      <c r="B296" s="29"/>
      <c r="C296" s="29"/>
      <c r="D296" s="29"/>
      <c r="E296" s="29"/>
      <c r="F296" s="29"/>
      <c r="G296" s="29"/>
      <c r="H296" s="29"/>
      <c r="I296" s="29"/>
      <c r="J296" s="29"/>
      <c r="K296" s="29"/>
      <c r="L296" s="29"/>
    </row>
    <row r="297" customFormat="false" ht="44" hidden="false" customHeight="true" outlineLevel="0" collapsed="false">
      <c r="A297" s="29"/>
      <c r="B297" s="29"/>
      <c r="C297" s="29"/>
      <c r="D297" s="29"/>
      <c r="E297" s="29"/>
      <c r="F297" s="29"/>
      <c r="G297" s="29"/>
      <c r="H297" s="29"/>
      <c r="I297" s="29"/>
      <c r="J297" s="29"/>
      <c r="K297" s="29"/>
      <c r="L297" s="29"/>
    </row>
    <row r="298" customFormat="false" ht="44" hidden="false" customHeight="true" outlineLevel="0" collapsed="false">
      <c r="A298" s="29"/>
      <c r="B298" s="29"/>
      <c r="C298" s="29"/>
      <c r="D298" s="29"/>
      <c r="E298" s="29"/>
      <c r="F298" s="29"/>
      <c r="G298" s="29"/>
      <c r="H298" s="29"/>
      <c r="I298" s="29"/>
      <c r="J298" s="29"/>
      <c r="K298" s="29"/>
      <c r="L298" s="29"/>
    </row>
    <row r="299" customFormat="false" ht="44" hidden="false" customHeight="true" outlineLevel="0" collapsed="false">
      <c r="A299" s="29"/>
      <c r="B299" s="29"/>
      <c r="C299" s="29"/>
      <c r="D299" s="29"/>
      <c r="E299" s="29"/>
      <c r="F299" s="29"/>
      <c r="G299" s="29"/>
      <c r="H299" s="29"/>
      <c r="I299" s="29"/>
      <c r="J299" s="29"/>
      <c r="K299" s="29"/>
      <c r="L299" s="29"/>
    </row>
    <row r="300" customFormat="false" ht="44" hidden="false" customHeight="true" outlineLevel="0" collapsed="false">
      <c r="A300" s="29"/>
      <c r="B300" s="29"/>
      <c r="C300" s="29"/>
      <c r="D300" s="29"/>
      <c r="E300" s="29"/>
      <c r="F300" s="29"/>
      <c r="G300" s="29"/>
      <c r="H300" s="29"/>
      <c r="I300" s="29"/>
      <c r="J300" s="29"/>
      <c r="K300" s="29"/>
      <c r="L300" s="29"/>
    </row>
    <row r="301" customFormat="false" ht="44" hidden="false" customHeight="true" outlineLevel="0" collapsed="false">
      <c r="A301" s="29"/>
      <c r="B301" s="29"/>
      <c r="C301" s="29"/>
      <c r="D301" s="29"/>
      <c r="E301" s="29"/>
      <c r="F301" s="29"/>
      <c r="G301" s="29"/>
      <c r="H301" s="29"/>
      <c r="I301" s="29"/>
      <c r="J301" s="29"/>
      <c r="K301" s="29"/>
      <c r="L301" s="29"/>
    </row>
    <row r="302" customFormat="false" ht="44" hidden="false" customHeight="true" outlineLevel="0" collapsed="false">
      <c r="A302" s="29"/>
      <c r="B302" s="29"/>
      <c r="C302" s="29"/>
      <c r="D302" s="29"/>
      <c r="E302" s="29"/>
      <c r="F302" s="29"/>
      <c r="G302" s="29"/>
      <c r="H302" s="29"/>
      <c r="I302" s="29"/>
      <c r="J302" s="29"/>
      <c r="K302" s="29"/>
      <c r="L302" s="29"/>
    </row>
    <row r="303" customFormat="false" ht="44" hidden="false" customHeight="true" outlineLevel="0" collapsed="false">
      <c r="A303" s="29"/>
      <c r="B303" s="29"/>
      <c r="C303" s="29"/>
      <c r="D303" s="29"/>
      <c r="E303" s="29"/>
      <c r="F303" s="29"/>
      <c r="G303" s="29"/>
      <c r="H303" s="29"/>
      <c r="I303" s="29"/>
      <c r="J303" s="29"/>
      <c r="K303" s="29"/>
      <c r="L303" s="29"/>
    </row>
    <row r="304" customFormat="false" ht="44" hidden="false" customHeight="true" outlineLevel="0" collapsed="false">
      <c r="A304" s="29"/>
      <c r="B304" s="29"/>
      <c r="C304" s="29"/>
      <c r="D304" s="29"/>
      <c r="E304" s="29"/>
      <c r="F304" s="29"/>
      <c r="G304" s="29"/>
      <c r="H304" s="29"/>
      <c r="I304" s="29"/>
      <c r="J304" s="29"/>
      <c r="K304" s="29"/>
      <c r="L304" s="29"/>
    </row>
    <row r="305" customFormat="false" ht="44" hidden="false" customHeight="true" outlineLevel="0" collapsed="false">
      <c r="A305" s="29"/>
      <c r="B305" s="29"/>
      <c r="C305" s="29"/>
      <c r="D305" s="29"/>
      <c r="E305" s="29"/>
      <c r="F305" s="29"/>
      <c r="G305" s="29"/>
      <c r="H305" s="29"/>
      <c r="I305" s="29"/>
      <c r="J305" s="29"/>
      <c r="K305" s="29"/>
      <c r="L305" s="29"/>
    </row>
    <row r="306" customFormat="false" ht="44" hidden="false" customHeight="true" outlineLevel="0" collapsed="false">
      <c r="A306" s="29"/>
      <c r="B306" s="29"/>
      <c r="C306" s="29"/>
      <c r="D306" s="29"/>
      <c r="E306" s="29"/>
      <c r="F306" s="29"/>
      <c r="G306" s="29"/>
      <c r="H306" s="29"/>
      <c r="I306" s="29"/>
      <c r="J306" s="29"/>
      <c r="K306" s="29"/>
      <c r="L306" s="29"/>
    </row>
    <row r="307" customFormat="false" ht="44" hidden="false" customHeight="true" outlineLevel="0" collapsed="false">
      <c r="A307" s="29"/>
      <c r="B307" s="29"/>
      <c r="C307" s="29"/>
      <c r="D307" s="29"/>
      <c r="E307" s="29"/>
      <c r="F307" s="29"/>
      <c r="G307" s="29"/>
      <c r="H307" s="29"/>
      <c r="I307" s="29"/>
      <c r="J307" s="29"/>
      <c r="K307" s="29"/>
      <c r="L307" s="29"/>
    </row>
  </sheetData>
  <mergeCells count="2">
    <mergeCell ref="A1:C2"/>
    <mergeCell ref="A3:C5"/>
  </mergeCells>
  <conditionalFormatting sqref="K8:K42">
    <cfRule type="expression" priority="2" aboveAverage="0" equalAverage="0" bottom="0" percent="0" rank="0" text="" dxfId="31">
      <formula>$K8="Open"</formula>
    </cfRule>
    <cfRule type="expression" priority="3" aboveAverage="0" equalAverage="0" bottom="0" percent="0" rank="0" text="" dxfId="32">
      <formula>$K8="In Progress"</formula>
    </cfRule>
    <cfRule type="expression" priority="4" aboveAverage="0" equalAverage="0" bottom="0" percent="0" rank="0" text="" dxfId="0">
      <formula>$K8="In Review"</formula>
    </cfRule>
    <cfRule type="expression" priority="5" aboveAverage="0" equalAverage="0" bottom="0" percent="0" rank="0" text="" dxfId="1">
      <formula>$K8="Final"</formula>
    </cfRule>
  </conditionalFormatting>
  <conditionalFormatting sqref="I8:I307">
    <cfRule type="cellIs" priority="6" operator="equal" aboveAverage="0" equalAverage="0" bottom="0" percent="0" rank="0" text="" dxfId="39">
      <formula>"Unresolved"</formula>
    </cfRule>
    <cfRule type="cellIs" priority="7" operator="equal" aboveAverage="0" equalAverage="0" bottom="0" percent="0" rank="0" text="" dxfId="40">
      <formula>"Fail"</formula>
    </cfRule>
    <cfRule type="cellIs" priority="8" operator="equal" aboveAverage="0" equalAverage="0" bottom="0" percent="0" rank="0" text="" dxfId="41">
      <formula>"Pass"</formula>
    </cfRule>
    <cfRule type="cellIs" priority="9" operator="equal" aboveAverage="0" equalAverage="0" bottom="0" percent="0" rank="0" text="" dxfId="42">
      <formula>"In progress"</formula>
    </cfRule>
    <cfRule type="cellIs" priority="10" operator="equal" aboveAverage="0" equalAverage="0" bottom="0" percent="0" rank="0" text="" dxfId="43">
      <formula>"In review"</formula>
    </cfRule>
    <cfRule type="cellIs" priority="11" operator="equal" aboveAverage="0" equalAverage="0" bottom="0" percent="0" rank="0" text="" dxfId="44">
      <formula>"Complete"</formula>
    </cfRule>
  </conditionalFormatting>
  <dataValidations count="1">
    <dataValidation allowBlank="true" error="Use the dropdown values." errorStyle="stop" errorTitle="Choose a listed value" operator="between" showDropDown="false" showErrorMessage="true" showInputMessage="false" sqref="I8:I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&amp;L&amp;"Arial,Bold"&amp;12&amp;K000000Evaluation Crosswalk</oddHeader>
    <oddFooter>&amp;L&amp;"Calibri"&amp;11&amp;K000000Evaluation Crosswalk&amp;R&amp;"Calibri"&amp;11&amp;K000000Page &amp;P of &amp;N</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sheetPr filterMode="false">
    <tabColor rgb="FF236D79"/>
    <pageSetUpPr fitToPage="true"/>
  </sheetPr>
  <dimension ref="A1:K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9.44"/>
    <col collapsed="false" customWidth="true" hidden="false" outlineLevel="0" max="3" min="3" style="0" width="18.34"/>
    <col collapsed="false" customWidth="true" hidden="false" outlineLevel="0" max="4" min="4" style="0" width="12.78"/>
    <col collapsed="false" customWidth="true" hidden="false" outlineLevel="0" max="5" min="5" style="0" width="27.22"/>
    <col collapsed="false" customWidth="true" hidden="false" outlineLevel="0" max="6" min="6" style="0" width="19.44"/>
    <col collapsed="false" customWidth="true" hidden="false" outlineLevel="0" max="7" min="7" style="0" width="21.67"/>
    <col collapsed="false" customWidth="true" hidden="true" outlineLevel="1" max="8" min="8" style="0" width="14.44"/>
    <col collapsed="false" customWidth="true" hidden="true" outlineLevel="1" max="9" min="9" style="0" width="24.44"/>
    <col collapsed="false" customWidth="true" hidden="true" outlineLevel="1" max="10" min="10" style="0" width="11.67"/>
    <col collapsed="false" customWidth="true" hidden="true" outlineLevel="1" max="11" min="11" style="0" width="23.89"/>
  </cols>
  <sheetData>
    <row r="1" customFormat="false" ht="23" hidden="false" customHeight="true" outlineLevel="0" collapsed="false">
      <c r="A1" s="28" t="s">
        <v>104</v>
      </c>
      <c r="B1" s="28" t="s">
        <v>104</v>
      </c>
      <c r="C1" s="28" t="s">
        <v>104</v>
      </c>
      <c r="D1" s="29"/>
      <c r="E1" s="29"/>
      <c r="F1" s="29"/>
      <c r="G1" s="29"/>
      <c r="H1" s="29"/>
      <c r="I1" s="29"/>
      <c r="J1" s="29"/>
      <c r="K1" s="29"/>
    </row>
    <row r="2" customFormat="false" ht="23" hidden="false" customHeight="true" outlineLevel="0" collapsed="false">
      <c r="A2" s="28" t="s">
        <v>104</v>
      </c>
      <c r="B2" s="28" t="s">
        <v>104</v>
      </c>
      <c r="C2" s="28" t="s">
        <v>104</v>
      </c>
      <c r="D2" s="29"/>
      <c r="E2" s="29"/>
      <c r="F2" s="29"/>
      <c r="G2" s="29"/>
      <c r="H2" s="29"/>
      <c r="I2" s="29"/>
      <c r="J2" s="29"/>
      <c r="K2" s="29"/>
    </row>
    <row r="3" customFormat="false" ht="22" hidden="false" customHeight="true" outlineLevel="0" collapsed="false">
      <c r="A3" s="11" t="s">
        <v>69</v>
      </c>
      <c r="B3" s="11" t="s">
        <v>69</v>
      </c>
      <c r="C3" s="11" t="s">
        <v>69</v>
      </c>
      <c r="D3" s="29"/>
      <c r="E3" s="29"/>
      <c r="F3" s="29"/>
      <c r="G3" s="29"/>
      <c r="H3" s="29"/>
      <c r="I3" s="29"/>
      <c r="J3" s="29"/>
      <c r="K3" s="29"/>
    </row>
    <row r="4" customFormat="false" ht="22" hidden="false" customHeight="true" outlineLevel="0" collapsed="false">
      <c r="A4" s="11" t="s">
        <v>69</v>
      </c>
      <c r="B4" s="11" t="s">
        <v>69</v>
      </c>
      <c r="C4" s="11" t="s">
        <v>69</v>
      </c>
      <c r="D4" s="29"/>
      <c r="E4" s="29"/>
      <c r="F4" s="29"/>
      <c r="G4" s="29"/>
      <c r="H4" s="29"/>
      <c r="I4" s="29"/>
      <c r="J4" s="29"/>
      <c r="K4" s="29"/>
    </row>
    <row r="5" customFormat="false" ht="44" hidden="false" customHeight="true" outlineLevel="0" collapsed="false">
      <c r="A5" s="29"/>
      <c r="B5" s="29"/>
      <c r="C5" s="29"/>
      <c r="D5" s="29"/>
      <c r="E5" s="29"/>
      <c r="F5" s="29"/>
      <c r="G5" s="29"/>
      <c r="H5" s="29"/>
      <c r="I5" s="29"/>
      <c r="J5" s="29"/>
      <c r="K5" s="29"/>
    </row>
    <row r="6" customFormat="false" ht="42" hidden="false" customHeight="true" outlineLevel="0" collapsed="false">
      <c r="A6" s="30" t="s">
        <v>105</v>
      </c>
      <c r="B6" s="30" t="s">
        <v>106</v>
      </c>
      <c r="C6" s="30" t="s">
        <v>107</v>
      </c>
      <c r="D6" s="30" t="s">
        <v>108</v>
      </c>
      <c r="E6" s="30" t="s">
        <v>109</v>
      </c>
      <c r="F6" s="30" t="s">
        <v>72</v>
      </c>
      <c r="G6" s="30" t="s">
        <v>82</v>
      </c>
      <c r="H6" s="30" t="s">
        <v>110</v>
      </c>
      <c r="I6" s="30" t="s">
        <v>111</v>
      </c>
      <c r="J6" s="30" t="s">
        <v>86</v>
      </c>
      <c r="K6" s="30" t="s">
        <v>112</v>
      </c>
    </row>
    <row r="7" customFormat="false" ht="44" hidden="false" customHeight="true" outlineLevel="0" collapsed="false">
      <c r="A7" s="31"/>
      <c r="B7" s="33"/>
      <c r="C7" s="33"/>
      <c r="D7" s="34"/>
      <c r="E7" s="34"/>
      <c r="F7" s="33"/>
      <c r="G7" s="35" t="str">
        <f aca="false">IF(A7="",IF(SUMPRODUCT(--(B7&lt;&gt;""))+SUMPRODUCT(--(D7:F7&lt;&gt;""))+SUMPRODUCT(--(H7:K7&lt;&gt;""))&gt;0,"Missing ID",""),IF(COUNTIF($A$7:$A$307,A7)&gt;1,"Duplicate ID",IF(AND(D7="Complete",E7=""),"Evidence missing",IF(AND(D7&lt;&gt;"Not started",D7&lt;&gt;"In progress",D7&lt;&gt;"In review",D7&lt;&gt;"Complete"),"Choose a status",""))))</f>
        <v/>
      </c>
      <c r="H7" s="33"/>
      <c r="I7" s="33"/>
      <c r="J7" s="33"/>
      <c r="K7" s="33"/>
    </row>
    <row r="8" customFormat="false" ht="44" hidden="false" customHeight="true" outlineLevel="0" collapsed="false">
      <c r="A8" s="36"/>
      <c r="B8" s="38"/>
      <c r="C8" s="38"/>
      <c r="D8" s="34"/>
      <c r="E8" s="34"/>
      <c r="F8" s="38"/>
      <c r="G8" s="35" t="str">
        <f aca="false">IF(A8="",IF(SUMPRODUCT(--(B8&lt;&gt;""))+SUMPRODUCT(--(D8:F8&lt;&gt;""))+SUMPRODUCT(--(H8:K8&lt;&gt;""))&gt;0,"Missing ID",""),IF(COUNTIF($A$7:$A$307,A8)&gt;1,"Duplicate ID",IF(AND(D8="Complete",E8=""),"Evidence missing",IF(AND(D8&lt;&gt;"Not started",D8&lt;&gt;"In progress",D8&lt;&gt;"In review",D8&lt;&gt;"Complete"),"Choose a status",""))))</f>
        <v/>
      </c>
      <c r="H8" s="38"/>
      <c r="I8" s="38"/>
      <c r="J8" s="38"/>
      <c r="K8" s="38"/>
    </row>
    <row r="9" customFormat="false" ht="44" hidden="false" customHeight="true" outlineLevel="0" collapsed="false">
      <c r="A9" s="31"/>
      <c r="B9" s="33"/>
      <c r="C9" s="33"/>
      <c r="D9" s="34"/>
      <c r="E9" s="34"/>
      <c r="F9" s="33"/>
      <c r="G9" s="35" t="str">
        <f aca="false">IF(A9="",IF(SUMPRODUCT(--(B9&lt;&gt;""))+SUMPRODUCT(--(D9:F9&lt;&gt;""))+SUMPRODUCT(--(H9:K9&lt;&gt;""))&gt;0,"Missing ID",""),IF(COUNTIF($A$7:$A$307,A9)&gt;1,"Duplicate ID",IF(AND(D9="Complete",E9=""),"Evidence missing",IF(AND(D9&lt;&gt;"Not started",D9&lt;&gt;"In progress",D9&lt;&gt;"In review",D9&lt;&gt;"Complete"),"Choose a status",""))))</f>
        <v/>
      </c>
      <c r="H9" s="33"/>
      <c r="I9" s="33"/>
      <c r="J9" s="33"/>
      <c r="K9" s="33"/>
    </row>
    <row r="10" customFormat="false" ht="44" hidden="false" customHeight="true" outlineLevel="0" collapsed="false">
      <c r="A10" s="36"/>
      <c r="B10" s="38"/>
      <c r="C10" s="38"/>
      <c r="D10" s="34"/>
      <c r="E10" s="34"/>
      <c r="F10" s="38"/>
      <c r="G10" s="35" t="str">
        <f aca="false">IF(A10="",IF(SUMPRODUCT(--(B10&lt;&gt;""))+SUMPRODUCT(--(D10:F10&lt;&gt;""))+SUMPRODUCT(--(H10:K10&lt;&gt;""))&gt;0,"Missing ID",""),IF(COUNTIF($A$7:$A$307,A10)&gt;1,"Duplicate ID",IF(AND(D10="Complete",E10=""),"Evidence missing",IF(AND(D10&lt;&gt;"Not started",D10&lt;&gt;"In progress",D10&lt;&gt;"In review",D10&lt;&gt;"Complete"),"Choose a status",""))))</f>
        <v/>
      </c>
      <c r="H10" s="38"/>
      <c r="I10" s="38"/>
      <c r="J10" s="38"/>
      <c r="K10" s="38"/>
    </row>
    <row r="11" customFormat="false" ht="44" hidden="false" customHeight="true" outlineLevel="0" collapsed="false">
      <c r="A11" s="31"/>
      <c r="B11" s="33"/>
      <c r="C11" s="33"/>
      <c r="D11" s="34"/>
      <c r="E11" s="34"/>
      <c r="F11" s="33"/>
      <c r="G11" s="35" t="str">
        <f aca="false">IF(A11="",IF(SUMPRODUCT(--(B11&lt;&gt;""))+SUMPRODUCT(--(D11:F11&lt;&gt;""))+SUMPRODUCT(--(H11:K11&lt;&gt;""))&gt;0,"Missing ID",""),IF(COUNTIF($A$7:$A$307,A11)&gt;1,"Duplicate ID",IF(AND(D11="Complete",E11=""),"Evidence missing",IF(AND(D11&lt;&gt;"Not started",D11&lt;&gt;"In progress",D11&lt;&gt;"In review",D11&lt;&gt;"Complete"),"Choose a status",""))))</f>
        <v/>
      </c>
      <c r="H11" s="33"/>
      <c r="I11" s="33"/>
      <c r="J11" s="33"/>
      <c r="K11" s="33"/>
    </row>
    <row r="12" customFormat="false" ht="44" hidden="false" customHeight="true" outlineLevel="0" collapsed="false">
      <c r="A12" s="36"/>
      <c r="B12" s="38"/>
      <c r="C12" s="38"/>
      <c r="D12" s="34"/>
      <c r="E12" s="34"/>
      <c r="F12" s="38"/>
      <c r="G12" s="35" t="str">
        <f aca="false">IF(A12="",IF(SUMPRODUCT(--(B12&lt;&gt;""))+SUMPRODUCT(--(D12:F12&lt;&gt;""))+SUMPRODUCT(--(H12:K12&lt;&gt;""))&gt;0,"Missing ID",""),IF(COUNTIF($A$7:$A$307,A12)&gt;1,"Duplicate ID",IF(AND(D12="Complete",E12=""),"Evidence missing",IF(AND(D12&lt;&gt;"Not started",D12&lt;&gt;"In progress",D12&lt;&gt;"In review",D12&lt;&gt;"Complete"),"Choose a status",""))))</f>
        <v/>
      </c>
      <c r="H12" s="38"/>
      <c r="I12" s="38"/>
      <c r="J12" s="38"/>
      <c r="K12" s="38"/>
    </row>
    <row r="13" customFormat="false" ht="44" hidden="false" customHeight="true" outlineLevel="0" collapsed="false">
      <c r="A13" s="31"/>
      <c r="B13" s="33"/>
      <c r="C13" s="33"/>
      <c r="D13" s="34"/>
      <c r="E13" s="34"/>
      <c r="F13" s="33"/>
      <c r="G13" s="35" t="str">
        <f aca="false">IF(A13="",IF(SUMPRODUCT(--(B13&lt;&gt;""))+SUMPRODUCT(--(D13:F13&lt;&gt;""))+SUMPRODUCT(--(H13:K13&lt;&gt;""))&gt;0,"Missing ID",""),IF(COUNTIF($A$7:$A$307,A13)&gt;1,"Duplicate ID",IF(AND(D13="Complete",E13=""),"Evidence missing",IF(AND(D13&lt;&gt;"Not started",D13&lt;&gt;"In progress",D13&lt;&gt;"In review",D13&lt;&gt;"Complete"),"Choose a status",""))))</f>
        <v/>
      </c>
      <c r="H13" s="33"/>
      <c r="I13" s="33"/>
      <c r="J13" s="33"/>
      <c r="K13" s="33"/>
    </row>
    <row r="14" customFormat="false" ht="44" hidden="false" customHeight="true" outlineLevel="0" collapsed="false">
      <c r="A14" s="36"/>
      <c r="B14" s="38"/>
      <c r="C14" s="38"/>
      <c r="D14" s="34"/>
      <c r="E14" s="34"/>
      <c r="F14" s="38"/>
      <c r="G14" s="35" t="str">
        <f aca="false">IF(A14="",IF(SUMPRODUCT(--(B14&lt;&gt;""))+SUMPRODUCT(--(D14:F14&lt;&gt;""))+SUMPRODUCT(--(H14:K14&lt;&gt;""))&gt;0,"Missing ID",""),IF(COUNTIF($A$7:$A$307,A14)&gt;1,"Duplicate ID",IF(AND(D14="Complete",E14=""),"Evidence missing",IF(AND(D14&lt;&gt;"Not started",D14&lt;&gt;"In progress",D14&lt;&gt;"In review",D14&lt;&gt;"Complete"),"Choose a status",""))))</f>
        <v/>
      </c>
      <c r="H14" s="38"/>
      <c r="I14" s="38"/>
      <c r="J14" s="38"/>
      <c r="K14" s="38"/>
    </row>
    <row r="15" customFormat="false" ht="44" hidden="false" customHeight="true" outlineLevel="0" collapsed="false">
      <c r="A15" s="29"/>
      <c r="B15" s="29"/>
      <c r="C15" s="29"/>
      <c r="D15" s="34"/>
      <c r="E15" s="34"/>
      <c r="F15" s="29"/>
      <c r="G15" s="35" t="str">
        <f aca="false">IF(A15="",IF(SUMPRODUCT(--(B15&lt;&gt;""))+SUMPRODUCT(--(D15:F15&lt;&gt;""))+SUMPRODUCT(--(H15:K15&lt;&gt;""))&gt;0,"Missing ID",""),IF(COUNTIF($A$7:$A$307,A15)&gt;1,"Duplicate ID",IF(AND(D15="Complete",E15=""),"Evidence missing",IF(AND(D15&lt;&gt;"Not started",D15&lt;&gt;"In progress",D15&lt;&gt;"In review",D15&lt;&gt;"Complete"),"Choose a status",""))))</f>
        <v/>
      </c>
      <c r="H15" s="29"/>
      <c r="I15" s="29"/>
      <c r="J15" s="29"/>
      <c r="K15" s="29"/>
    </row>
    <row r="16" customFormat="false" ht="44" hidden="false" customHeight="true" outlineLevel="0" collapsed="false">
      <c r="A16" s="29"/>
      <c r="B16" s="29"/>
      <c r="C16" s="29"/>
      <c r="D16" s="34"/>
      <c r="E16" s="34"/>
      <c r="F16" s="29"/>
      <c r="G16" s="35" t="str">
        <f aca="false">IF(A16="",IF(SUMPRODUCT(--(B16&lt;&gt;""))+SUMPRODUCT(--(D16:F16&lt;&gt;""))+SUMPRODUCT(--(H16:K16&lt;&gt;""))&gt;0,"Missing ID",""),IF(COUNTIF($A$7:$A$307,A16)&gt;1,"Duplicate ID",IF(AND(D16="Complete",E16=""),"Evidence missing",IF(AND(D16&lt;&gt;"Not started",D16&lt;&gt;"In progress",D16&lt;&gt;"In review",D16&lt;&gt;"Complete"),"Choose a status",""))))</f>
        <v/>
      </c>
      <c r="H16" s="29"/>
      <c r="I16" s="29"/>
      <c r="J16" s="29"/>
      <c r="K16" s="29"/>
    </row>
    <row r="17" customFormat="false" ht="44" hidden="false" customHeight="true" outlineLevel="0" collapsed="false">
      <c r="A17" s="29"/>
      <c r="B17" s="29"/>
      <c r="C17" s="29"/>
      <c r="D17" s="34"/>
      <c r="E17" s="34"/>
      <c r="F17" s="29"/>
      <c r="G17" s="35" t="str">
        <f aca="false">IF(A17="",IF(SUMPRODUCT(--(B17&lt;&gt;""))+SUMPRODUCT(--(D17:F17&lt;&gt;""))+SUMPRODUCT(--(H17:K17&lt;&gt;""))&gt;0,"Missing ID",""),IF(COUNTIF($A$7:$A$307,A17)&gt;1,"Duplicate ID",IF(AND(D17="Complete",E17=""),"Evidence missing",IF(AND(D17&lt;&gt;"Not started",D17&lt;&gt;"In progress",D17&lt;&gt;"In review",D17&lt;&gt;"Complete"),"Choose a status",""))))</f>
        <v/>
      </c>
      <c r="H17" s="29"/>
      <c r="I17" s="29"/>
      <c r="J17" s="29"/>
      <c r="K17" s="29"/>
    </row>
    <row r="18" customFormat="false" ht="44" hidden="false" customHeight="true" outlineLevel="0" collapsed="false">
      <c r="A18" s="29"/>
      <c r="B18" s="29"/>
      <c r="C18" s="29"/>
      <c r="D18" s="34"/>
      <c r="E18" s="34"/>
      <c r="F18" s="29"/>
      <c r="G18" s="35" t="str">
        <f aca="false">IF(A18="",IF(SUMPRODUCT(--(B18&lt;&gt;""))+SUMPRODUCT(--(D18:F18&lt;&gt;""))+SUMPRODUCT(--(H18:K18&lt;&gt;""))&gt;0,"Missing ID",""),IF(COUNTIF($A$7:$A$307,A18)&gt;1,"Duplicate ID",IF(AND(D18="Complete",E18=""),"Evidence missing",IF(AND(D18&lt;&gt;"Not started",D18&lt;&gt;"In progress",D18&lt;&gt;"In review",D18&lt;&gt;"Complete"),"Choose a status",""))))</f>
        <v/>
      </c>
      <c r="H18" s="29"/>
      <c r="I18" s="29"/>
      <c r="J18" s="29"/>
      <c r="K18" s="29"/>
    </row>
    <row r="19" customFormat="false" ht="44" hidden="false" customHeight="true" outlineLevel="0" collapsed="false">
      <c r="A19" s="29"/>
      <c r="B19" s="29"/>
      <c r="C19" s="29"/>
      <c r="D19" s="34"/>
      <c r="E19" s="34"/>
      <c r="F19" s="29"/>
      <c r="G19" s="35" t="str">
        <f aca="false">IF(A19="",IF(SUMPRODUCT(--(B19&lt;&gt;""))+SUMPRODUCT(--(D19:F19&lt;&gt;""))+SUMPRODUCT(--(H19:K19&lt;&gt;""))&gt;0,"Missing ID",""),IF(COUNTIF($A$7:$A$307,A19)&gt;1,"Duplicate ID",IF(AND(D19="Complete",E19=""),"Evidence missing",IF(AND(D19&lt;&gt;"Not started",D19&lt;&gt;"In progress",D19&lt;&gt;"In review",D19&lt;&gt;"Complete"),"Choose a status",""))))</f>
        <v/>
      </c>
      <c r="H19" s="29"/>
      <c r="I19" s="29"/>
      <c r="J19" s="29"/>
      <c r="K19" s="29"/>
    </row>
    <row r="20" customFormat="false" ht="44" hidden="false" customHeight="true" outlineLevel="0" collapsed="false">
      <c r="A20" s="29"/>
      <c r="B20" s="29"/>
      <c r="C20" s="29"/>
      <c r="D20" s="34"/>
      <c r="E20" s="34"/>
      <c r="F20" s="29"/>
      <c r="G20" s="35" t="str">
        <f aca="false">IF(A20="",IF(SUMPRODUCT(--(B20&lt;&gt;""))+SUMPRODUCT(--(D20:F20&lt;&gt;""))+SUMPRODUCT(--(H20:K20&lt;&gt;""))&gt;0,"Missing ID",""),IF(COUNTIF($A$7:$A$307,A20)&gt;1,"Duplicate ID",IF(AND(D20="Complete",E20=""),"Evidence missing",IF(AND(D20&lt;&gt;"Not started",D20&lt;&gt;"In progress",D20&lt;&gt;"In review",D20&lt;&gt;"Complete"),"Choose a status",""))))</f>
        <v/>
      </c>
      <c r="H20" s="29"/>
      <c r="I20" s="29"/>
      <c r="J20" s="29"/>
      <c r="K20" s="29"/>
    </row>
    <row r="21" customFormat="false" ht="44" hidden="false" customHeight="true" outlineLevel="0" collapsed="false">
      <c r="A21" s="29"/>
      <c r="B21" s="29"/>
      <c r="C21" s="29"/>
      <c r="D21" s="34"/>
      <c r="E21" s="34"/>
      <c r="F21" s="29"/>
      <c r="G21" s="35" t="str">
        <f aca="false">IF(A21="",IF(SUMPRODUCT(--(B21&lt;&gt;""))+SUMPRODUCT(--(D21:F21&lt;&gt;""))+SUMPRODUCT(--(H21:K21&lt;&gt;""))&gt;0,"Missing ID",""),IF(COUNTIF($A$7:$A$307,A21)&gt;1,"Duplicate ID",IF(AND(D21="Complete",E21=""),"Evidence missing",IF(AND(D21&lt;&gt;"Not started",D21&lt;&gt;"In progress",D21&lt;&gt;"In review",D21&lt;&gt;"Complete"),"Choose a status",""))))</f>
        <v/>
      </c>
      <c r="H21" s="29"/>
      <c r="I21" s="29"/>
      <c r="J21" s="29"/>
      <c r="K21" s="29"/>
    </row>
    <row r="22" customFormat="false" ht="44" hidden="false" customHeight="true" outlineLevel="0" collapsed="false">
      <c r="A22" s="29"/>
      <c r="B22" s="29"/>
      <c r="C22" s="29"/>
      <c r="D22" s="34"/>
      <c r="E22" s="34"/>
      <c r="F22" s="29"/>
      <c r="G22" s="35" t="str">
        <f aca="false">IF(A22="",IF(SUMPRODUCT(--(B22&lt;&gt;""))+SUMPRODUCT(--(D22:F22&lt;&gt;""))+SUMPRODUCT(--(H22:K22&lt;&gt;""))&gt;0,"Missing ID",""),IF(COUNTIF($A$7:$A$307,A22)&gt;1,"Duplicate ID",IF(AND(D22="Complete",E22=""),"Evidence missing",IF(AND(D22&lt;&gt;"Not started",D22&lt;&gt;"In progress",D22&lt;&gt;"In review",D22&lt;&gt;"Complete"),"Choose a status",""))))</f>
        <v/>
      </c>
      <c r="H22" s="29"/>
      <c r="I22" s="29"/>
      <c r="J22" s="29"/>
      <c r="K22" s="29"/>
    </row>
    <row r="23" customFormat="false" ht="44" hidden="false" customHeight="true" outlineLevel="0" collapsed="false">
      <c r="A23" s="29"/>
      <c r="B23" s="29"/>
      <c r="C23" s="29"/>
      <c r="D23" s="34"/>
      <c r="E23" s="34"/>
      <c r="F23" s="29"/>
      <c r="G23" s="35" t="str">
        <f aca="false">IF(A23="",IF(SUMPRODUCT(--(B23&lt;&gt;""))+SUMPRODUCT(--(D23:F23&lt;&gt;""))+SUMPRODUCT(--(H23:K23&lt;&gt;""))&gt;0,"Missing ID",""),IF(COUNTIF($A$7:$A$307,A23)&gt;1,"Duplicate ID",IF(AND(D23="Complete",E23=""),"Evidence missing",IF(AND(D23&lt;&gt;"Not started",D23&lt;&gt;"In progress",D23&lt;&gt;"In review",D23&lt;&gt;"Complete"),"Choose a status",""))))</f>
        <v/>
      </c>
      <c r="H23" s="29"/>
      <c r="I23" s="29"/>
      <c r="J23" s="29"/>
      <c r="K23" s="29"/>
    </row>
    <row r="24" customFormat="false" ht="44" hidden="false" customHeight="true" outlineLevel="0" collapsed="false">
      <c r="A24" s="29"/>
      <c r="B24" s="29"/>
      <c r="C24" s="29"/>
      <c r="D24" s="34"/>
      <c r="E24" s="34"/>
      <c r="F24" s="29"/>
      <c r="G24" s="35" t="str">
        <f aca="false">IF(A24="",IF(SUMPRODUCT(--(B24&lt;&gt;""))+SUMPRODUCT(--(D24:F24&lt;&gt;""))+SUMPRODUCT(--(H24:K24&lt;&gt;""))&gt;0,"Missing ID",""),IF(COUNTIF($A$7:$A$307,A24)&gt;1,"Duplicate ID",IF(AND(D24="Complete",E24=""),"Evidence missing",IF(AND(D24&lt;&gt;"Not started",D24&lt;&gt;"In progress",D24&lt;&gt;"In review",D24&lt;&gt;"Complete"),"Choose a status",""))))</f>
        <v/>
      </c>
      <c r="H24" s="29"/>
      <c r="I24" s="29"/>
      <c r="J24" s="29"/>
      <c r="K24" s="29"/>
    </row>
    <row r="25" customFormat="false" ht="44" hidden="false" customHeight="true" outlineLevel="0" collapsed="false">
      <c r="A25" s="29"/>
      <c r="B25" s="29"/>
      <c r="C25" s="29"/>
      <c r="D25" s="34"/>
      <c r="E25" s="34"/>
      <c r="F25" s="29"/>
      <c r="G25" s="35" t="str">
        <f aca="false">IF(A25="",IF(SUMPRODUCT(--(B25&lt;&gt;""))+SUMPRODUCT(--(D25:F25&lt;&gt;""))+SUMPRODUCT(--(H25:K25&lt;&gt;""))&gt;0,"Missing ID",""),IF(COUNTIF($A$7:$A$307,A25)&gt;1,"Duplicate ID",IF(AND(D25="Complete",E25=""),"Evidence missing",IF(AND(D25&lt;&gt;"Not started",D25&lt;&gt;"In progress",D25&lt;&gt;"In review",D25&lt;&gt;"Complete"),"Choose a status",""))))</f>
        <v/>
      </c>
      <c r="H25" s="29"/>
      <c r="I25" s="29"/>
      <c r="J25" s="29"/>
      <c r="K25" s="29"/>
    </row>
    <row r="26" customFormat="false" ht="44" hidden="false" customHeight="true" outlineLevel="0" collapsed="false">
      <c r="A26" s="29"/>
      <c r="B26" s="29"/>
      <c r="C26" s="29"/>
      <c r="D26" s="34"/>
      <c r="E26" s="34"/>
      <c r="F26" s="29"/>
      <c r="G26" s="35" t="str">
        <f aca="false">IF(A26="",IF(SUMPRODUCT(--(B26&lt;&gt;""))+SUMPRODUCT(--(D26:F26&lt;&gt;""))+SUMPRODUCT(--(H26:K26&lt;&gt;""))&gt;0,"Missing ID",""),IF(COUNTIF($A$7:$A$307,A26)&gt;1,"Duplicate ID",IF(AND(D26="Complete",E26=""),"Evidence missing",IF(AND(D26&lt;&gt;"Not started",D26&lt;&gt;"In progress",D26&lt;&gt;"In review",D26&lt;&gt;"Complete"),"Choose a status",""))))</f>
        <v/>
      </c>
      <c r="H26" s="29"/>
      <c r="I26" s="29"/>
      <c r="J26" s="29"/>
      <c r="K26" s="29"/>
    </row>
    <row r="27" customFormat="false" ht="44" hidden="false" customHeight="true" outlineLevel="0" collapsed="false">
      <c r="A27" s="29"/>
      <c r="B27" s="29"/>
      <c r="C27" s="29"/>
      <c r="D27" s="34"/>
      <c r="E27" s="34"/>
      <c r="F27" s="29"/>
      <c r="G27" s="35" t="str">
        <f aca="false">IF(A27="",IF(SUMPRODUCT(--(B27&lt;&gt;""))+SUMPRODUCT(--(D27:F27&lt;&gt;""))+SUMPRODUCT(--(H27:K27&lt;&gt;""))&gt;0,"Missing ID",""),IF(COUNTIF($A$7:$A$307,A27)&gt;1,"Duplicate ID",IF(AND(D27="Complete",E27=""),"Evidence missing",IF(AND(D27&lt;&gt;"Not started",D27&lt;&gt;"In progress",D27&lt;&gt;"In review",D27&lt;&gt;"Complete"),"Choose a status",""))))</f>
        <v/>
      </c>
      <c r="H27" s="29"/>
      <c r="I27" s="29"/>
      <c r="J27" s="29"/>
      <c r="K27" s="29"/>
    </row>
    <row r="28" customFormat="false" ht="44" hidden="false" customHeight="true" outlineLevel="0" collapsed="false">
      <c r="A28" s="29"/>
      <c r="B28" s="29"/>
      <c r="C28" s="29"/>
      <c r="D28" s="34"/>
      <c r="E28" s="34"/>
      <c r="F28" s="29"/>
      <c r="G28" s="35" t="str">
        <f aca="false">IF(A28="",IF(SUMPRODUCT(--(B28&lt;&gt;""))+SUMPRODUCT(--(D28:F28&lt;&gt;""))+SUMPRODUCT(--(H28:K28&lt;&gt;""))&gt;0,"Missing ID",""),IF(COUNTIF($A$7:$A$307,A28)&gt;1,"Duplicate ID",IF(AND(D28="Complete",E28=""),"Evidence missing",IF(AND(D28&lt;&gt;"Not started",D28&lt;&gt;"In progress",D28&lt;&gt;"In review",D28&lt;&gt;"Complete"),"Choose a status",""))))</f>
        <v/>
      </c>
      <c r="H28" s="29"/>
      <c r="I28" s="29"/>
      <c r="J28" s="29"/>
      <c r="K28" s="29"/>
    </row>
    <row r="29" customFormat="false" ht="44" hidden="false" customHeight="true" outlineLevel="0" collapsed="false">
      <c r="A29" s="29"/>
      <c r="B29" s="29"/>
      <c r="C29" s="29"/>
      <c r="D29" s="34"/>
      <c r="E29" s="34"/>
      <c r="F29" s="29"/>
      <c r="G29" s="35" t="str">
        <f aca="false">IF(A29="",IF(SUMPRODUCT(--(B29&lt;&gt;""))+SUMPRODUCT(--(D29:F29&lt;&gt;""))+SUMPRODUCT(--(H29:K29&lt;&gt;""))&gt;0,"Missing ID",""),IF(COUNTIF($A$7:$A$307,A29)&gt;1,"Duplicate ID",IF(AND(D29="Complete",E29=""),"Evidence missing",IF(AND(D29&lt;&gt;"Not started",D29&lt;&gt;"In progress",D29&lt;&gt;"In review",D29&lt;&gt;"Complete"),"Choose a status",""))))</f>
        <v/>
      </c>
      <c r="H29" s="29"/>
      <c r="I29" s="29"/>
      <c r="J29" s="29"/>
      <c r="K29" s="29"/>
    </row>
    <row r="30" customFormat="false" ht="44" hidden="false" customHeight="true" outlineLevel="0" collapsed="false">
      <c r="A30" s="29"/>
      <c r="B30" s="29"/>
      <c r="C30" s="29"/>
      <c r="D30" s="34"/>
      <c r="E30" s="34"/>
      <c r="F30" s="29"/>
      <c r="G30" s="35" t="str">
        <f aca="false">IF(A30="",IF(SUMPRODUCT(--(B30&lt;&gt;""))+SUMPRODUCT(--(D30:F30&lt;&gt;""))+SUMPRODUCT(--(H30:K30&lt;&gt;""))&gt;0,"Missing ID",""),IF(COUNTIF($A$7:$A$307,A30)&gt;1,"Duplicate ID",IF(AND(D30="Complete",E30=""),"Evidence missing",IF(AND(D30&lt;&gt;"Not started",D30&lt;&gt;"In progress",D30&lt;&gt;"In review",D30&lt;&gt;"Complete"),"Choose a status",""))))</f>
        <v/>
      </c>
      <c r="H30" s="29"/>
      <c r="I30" s="29"/>
      <c r="J30" s="29"/>
      <c r="K30" s="29"/>
    </row>
    <row r="31" customFormat="false" ht="44" hidden="false" customHeight="true" outlineLevel="0" collapsed="false">
      <c r="A31" s="29"/>
      <c r="B31" s="29"/>
      <c r="C31" s="29"/>
      <c r="D31" s="34"/>
      <c r="E31" s="34"/>
      <c r="F31" s="29"/>
      <c r="G31" s="35" t="str">
        <f aca="false">IF(A31="",IF(SUMPRODUCT(--(B31&lt;&gt;""))+SUMPRODUCT(--(D31:F31&lt;&gt;""))+SUMPRODUCT(--(H31:K31&lt;&gt;""))&gt;0,"Missing ID",""),IF(COUNTIF($A$7:$A$307,A31)&gt;1,"Duplicate ID",IF(AND(D31="Complete",E31=""),"Evidence missing",IF(AND(D31&lt;&gt;"Not started",D31&lt;&gt;"In progress",D31&lt;&gt;"In review",D31&lt;&gt;"Complete"),"Choose a status",""))))</f>
        <v/>
      </c>
      <c r="H31" s="29"/>
      <c r="I31" s="29"/>
      <c r="J31" s="29"/>
      <c r="K31" s="29"/>
    </row>
    <row r="32" customFormat="false" ht="44" hidden="false" customHeight="true" outlineLevel="0" collapsed="false">
      <c r="A32" s="29"/>
      <c r="B32" s="29"/>
      <c r="C32" s="29"/>
      <c r="D32" s="34"/>
      <c r="E32" s="34"/>
      <c r="F32" s="29"/>
      <c r="G32" s="35" t="str">
        <f aca="false">IF(A32="",IF(SUMPRODUCT(--(B32&lt;&gt;""))+SUMPRODUCT(--(D32:F32&lt;&gt;""))+SUMPRODUCT(--(H32:K32&lt;&gt;""))&gt;0,"Missing ID",""),IF(COUNTIF($A$7:$A$307,A32)&gt;1,"Duplicate ID",IF(AND(D32="Complete",E32=""),"Evidence missing",IF(AND(D32&lt;&gt;"Not started",D32&lt;&gt;"In progress",D32&lt;&gt;"In review",D32&lt;&gt;"Complete"),"Choose a status",""))))</f>
        <v/>
      </c>
      <c r="H32" s="29"/>
      <c r="I32" s="29"/>
      <c r="J32" s="29"/>
      <c r="K32" s="29"/>
    </row>
    <row r="33" customFormat="false" ht="44" hidden="false" customHeight="true" outlineLevel="0" collapsed="false">
      <c r="A33" s="29"/>
      <c r="B33" s="29"/>
      <c r="C33" s="29"/>
      <c r="D33" s="34"/>
      <c r="E33" s="34"/>
      <c r="F33" s="29"/>
      <c r="G33" s="35" t="str">
        <f aca="false">IF(A33="",IF(SUMPRODUCT(--(B33&lt;&gt;""))+SUMPRODUCT(--(D33:F33&lt;&gt;""))+SUMPRODUCT(--(H33:K33&lt;&gt;""))&gt;0,"Missing ID",""),IF(COUNTIF($A$7:$A$307,A33)&gt;1,"Duplicate ID",IF(AND(D33="Complete",E33=""),"Evidence missing",IF(AND(D33&lt;&gt;"Not started",D33&lt;&gt;"In progress",D33&lt;&gt;"In review",D33&lt;&gt;"Complete"),"Choose a status",""))))</f>
        <v/>
      </c>
      <c r="H33" s="29"/>
      <c r="I33" s="29"/>
      <c r="J33" s="29"/>
      <c r="K33" s="29"/>
    </row>
    <row r="34" customFormat="false" ht="44" hidden="false" customHeight="true" outlineLevel="0" collapsed="false">
      <c r="A34" s="29"/>
      <c r="B34" s="29"/>
      <c r="C34" s="29"/>
      <c r="D34" s="34"/>
      <c r="E34" s="34"/>
      <c r="F34" s="29"/>
      <c r="G34" s="35" t="str">
        <f aca="false">IF(A34="",IF(SUMPRODUCT(--(B34&lt;&gt;""))+SUMPRODUCT(--(D34:F34&lt;&gt;""))+SUMPRODUCT(--(H34:K34&lt;&gt;""))&gt;0,"Missing ID",""),IF(COUNTIF($A$7:$A$307,A34)&gt;1,"Duplicate ID",IF(AND(D34="Complete",E34=""),"Evidence missing",IF(AND(D34&lt;&gt;"Not started",D34&lt;&gt;"In progress",D34&lt;&gt;"In review",D34&lt;&gt;"Complete"),"Choose a status",""))))</f>
        <v/>
      </c>
      <c r="H34" s="29"/>
      <c r="I34" s="29"/>
      <c r="J34" s="29"/>
      <c r="K34" s="29"/>
    </row>
    <row r="35" customFormat="false" ht="44" hidden="false" customHeight="true" outlineLevel="0" collapsed="false">
      <c r="A35" s="29"/>
      <c r="B35" s="29"/>
      <c r="C35" s="29"/>
      <c r="D35" s="34"/>
      <c r="E35" s="34"/>
      <c r="F35" s="29"/>
      <c r="G35" s="35" t="str">
        <f aca="false">IF(A35="",IF(SUMPRODUCT(--(B35&lt;&gt;""))+SUMPRODUCT(--(D35:F35&lt;&gt;""))+SUMPRODUCT(--(H35:K35&lt;&gt;""))&gt;0,"Missing ID",""),IF(COUNTIF($A$7:$A$307,A35)&gt;1,"Duplicate ID",IF(AND(D35="Complete",E35=""),"Evidence missing",IF(AND(D35&lt;&gt;"Not started",D35&lt;&gt;"In progress",D35&lt;&gt;"In review",D35&lt;&gt;"Complete"),"Choose a status",""))))</f>
        <v/>
      </c>
      <c r="H35" s="29"/>
      <c r="I35" s="29"/>
      <c r="J35" s="29"/>
      <c r="K35" s="29"/>
    </row>
    <row r="36" customFormat="false" ht="44" hidden="false" customHeight="true" outlineLevel="0" collapsed="false">
      <c r="A36" s="29"/>
      <c r="B36" s="29"/>
      <c r="C36" s="29"/>
      <c r="D36" s="34"/>
      <c r="E36" s="34"/>
      <c r="F36" s="29"/>
      <c r="G36" s="35" t="str">
        <f aca="false">IF(A36="",IF(SUMPRODUCT(--(B36&lt;&gt;""))+SUMPRODUCT(--(D36:F36&lt;&gt;""))+SUMPRODUCT(--(H36:K36&lt;&gt;""))&gt;0,"Missing ID",""),IF(COUNTIF($A$7:$A$307,A36)&gt;1,"Duplicate ID",IF(AND(D36="Complete",E36=""),"Evidence missing",IF(AND(D36&lt;&gt;"Not started",D36&lt;&gt;"In progress",D36&lt;&gt;"In review",D36&lt;&gt;"Complete"),"Choose a status",""))))</f>
        <v/>
      </c>
      <c r="H36" s="29"/>
      <c r="I36" s="29"/>
      <c r="J36" s="29"/>
      <c r="K36" s="29"/>
    </row>
    <row r="37" customFormat="false" ht="44" hidden="false" customHeight="true" outlineLevel="0" collapsed="false">
      <c r="A37" s="29"/>
      <c r="B37" s="29"/>
      <c r="C37" s="29"/>
      <c r="D37" s="34"/>
      <c r="E37" s="34"/>
      <c r="F37" s="29"/>
      <c r="G37" s="35" t="str">
        <f aca="false">IF(A37="",IF(SUMPRODUCT(--(B37&lt;&gt;""))+SUMPRODUCT(--(D37:F37&lt;&gt;""))+SUMPRODUCT(--(H37:K37&lt;&gt;""))&gt;0,"Missing ID",""),IF(COUNTIF($A$7:$A$307,A37)&gt;1,"Duplicate ID",IF(AND(D37="Complete",E37=""),"Evidence missing",IF(AND(D37&lt;&gt;"Not started",D37&lt;&gt;"In progress",D37&lt;&gt;"In review",D37&lt;&gt;"Complete"),"Choose a status",""))))</f>
        <v/>
      </c>
      <c r="H37" s="29"/>
      <c r="I37" s="29"/>
      <c r="J37" s="29"/>
      <c r="K37" s="29"/>
    </row>
    <row r="38" customFormat="false" ht="44" hidden="false" customHeight="true" outlineLevel="0" collapsed="false">
      <c r="A38" s="29"/>
      <c r="B38" s="29"/>
      <c r="C38" s="29"/>
      <c r="D38" s="34"/>
      <c r="E38" s="34"/>
      <c r="F38" s="29"/>
      <c r="G38" s="35" t="str">
        <f aca="false">IF(A38="",IF(SUMPRODUCT(--(B38&lt;&gt;""))+SUMPRODUCT(--(D38:F38&lt;&gt;""))+SUMPRODUCT(--(H38:K38&lt;&gt;""))&gt;0,"Missing ID",""),IF(COUNTIF($A$7:$A$307,A38)&gt;1,"Duplicate ID",IF(AND(D38="Complete",E38=""),"Evidence missing",IF(AND(D38&lt;&gt;"Not started",D38&lt;&gt;"In progress",D38&lt;&gt;"In review",D38&lt;&gt;"Complete"),"Choose a status",""))))</f>
        <v/>
      </c>
      <c r="H38" s="29"/>
      <c r="I38" s="29"/>
      <c r="J38" s="29"/>
      <c r="K38" s="29"/>
    </row>
    <row r="39" customFormat="false" ht="44" hidden="false" customHeight="true" outlineLevel="0" collapsed="false">
      <c r="A39" s="29"/>
      <c r="B39" s="29"/>
      <c r="C39" s="29"/>
      <c r="D39" s="34"/>
      <c r="E39" s="34"/>
      <c r="F39" s="29"/>
      <c r="G39" s="35" t="str">
        <f aca="false">IF(A39="",IF(SUMPRODUCT(--(B39&lt;&gt;""))+SUMPRODUCT(--(D39:F39&lt;&gt;""))+SUMPRODUCT(--(H39:K39&lt;&gt;""))&gt;0,"Missing ID",""),IF(COUNTIF($A$7:$A$307,A39)&gt;1,"Duplicate ID",IF(AND(D39="Complete",E39=""),"Evidence missing",IF(AND(D39&lt;&gt;"Not started",D39&lt;&gt;"In progress",D39&lt;&gt;"In review",D39&lt;&gt;"Complete"),"Choose a status",""))))</f>
        <v/>
      </c>
      <c r="H39" s="29"/>
      <c r="I39" s="29"/>
      <c r="J39" s="29"/>
      <c r="K39" s="29"/>
    </row>
    <row r="40" customFormat="false" ht="44" hidden="false" customHeight="true" outlineLevel="0" collapsed="false">
      <c r="A40" s="29"/>
      <c r="B40" s="29"/>
      <c r="C40" s="29"/>
      <c r="D40" s="34"/>
      <c r="E40" s="34"/>
      <c r="F40" s="29"/>
      <c r="G40" s="35" t="str">
        <f aca="false">IF(A40="",IF(SUMPRODUCT(--(B40&lt;&gt;""))+SUMPRODUCT(--(D40:F40&lt;&gt;""))+SUMPRODUCT(--(H40:K40&lt;&gt;""))&gt;0,"Missing ID",""),IF(COUNTIF($A$7:$A$307,A40)&gt;1,"Duplicate ID",IF(AND(D40="Complete",E40=""),"Evidence missing",IF(AND(D40&lt;&gt;"Not started",D40&lt;&gt;"In progress",D40&lt;&gt;"In review",D40&lt;&gt;"Complete"),"Choose a status",""))))</f>
        <v/>
      </c>
      <c r="H40" s="29"/>
      <c r="I40" s="29"/>
      <c r="J40" s="29"/>
      <c r="K40" s="29"/>
    </row>
    <row r="41" customFormat="false" ht="44" hidden="false" customHeight="true" outlineLevel="0" collapsed="false">
      <c r="A41" s="29"/>
      <c r="B41" s="29"/>
      <c r="C41" s="29"/>
      <c r="D41" s="34"/>
      <c r="E41" s="34"/>
      <c r="F41" s="29"/>
      <c r="G41" s="35" t="str">
        <f aca="false">IF(A41="",IF(SUMPRODUCT(--(B41&lt;&gt;""))+SUMPRODUCT(--(D41:F41&lt;&gt;""))+SUMPRODUCT(--(H41:K41&lt;&gt;""))&gt;0,"Missing ID",""),IF(COUNTIF($A$7:$A$307,A41)&gt;1,"Duplicate ID",IF(AND(D41="Complete",E41=""),"Evidence missing",IF(AND(D41&lt;&gt;"Not started",D41&lt;&gt;"In progress",D41&lt;&gt;"In review",D41&lt;&gt;"Complete"),"Choose a status",""))))</f>
        <v/>
      </c>
      <c r="H41" s="29"/>
      <c r="I41" s="29"/>
      <c r="J41" s="29"/>
      <c r="K41" s="29"/>
    </row>
    <row r="42" customFormat="false" ht="44" hidden="false" customHeight="true" outlineLevel="0" collapsed="false">
      <c r="A42" s="29"/>
      <c r="B42" s="29"/>
      <c r="C42" s="29"/>
      <c r="D42" s="34"/>
      <c r="E42" s="34"/>
      <c r="F42" s="29"/>
      <c r="G42" s="35" t="str">
        <f aca="false">IF(A42="",IF(SUMPRODUCT(--(B42&lt;&gt;""))+SUMPRODUCT(--(D42:F42&lt;&gt;""))+SUMPRODUCT(--(H42:K42&lt;&gt;""))&gt;0,"Missing ID",""),IF(COUNTIF($A$7:$A$307,A42)&gt;1,"Duplicate ID",IF(AND(D42="Complete",E42=""),"Evidence missing",IF(AND(D42&lt;&gt;"Not started",D42&lt;&gt;"In progress",D42&lt;&gt;"In review",D42&lt;&gt;"Complete"),"Choose a status",""))))</f>
        <v/>
      </c>
      <c r="H42" s="29"/>
      <c r="I42" s="29"/>
      <c r="J42" s="29"/>
      <c r="K42" s="29"/>
    </row>
    <row r="43" customFormat="false" ht="44" hidden="false" customHeight="true" outlineLevel="0" collapsed="false">
      <c r="A43" s="29"/>
      <c r="B43" s="29"/>
      <c r="C43" s="29"/>
      <c r="D43" s="34"/>
      <c r="E43" s="34"/>
      <c r="F43" s="29"/>
      <c r="G43" s="35" t="str">
        <f aca="false">IF(A43="",IF(SUMPRODUCT(--(B43&lt;&gt;""))+SUMPRODUCT(--(D43:F43&lt;&gt;""))+SUMPRODUCT(--(H43:K43&lt;&gt;""))&gt;0,"Missing ID",""),IF(COUNTIF($A$7:$A$307,A43)&gt;1,"Duplicate ID",IF(AND(D43="Complete",E43=""),"Evidence missing",IF(AND(D43&lt;&gt;"Not started",D43&lt;&gt;"In progress",D43&lt;&gt;"In review",D43&lt;&gt;"Complete"),"Choose a status",""))))</f>
        <v/>
      </c>
      <c r="H43" s="29"/>
      <c r="I43" s="29"/>
      <c r="J43" s="29"/>
      <c r="K43" s="29"/>
    </row>
    <row r="44" customFormat="false" ht="44" hidden="false" customHeight="true" outlineLevel="0" collapsed="false">
      <c r="A44" s="29"/>
      <c r="B44" s="29"/>
      <c r="C44" s="29"/>
      <c r="D44" s="34"/>
      <c r="E44" s="34"/>
      <c r="F44" s="29"/>
      <c r="G44" s="35" t="str">
        <f aca="false">IF(A44="",IF(SUMPRODUCT(--(B44&lt;&gt;""))+SUMPRODUCT(--(D44:F44&lt;&gt;""))+SUMPRODUCT(--(H44:K44&lt;&gt;""))&gt;0,"Missing ID",""),IF(COUNTIF($A$7:$A$307,A44)&gt;1,"Duplicate ID",IF(AND(D44="Complete",E44=""),"Evidence missing",IF(AND(D44&lt;&gt;"Not started",D44&lt;&gt;"In progress",D44&lt;&gt;"In review",D44&lt;&gt;"Complete"),"Choose a status",""))))</f>
        <v/>
      </c>
      <c r="H44" s="29"/>
      <c r="I44" s="29"/>
      <c r="J44" s="29"/>
      <c r="K44" s="29"/>
    </row>
    <row r="45" customFormat="false" ht="44" hidden="false" customHeight="true" outlineLevel="0" collapsed="false">
      <c r="A45" s="29"/>
      <c r="B45" s="29"/>
      <c r="C45" s="29"/>
      <c r="D45" s="34"/>
      <c r="E45" s="34"/>
      <c r="F45" s="29"/>
      <c r="G45" s="35" t="str">
        <f aca="false">IF(A45="",IF(SUMPRODUCT(--(B45&lt;&gt;""))+SUMPRODUCT(--(D45:F45&lt;&gt;""))+SUMPRODUCT(--(H45:K45&lt;&gt;""))&gt;0,"Missing ID",""),IF(COUNTIF($A$7:$A$307,A45)&gt;1,"Duplicate ID",IF(AND(D45="Complete",E45=""),"Evidence missing",IF(AND(D45&lt;&gt;"Not started",D45&lt;&gt;"In progress",D45&lt;&gt;"In review",D45&lt;&gt;"Complete"),"Choose a status",""))))</f>
        <v/>
      </c>
      <c r="H45" s="29"/>
      <c r="I45" s="29"/>
      <c r="J45" s="29"/>
      <c r="K45" s="29"/>
    </row>
    <row r="46" customFormat="false" ht="44" hidden="false" customHeight="true" outlineLevel="0" collapsed="false">
      <c r="A46" s="29"/>
      <c r="B46" s="29"/>
      <c r="C46" s="29"/>
      <c r="D46" s="34"/>
      <c r="E46" s="34"/>
      <c r="F46" s="29"/>
      <c r="G46" s="35" t="str">
        <f aca="false">IF(A46="",IF(SUMPRODUCT(--(B46&lt;&gt;""))+SUMPRODUCT(--(D46:F46&lt;&gt;""))+SUMPRODUCT(--(H46:K46&lt;&gt;""))&gt;0,"Missing ID",""),IF(COUNTIF($A$7:$A$307,A46)&gt;1,"Duplicate ID",IF(AND(D46="Complete",E46=""),"Evidence missing",IF(AND(D46&lt;&gt;"Not started",D46&lt;&gt;"In progress",D46&lt;&gt;"In review",D46&lt;&gt;"Complete"),"Choose a status",""))))</f>
        <v/>
      </c>
      <c r="H46" s="29"/>
      <c r="I46" s="29"/>
      <c r="J46" s="29"/>
      <c r="K46" s="29"/>
    </row>
    <row r="47" customFormat="false" ht="44" hidden="false" customHeight="true" outlineLevel="0" collapsed="false">
      <c r="A47" s="29"/>
      <c r="B47" s="29"/>
      <c r="C47" s="29"/>
      <c r="D47" s="34"/>
      <c r="E47" s="34"/>
      <c r="F47" s="29"/>
      <c r="G47" s="35" t="str">
        <f aca="false">IF(A47="",IF(SUMPRODUCT(--(B47&lt;&gt;""))+SUMPRODUCT(--(D47:F47&lt;&gt;""))+SUMPRODUCT(--(H47:K47&lt;&gt;""))&gt;0,"Missing ID",""),IF(COUNTIF($A$7:$A$307,A47)&gt;1,"Duplicate ID",IF(AND(D47="Complete",E47=""),"Evidence missing",IF(AND(D47&lt;&gt;"Not started",D47&lt;&gt;"In progress",D47&lt;&gt;"In review",D47&lt;&gt;"Complete"),"Choose a status",""))))</f>
        <v/>
      </c>
      <c r="H47" s="29"/>
      <c r="I47" s="29"/>
      <c r="J47" s="29"/>
      <c r="K47" s="29"/>
    </row>
    <row r="48" customFormat="false" ht="44" hidden="false" customHeight="true" outlineLevel="0" collapsed="false">
      <c r="A48" s="29"/>
      <c r="B48" s="29"/>
      <c r="C48" s="29"/>
      <c r="D48" s="34"/>
      <c r="E48" s="34"/>
      <c r="F48" s="29"/>
      <c r="G48" s="35" t="str">
        <f aca="false">IF(A48="",IF(SUMPRODUCT(--(B48&lt;&gt;""))+SUMPRODUCT(--(D48:F48&lt;&gt;""))+SUMPRODUCT(--(H48:K48&lt;&gt;""))&gt;0,"Missing ID",""),IF(COUNTIF($A$7:$A$307,A48)&gt;1,"Duplicate ID",IF(AND(D48="Complete",E48=""),"Evidence missing",IF(AND(D48&lt;&gt;"Not started",D48&lt;&gt;"In progress",D48&lt;&gt;"In review",D48&lt;&gt;"Complete"),"Choose a status",""))))</f>
        <v/>
      </c>
      <c r="H48" s="29"/>
      <c r="I48" s="29"/>
      <c r="J48" s="29"/>
      <c r="K48" s="29"/>
    </row>
    <row r="49" customFormat="false" ht="44" hidden="false" customHeight="true" outlineLevel="0" collapsed="false">
      <c r="A49" s="29"/>
      <c r="B49" s="29"/>
      <c r="C49" s="29"/>
      <c r="D49" s="34"/>
      <c r="E49" s="34"/>
      <c r="F49" s="29"/>
      <c r="G49" s="35" t="str">
        <f aca="false">IF(A49="",IF(SUMPRODUCT(--(B49&lt;&gt;""))+SUMPRODUCT(--(D49:F49&lt;&gt;""))+SUMPRODUCT(--(H49:K49&lt;&gt;""))&gt;0,"Missing ID",""),IF(COUNTIF($A$7:$A$307,A49)&gt;1,"Duplicate ID",IF(AND(D49="Complete",E49=""),"Evidence missing",IF(AND(D49&lt;&gt;"Not started",D49&lt;&gt;"In progress",D49&lt;&gt;"In review",D49&lt;&gt;"Complete"),"Choose a status",""))))</f>
        <v/>
      </c>
      <c r="H49" s="29"/>
      <c r="I49" s="29"/>
      <c r="J49" s="29"/>
      <c r="K49" s="29"/>
    </row>
    <row r="50" customFormat="false" ht="44" hidden="false" customHeight="true" outlineLevel="0" collapsed="false">
      <c r="A50" s="29"/>
      <c r="B50" s="29"/>
      <c r="C50" s="29"/>
      <c r="D50" s="34"/>
      <c r="E50" s="34"/>
      <c r="F50" s="29"/>
      <c r="G50" s="35" t="str">
        <f aca="false">IF(A50="",IF(SUMPRODUCT(--(B50&lt;&gt;""))+SUMPRODUCT(--(D50:F50&lt;&gt;""))+SUMPRODUCT(--(H50:K50&lt;&gt;""))&gt;0,"Missing ID",""),IF(COUNTIF($A$7:$A$307,A50)&gt;1,"Duplicate ID",IF(AND(D50="Complete",E50=""),"Evidence missing",IF(AND(D50&lt;&gt;"Not started",D50&lt;&gt;"In progress",D50&lt;&gt;"In review",D50&lt;&gt;"Complete"),"Choose a status",""))))</f>
        <v/>
      </c>
      <c r="H50" s="29"/>
      <c r="I50" s="29"/>
      <c r="J50" s="29"/>
      <c r="K50" s="29"/>
    </row>
    <row r="51" customFormat="false" ht="44" hidden="false" customHeight="true" outlineLevel="0" collapsed="false">
      <c r="A51" s="29"/>
      <c r="B51" s="29"/>
      <c r="C51" s="29"/>
      <c r="D51" s="34"/>
      <c r="E51" s="34"/>
      <c r="F51" s="29"/>
      <c r="G51" s="35" t="str">
        <f aca="false">IF(A51="",IF(SUMPRODUCT(--(B51&lt;&gt;""))+SUMPRODUCT(--(D51:F51&lt;&gt;""))+SUMPRODUCT(--(H51:K51&lt;&gt;""))&gt;0,"Missing ID",""),IF(COUNTIF($A$7:$A$307,A51)&gt;1,"Duplicate ID",IF(AND(D51="Complete",E51=""),"Evidence missing",IF(AND(D51&lt;&gt;"Not started",D51&lt;&gt;"In progress",D51&lt;&gt;"In review",D51&lt;&gt;"Complete"),"Choose a status",""))))</f>
        <v/>
      </c>
      <c r="H51" s="29"/>
      <c r="I51" s="29"/>
      <c r="J51" s="29"/>
      <c r="K51" s="29"/>
    </row>
    <row r="52" customFormat="false" ht="44" hidden="false" customHeight="true" outlineLevel="0" collapsed="false">
      <c r="A52" s="29"/>
      <c r="B52" s="29"/>
      <c r="C52" s="29"/>
      <c r="D52" s="34"/>
      <c r="E52" s="34"/>
      <c r="F52" s="29"/>
      <c r="G52" s="35" t="str">
        <f aca="false">IF(A52="",IF(SUMPRODUCT(--(B52&lt;&gt;""))+SUMPRODUCT(--(D52:F52&lt;&gt;""))+SUMPRODUCT(--(H52:K52&lt;&gt;""))&gt;0,"Missing ID",""),IF(COUNTIF($A$7:$A$307,A52)&gt;1,"Duplicate ID",IF(AND(D52="Complete",E52=""),"Evidence missing",IF(AND(D52&lt;&gt;"Not started",D52&lt;&gt;"In progress",D52&lt;&gt;"In review",D52&lt;&gt;"Complete"),"Choose a status",""))))</f>
        <v/>
      </c>
      <c r="H52" s="29"/>
      <c r="I52" s="29"/>
      <c r="J52" s="29"/>
      <c r="K52" s="29"/>
    </row>
    <row r="53" customFormat="false" ht="44" hidden="false" customHeight="true" outlineLevel="0" collapsed="false">
      <c r="A53" s="29"/>
      <c r="B53" s="29"/>
      <c r="C53" s="29"/>
      <c r="D53" s="34"/>
      <c r="E53" s="34"/>
      <c r="F53" s="29"/>
      <c r="G53" s="35" t="str">
        <f aca="false">IF(A53="",IF(SUMPRODUCT(--(B53&lt;&gt;""))+SUMPRODUCT(--(D53:F53&lt;&gt;""))+SUMPRODUCT(--(H53:K53&lt;&gt;""))&gt;0,"Missing ID",""),IF(COUNTIF($A$7:$A$307,A53)&gt;1,"Duplicate ID",IF(AND(D53="Complete",E53=""),"Evidence missing",IF(AND(D53&lt;&gt;"Not started",D53&lt;&gt;"In progress",D53&lt;&gt;"In review",D53&lt;&gt;"Complete"),"Choose a status",""))))</f>
        <v/>
      </c>
      <c r="H53" s="29"/>
      <c r="I53" s="29"/>
      <c r="J53" s="29"/>
      <c r="K53" s="29"/>
    </row>
    <row r="54" customFormat="false" ht="44" hidden="false" customHeight="true" outlineLevel="0" collapsed="false">
      <c r="A54" s="29"/>
      <c r="B54" s="29"/>
      <c r="C54" s="29"/>
      <c r="D54" s="34"/>
      <c r="E54" s="34"/>
      <c r="F54" s="29"/>
      <c r="G54" s="35" t="str">
        <f aca="false">IF(A54="",IF(SUMPRODUCT(--(B54&lt;&gt;""))+SUMPRODUCT(--(D54:F54&lt;&gt;""))+SUMPRODUCT(--(H54:K54&lt;&gt;""))&gt;0,"Missing ID",""),IF(COUNTIF($A$7:$A$307,A54)&gt;1,"Duplicate ID",IF(AND(D54="Complete",E54=""),"Evidence missing",IF(AND(D54&lt;&gt;"Not started",D54&lt;&gt;"In progress",D54&lt;&gt;"In review",D54&lt;&gt;"Complete"),"Choose a status",""))))</f>
        <v/>
      </c>
      <c r="H54" s="29"/>
      <c r="I54" s="29"/>
      <c r="J54" s="29"/>
      <c r="K54" s="29"/>
    </row>
    <row r="55" customFormat="false" ht="44" hidden="false" customHeight="true" outlineLevel="0" collapsed="false">
      <c r="A55" s="29"/>
      <c r="B55" s="29"/>
      <c r="C55" s="29"/>
      <c r="D55" s="34"/>
      <c r="E55" s="34"/>
      <c r="F55" s="29"/>
      <c r="G55" s="35" t="str">
        <f aca="false">IF(A55="",IF(SUMPRODUCT(--(B55&lt;&gt;""))+SUMPRODUCT(--(D55:F55&lt;&gt;""))+SUMPRODUCT(--(H55:K55&lt;&gt;""))&gt;0,"Missing ID",""),IF(COUNTIF($A$7:$A$307,A55)&gt;1,"Duplicate ID",IF(AND(D55="Complete",E55=""),"Evidence missing",IF(AND(D55&lt;&gt;"Not started",D55&lt;&gt;"In progress",D55&lt;&gt;"In review",D55&lt;&gt;"Complete"),"Choose a status",""))))</f>
        <v/>
      </c>
      <c r="H55" s="29"/>
      <c r="I55" s="29"/>
      <c r="J55" s="29"/>
      <c r="K55" s="29"/>
    </row>
    <row r="56" customFormat="false" ht="44" hidden="false" customHeight="true" outlineLevel="0" collapsed="false">
      <c r="A56" s="29"/>
      <c r="B56" s="29"/>
      <c r="C56" s="29"/>
      <c r="D56" s="34"/>
      <c r="E56" s="34"/>
      <c r="F56" s="29"/>
      <c r="G56" s="35" t="str">
        <f aca="false">IF(A56="",IF(SUMPRODUCT(--(B56&lt;&gt;""))+SUMPRODUCT(--(D56:F56&lt;&gt;""))+SUMPRODUCT(--(H56:K56&lt;&gt;""))&gt;0,"Missing ID",""),IF(COUNTIF($A$7:$A$307,A56)&gt;1,"Duplicate ID",IF(AND(D56="Complete",E56=""),"Evidence missing",IF(AND(D56&lt;&gt;"Not started",D56&lt;&gt;"In progress",D56&lt;&gt;"In review",D56&lt;&gt;"Complete"),"Choose a status",""))))</f>
        <v/>
      </c>
      <c r="H56" s="29"/>
      <c r="I56" s="29"/>
      <c r="J56" s="29"/>
      <c r="K56" s="29"/>
    </row>
    <row r="57" customFormat="false" ht="44" hidden="false" customHeight="true" outlineLevel="0" collapsed="false">
      <c r="A57" s="29"/>
      <c r="B57" s="29"/>
      <c r="C57" s="29"/>
      <c r="D57" s="34"/>
      <c r="E57" s="34"/>
      <c r="F57" s="29"/>
      <c r="G57" s="35" t="str">
        <f aca="false">IF(A57="",IF(SUMPRODUCT(--(B57&lt;&gt;""))+SUMPRODUCT(--(D57:F57&lt;&gt;""))+SUMPRODUCT(--(H57:K57&lt;&gt;""))&gt;0,"Missing ID",""),IF(COUNTIF($A$7:$A$307,A57)&gt;1,"Duplicate ID",IF(AND(D57="Complete",E57=""),"Evidence missing",IF(AND(D57&lt;&gt;"Not started",D57&lt;&gt;"In progress",D57&lt;&gt;"In review",D57&lt;&gt;"Complete"),"Choose a status",""))))</f>
        <v/>
      </c>
      <c r="H57" s="29"/>
      <c r="I57" s="29"/>
      <c r="J57" s="29"/>
      <c r="K57" s="29"/>
    </row>
    <row r="58" customFormat="false" ht="44" hidden="false" customHeight="true" outlineLevel="0" collapsed="false">
      <c r="A58" s="29"/>
      <c r="B58" s="29"/>
      <c r="C58" s="29"/>
      <c r="D58" s="34"/>
      <c r="E58" s="34"/>
      <c r="F58" s="29"/>
      <c r="G58" s="35" t="str">
        <f aca="false">IF(A58="",IF(SUMPRODUCT(--(B58&lt;&gt;""))+SUMPRODUCT(--(D58:F58&lt;&gt;""))+SUMPRODUCT(--(H58:K58&lt;&gt;""))&gt;0,"Missing ID",""),IF(COUNTIF($A$7:$A$307,A58)&gt;1,"Duplicate ID",IF(AND(D58="Complete",E58=""),"Evidence missing",IF(AND(D58&lt;&gt;"Not started",D58&lt;&gt;"In progress",D58&lt;&gt;"In review",D58&lt;&gt;"Complete"),"Choose a status",""))))</f>
        <v/>
      </c>
      <c r="H58" s="29"/>
      <c r="I58" s="29"/>
      <c r="J58" s="29"/>
      <c r="K58" s="29"/>
    </row>
    <row r="59" customFormat="false" ht="44" hidden="false" customHeight="true" outlineLevel="0" collapsed="false">
      <c r="A59" s="29"/>
      <c r="B59" s="29"/>
      <c r="C59" s="29"/>
      <c r="D59" s="34"/>
      <c r="E59" s="34"/>
      <c r="F59" s="29"/>
      <c r="G59" s="35" t="str">
        <f aca="false">IF(A59="",IF(SUMPRODUCT(--(B59&lt;&gt;""))+SUMPRODUCT(--(D59:F59&lt;&gt;""))+SUMPRODUCT(--(H59:K59&lt;&gt;""))&gt;0,"Missing ID",""),IF(COUNTIF($A$7:$A$307,A59)&gt;1,"Duplicate ID",IF(AND(D59="Complete",E59=""),"Evidence missing",IF(AND(D59&lt;&gt;"Not started",D59&lt;&gt;"In progress",D59&lt;&gt;"In review",D59&lt;&gt;"Complete"),"Choose a status",""))))</f>
        <v/>
      </c>
      <c r="H59" s="29"/>
      <c r="I59" s="29"/>
      <c r="J59" s="29"/>
      <c r="K59" s="29"/>
    </row>
    <row r="60" customFormat="false" ht="44" hidden="false" customHeight="true" outlineLevel="0" collapsed="false">
      <c r="A60" s="29"/>
      <c r="B60" s="29"/>
      <c r="C60" s="29"/>
      <c r="D60" s="34"/>
      <c r="E60" s="34"/>
      <c r="F60" s="29"/>
      <c r="G60" s="35" t="str">
        <f aca="false">IF(A60="",IF(SUMPRODUCT(--(B60&lt;&gt;""))+SUMPRODUCT(--(D60:F60&lt;&gt;""))+SUMPRODUCT(--(H60:K60&lt;&gt;""))&gt;0,"Missing ID",""),IF(COUNTIF($A$7:$A$307,A60)&gt;1,"Duplicate ID",IF(AND(D60="Complete",E60=""),"Evidence missing",IF(AND(D60&lt;&gt;"Not started",D60&lt;&gt;"In progress",D60&lt;&gt;"In review",D60&lt;&gt;"Complete"),"Choose a status",""))))</f>
        <v/>
      </c>
      <c r="H60" s="29"/>
      <c r="I60" s="29"/>
      <c r="J60" s="29"/>
      <c r="K60" s="29"/>
    </row>
    <row r="61" customFormat="false" ht="44" hidden="false" customHeight="true" outlineLevel="0" collapsed="false">
      <c r="A61" s="29"/>
      <c r="B61" s="29"/>
      <c r="C61" s="29"/>
      <c r="D61" s="34"/>
      <c r="E61" s="34"/>
      <c r="F61" s="29"/>
      <c r="G61" s="35" t="str">
        <f aca="false">IF(A61="",IF(SUMPRODUCT(--(B61&lt;&gt;""))+SUMPRODUCT(--(D61:F61&lt;&gt;""))+SUMPRODUCT(--(H61:K61&lt;&gt;""))&gt;0,"Missing ID",""),IF(COUNTIF($A$7:$A$307,A61)&gt;1,"Duplicate ID",IF(AND(D61="Complete",E61=""),"Evidence missing",IF(AND(D61&lt;&gt;"Not started",D61&lt;&gt;"In progress",D61&lt;&gt;"In review",D61&lt;&gt;"Complete"),"Choose a status",""))))</f>
        <v/>
      </c>
      <c r="H61" s="29"/>
      <c r="I61" s="29"/>
      <c r="J61" s="29"/>
      <c r="K61" s="29"/>
    </row>
    <row r="62" customFormat="false" ht="44" hidden="false" customHeight="true" outlineLevel="0" collapsed="false">
      <c r="A62" s="29"/>
      <c r="B62" s="29"/>
      <c r="C62" s="29"/>
      <c r="D62" s="34"/>
      <c r="E62" s="34"/>
      <c r="F62" s="29"/>
      <c r="G62" s="35" t="str">
        <f aca="false">IF(A62="",IF(SUMPRODUCT(--(B62&lt;&gt;""))+SUMPRODUCT(--(D62:F62&lt;&gt;""))+SUMPRODUCT(--(H62:K62&lt;&gt;""))&gt;0,"Missing ID",""),IF(COUNTIF($A$7:$A$307,A62)&gt;1,"Duplicate ID",IF(AND(D62="Complete",E62=""),"Evidence missing",IF(AND(D62&lt;&gt;"Not started",D62&lt;&gt;"In progress",D62&lt;&gt;"In review",D62&lt;&gt;"Complete"),"Choose a status",""))))</f>
        <v/>
      </c>
      <c r="H62" s="29"/>
      <c r="I62" s="29"/>
      <c r="J62" s="29"/>
      <c r="K62" s="29"/>
    </row>
    <row r="63" customFormat="false" ht="44" hidden="false" customHeight="true" outlineLevel="0" collapsed="false">
      <c r="A63" s="29"/>
      <c r="B63" s="29"/>
      <c r="C63" s="29"/>
      <c r="D63" s="34"/>
      <c r="E63" s="34"/>
      <c r="F63" s="29"/>
      <c r="G63" s="35" t="str">
        <f aca="false">IF(A63="",IF(SUMPRODUCT(--(B63&lt;&gt;""))+SUMPRODUCT(--(D63:F63&lt;&gt;""))+SUMPRODUCT(--(H63:K63&lt;&gt;""))&gt;0,"Missing ID",""),IF(COUNTIF($A$7:$A$307,A63)&gt;1,"Duplicate ID",IF(AND(D63="Complete",E63=""),"Evidence missing",IF(AND(D63&lt;&gt;"Not started",D63&lt;&gt;"In progress",D63&lt;&gt;"In review",D63&lt;&gt;"Complete"),"Choose a status",""))))</f>
        <v/>
      </c>
      <c r="H63" s="29"/>
      <c r="I63" s="29"/>
      <c r="J63" s="29"/>
      <c r="K63" s="29"/>
    </row>
    <row r="64" customFormat="false" ht="44" hidden="false" customHeight="true" outlineLevel="0" collapsed="false">
      <c r="A64" s="29"/>
      <c r="B64" s="29"/>
      <c r="C64" s="29"/>
      <c r="D64" s="34"/>
      <c r="E64" s="34"/>
      <c r="F64" s="29"/>
      <c r="G64" s="35" t="str">
        <f aca="false">IF(A64="",IF(SUMPRODUCT(--(B64&lt;&gt;""))+SUMPRODUCT(--(D64:F64&lt;&gt;""))+SUMPRODUCT(--(H64:K64&lt;&gt;""))&gt;0,"Missing ID",""),IF(COUNTIF($A$7:$A$307,A64)&gt;1,"Duplicate ID",IF(AND(D64="Complete",E64=""),"Evidence missing",IF(AND(D64&lt;&gt;"Not started",D64&lt;&gt;"In progress",D64&lt;&gt;"In review",D64&lt;&gt;"Complete"),"Choose a status",""))))</f>
        <v/>
      </c>
      <c r="H64" s="29"/>
      <c r="I64" s="29"/>
      <c r="J64" s="29"/>
      <c r="K64" s="29"/>
    </row>
    <row r="65" customFormat="false" ht="44" hidden="false" customHeight="true" outlineLevel="0" collapsed="false">
      <c r="A65" s="29"/>
      <c r="B65" s="29"/>
      <c r="C65" s="29"/>
      <c r="D65" s="34"/>
      <c r="E65" s="34"/>
      <c r="F65" s="29"/>
      <c r="G65" s="35" t="str">
        <f aca="false">IF(A65="",IF(SUMPRODUCT(--(B65&lt;&gt;""))+SUMPRODUCT(--(D65:F65&lt;&gt;""))+SUMPRODUCT(--(H65:K65&lt;&gt;""))&gt;0,"Missing ID",""),IF(COUNTIF($A$7:$A$307,A65)&gt;1,"Duplicate ID",IF(AND(D65="Complete",E65=""),"Evidence missing",IF(AND(D65&lt;&gt;"Not started",D65&lt;&gt;"In progress",D65&lt;&gt;"In review",D65&lt;&gt;"Complete"),"Choose a status",""))))</f>
        <v/>
      </c>
      <c r="H65" s="29"/>
      <c r="I65" s="29"/>
      <c r="J65" s="29"/>
      <c r="K65" s="29"/>
    </row>
    <row r="66" customFormat="false" ht="44" hidden="false" customHeight="true" outlineLevel="0" collapsed="false">
      <c r="A66" s="29"/>
      <c r="B66" s="29"/>
      <c r="C66" s="29"/>
      <c r="D66" s="34"/>
      <c r="E66" s="34"/>
      <c r="F66" s="29"/>
      <c r="G66" s="35" t="str">
        <f aca="false">IF(A66="",IF(SUMPRODUCT(--(B66&lt;&gt;""))+SUMPRODUCT(--(D66:F66&lt;&gt;""))+SUMPRODUCT(--(H66:K66&lt;&gt;""))&gt;0,"Missing ID",""),IF(COUNTIF($A$7:$A$307,A66)&gt;1,"Duplicate ID",IF(AND(D66="Complete",E66=""),"Evidence missing",IF(AND(D66&lt;&gt;"Not started",D66&lt;&gt;"In progress",D66&lt;&gt;"In review",D66&lt;&gt;"Complete"),"Choose a status",""))))</f>
        <v/>
      </c>
      <c r="H66" s="29"/>
      <c r="I66" s="29"/>
      <c r="J66" s="29"/>
      <c r="K66" s="29"/>
    </row>
    <row r="67" customFormat="false" ht="44" hidden="false" customHeight="true" outlineLevel="0" collapsed="false">
      <c r="A67" s="29"/>
      <c r="B67" s="29"/>
      <c r="C67" s="29"/>
      <c r="D67" s="34"/>
      <c r="E67" s="34"/>
      <c r="F67" s="29"/>
      <c r="G67" s="35" t="str">
        <f aca="false">IF(A67="",IF(SUMPRODUCT(--(B67&lt;&gt;""))+SUMPRODUCT(--(D67:F67&lt;&gt;""))+SUMPRODUCT(--(H67:K67&lt;&gt;""))&gt;0,"Missing ID",""),IF(COUNTIF($A$7:$A$307,A67)&gt;1,"Duplicate ID",IF(AND(D67="Complete",E67=""),"Evidence missing",IF(AND(D67&lt;&gt;"Not started",D67&lt;&gt;"In progress",D67&lt;&gt;"In review",D67&lt;&gt;"Complete"),"Choose a status",""))))</f>
        <v/>
      </c>
      <c r="H67" s="29"/>
      <c r="I67" s="29"/>
      <c r="J67" s="29"/>
      <c r="K67" s="29"/>
    </row>
    <row r="68" customFormat="false" ht="44" hidden="false" customHeight="true" outlineLevel="0" collapsed="false">
      <c r="A68" s="29"/>
      <c r="B68" s="29"/>
      <c r="C68" s="29"/>
      <c r="D68" s="34"/>
      <c r="E68" s="34"/>
      <c r="F68" s="29"/>
      <c r="G68" s="35" t="str">
        <f aca="false">IF(A68="",IF(SUMPRODUCT(--(B68&lt;&gt;""))+SUMPRODUCT(--(D68:F68&lt;&gt;""))+SUMPRODUCT(--(H68:K68&lt;&gt;""))&gt;0,"Missing ID",""),IF(COUNTIF($A$7:$A$307,A68)&gt;1,"Duplicate ID",IF(AND(D68="Complete",E68=""),"Evidence missing",IF(AND(D68&lt;&gt;"Not started",D68&lt;&gt;"In progress",D68&lt;&gt;"In review",D68&lt;&gt;"Complete"),"Choose a status",""))))</f>
        <v/>
      </c>
      <c r="H68" s="29"/>
      <c r="I68" s="29"/>
      <c r="J68" s="29"/>
      <c r="K68" s="29"/>
    </row>
    <row r="69" customFormat="false" ht="44" hidden="false" customHeight="true" outlineLevel="0" collapsed="false">
      <c r="A69" s="29"/>
      <c r="B69" s="29"/>
      <c r="C69" s="29"/>
      <c r="D69" s="34"/>
      <c r="E69" s="34"/>
      <c r="F69" s="29"/>
      <c r="G69" s="35" t="str">
        <f aca="false">IF(A69="",IF(SUMPRODUCT(--(B69&lt;&gt;""))+SUMPRODUCT(--(D69:F69&lt;&gt;""))+SUMPRODUCT(--(H69:K69&lt;&gt;""))&gt;0,"Missing ID",""),IF(COUNTIF($A$7:$A$307,A69)&gt;1,"Duplicate ID",IF(AND(D69="Complete",E69=""),"Evidence missing",IF(AND(D69&lt;&gt;"Not started",D69&lt;&gt;"In progress",D69&lt;&gt;"In review",D69&lt;&gt;"Complete"),"Choose a status",""))))</f>
        <v/>
      </c>
      <c r="H69" s="29"/>
      <c r="I69" s="29"/>
      <c r="J69" s="29"/>
      <c r="K69" s="29"/>
    </row>
    <row r="70" customFormat="false" ht="44" hidden="false" customHeight="true" outlineLevel="0" collapsed="false">
      <c r="A70" s="29"/>
      <c r="B70" s="29"/>
      <c r="C70" s="29"/>
      <c r="D70" s="34"/>
      <c r="E70" s="34"/>
      <c r="F70" s="29"/>
      <c r="G70" s="35" t="str">
        <f aca="false">IF(A70="",IF(SUMPRODUCT(--(B70&lt;&gt;""))+SUMPRODUCT(--(D70:F70&lt;&gt;""))+SUMPRODUCT(--(H70:K70&lt;&gt;""))&gt;0,"Missing ID",""),IF(COUNTIF($A$7:$A$307,A70)&gt;1,"Duplicate ID",IF(AND(D70="Complete",E70=""),"Evidence missing",IF(AND(D70&lt;&gt;"Not started",D70&lt;&gt;"In progress",D70&lt;&gt;"In review",D70&lt;&gt;"Complete"),"Choose a status",""))))</f>
        <v/>
      </c>
      <c r="H70" s="29"/>
      <c r="I70" s="29"/>
      <c r="J70" s="29"/>
      <c r="K70" s="29"/>
    </row>
    <row r="71" customFormat="false" ht="44" hidden="false" customHeight="true" outlineLevel="0" collapsed="false">
      <c r="A71" s="29"/>
      <c r="B71" s="29"/>
      <c r="C71" s="29"/>
      <c r="D71" s="34"/>
      <c r="E71" s="34"/>
      <c r="F71" s="29"/>
      <c r="G71" s="35" t="str">
        <f aca="false">IF(A71="",IF(SUMPRODUCT(--(B71&lt;&gt;""))+SUMPRODUCT(--(D71:F71&lt;&gt;""))+SUMPRODUCT(--(H71:K71&lt;&gt;""))&gt;0,"Missing ID",""),IF(COUNTIF($A$7:$A$307,A71)&gt;1,"Duplicate ID",IF(AND(D71="Complete",E71=""),"Evidence missing",IF(AND(D71&lt;&gt;"Not started",D71&lt;&gt;"In progress",D71&lt;&gt;"In review",D71&lt;&gt;"Complete"),"Choose a status",""))))</f>
        <v/>
      </c>
      <c r="H71" s="29"/>
      <c r="I71" s="29"/>
      <c r="J71" s="29"/>
      <c r="K71" s="29"/>
    </row>
    <row r="72" customFormat="false" ht="44" hidden="false" customHeight="true" outlineLevel="0" collapsed="false">
      <c r="A72" s="29"/>
      <c r="B72" s="29"/>
      <c r="C72" s="29"/>
      <c r="D72" s="34"/>
      <c r="E72" s="34"/>
      <c r="F72" s="29"/>
      <c r="G72" s="35" t="str">
        <f aca="false">IF(A72="",IF(SUMPRODUCT(--(B72&lt;&gt;""))+SUMPRODUCT(--(D72:F72&lt;&gt;""))+SUMPRODUCT(--(H72:K72&lt;&gt;""))&gt;0,"Missing ID",""),IF(COUNTIF($A$7:$A$307,A72)&gt;1,"Duplicate ID",IF(AND(D72="Complete",E72=""),"Evidence missing",IF(AND(D72&lt;&gt;"Not started",D72&lt;&gt;"In progress",D72&lt;&gt;"In review",D72&lt;&gt;"Complete"),"Choose a status",""))))</f>
        <v/>
      </c>
      <c r="H72" s="29"/>
      <c r="I72" s="29"/>
      <c r="J72" s="29"/>
      <c r="K72" s="29"/>
    </row>
    <row r="73" customFormat="false" ht="44" hidden="false" customHeight="true" outlineLevel="0" collapsed="false">
      <c r="A73" s="29"/>
      <c r="B73" s="29"/>
      <c r="C73" s="29"/>
      <c r="D73" s="34"/>
      <c r="E73" s="34"/>
      <c r="F73" s="29"/>
      <c r="G73" s="35" t="str">
        <f aca="false">IF(A73="",IF(SUMPRODUCT(--(B73&lt;&gt;""))+SUMPRODUCT(--(D73:F73&lt;&gt;""))+SUMPRODUCT(--(H73:K73&lt;&gt;""))&gt;0,"Missing ID",""),IF(COUNTIF($A$7:$A$307,A73)&gt;1,"Duplicate ID",IF(AND(D73="Complete",E73=""),"Evidence missing",IF(AND(D73&lt;&gt;"Not started",D73&lt;&gt;"In progress",D73&lt;&gt;"In review",D73&lt;&gt;"Complete"),"Choose a status",""))))</f>
        <v/>
      </c>
      <c r="H73" s="29"/>
      <c r="I73" s="29"/>
      <c r="J73" s="29"/>
      <c r="K73" s="29"/>
    </row>
    <row r="74" customFormat="false" ht="44" hidden="false" customHeight="true" outlineLevel="0" collapsed="false">
      <c r="A74" s="29"/>
      <c r="B74" s="29"/>
      <c r="C74" s="29"/>
      <c r="D74" s="34"/>
      <c r="E74" s="34"/>
      <c r="F74" s="29"/>
      <c r="G74" s="35" t="str">
        <f aca="false">IF(A74="",IF(SUMPRODUCT(--(B74&lt;&gt;""))+SUMPRODUCT(--(D74:F74&lt;&gt;""))+SUMPRODUCT(--(H74:K74&lt;&gt;""))&gt;0,"Missing ID",""),IF(COUNTIF($A$7:$A$307,A74)&gt;1,"Duplicate ID",IF(AND(D74="Complete",E74=""),"Evidence missing",IF(AND(D74&lt;&gt;"Not started",D74&lt;&gt;"In progress",D74&lt;&gt;"In review",D74&lt;&gt;"Complete"),"Choose a status",""))))</f>
        <v/>
      </c>
      <c r="H74" s="29"/>
      <c r="I74" s="29"/>
      <c r="J74" s="29"/>
      <c r="K74" s="29"/>
    </row>
    <row r="75" customFormat="false" ht="44" hidden="false" customHeight="true" outlineLevel="0" collapsed="false">
      <c r="A75" s="29"/>
      <c r="B75" s="29"/>
      <c r="C75" s="29"/>
      <c r="D75" s="34"/>
      <c r="E75" s="34"/>
      <c r="F75" s="29"/>
      <c r="G75" s="35" t="str">
        <f aca="false">IF(A75="",IF(SUMPRODUCT(--(B75&lt;&gt;""))+SUMPRODUCT(--(D75:F75&lt;&gt;""))+SUMPRODUCT(--(H75:K75&lt;&gt;""))&gt;0,"Missing ID",""),IF(COUNTIF($A$7:$A$307,A75)&gt;1,"Duplicate ID",IF(AND(D75="Complete",E75=""),"Evidence missing",IF(AND(D75&lt;&gt;"Not started",D75&lt;&gt;"In progress",D75&lt;&gt;"In review",D75&lt;&gt;"Complete"),"Choose a status",""))))</f>
        <v/>
      </c>
      <c r="H75" s="29"/>
      <c r="I75" s="29"/>
      <c r="J75" s="29"/>
      <c r="K75" s="29"/>
    </row>
    <row r="76" customFormat="false" ht="44" hidden="false" customHeight="true" outlineLevel="0" collapsed="false">
      <c r="A76" s="29"/>
      <c r="B76" s="29"/>
      <c r="C76" s="29"/>
      <c r="D76" s="34"/>
      <c r="E76" s="34"/>
      <c r="F76" s="29"/>
      <c r="G76" s="35" t="str">
        <f aca="false">IF(A76="",IF(SUMPRODUCT(--(B76&lt;&gt;""))+SUMPRODUCT(--(D76:F76&lt;&gt;""))+SUMPRODUCT(--(H76:K76&lt;&gt;""))&gt;0,"Missing ID",""),IF(COUNTIF($A$7:$A$307,A76)&gt;1,"Duplicate ID",IF(AND(D76="Complete",E76=""),"Evidence missing",IF(AND(D76&lt;&gt;"Not started",D76&lt;&gt;"In progress",D76&lt;&gt;"In review",D76&lt;&gt;"Complete"),"Choose a status",""))))</f>
        <v/>
      </c>
      <c r="H76" s="29"/>
      <c r="I76" s="29"/>
      <c r="J76" s="29"/>
      <c r="K76" s="29"/>
    </row>
    <row r="77" customFormat="false" ht="44" hidden="false" customHeight="true" outlineLevel="0" collapsed="false">
      <c r="A77" s="29"/>
      <c r="B77" s="29"/>
      <c r="C77" s="29"/>
      <c r="D77" s="34"/>
      <c r="E77" s="34"/>
      <c r="F77" s="29"/>
      <c r="G77" s="35" t="str">
        <f aca="false">IF(A77="",IF(SUMPRODUCT(--(B77&lt;&gt;""))+SUMPRODUCT(--(D77:F77&lt;&gt;""))+SUMPRODUCT(--(H77:K77&lt;&gt;""))&gt;0,"Missing ID",""),IF(COUNTIF($A$7:$A$307,A77)&gt;1,"Duplicate ID",IF(AND(D77="Complete",E77=""),"Evidence missing",IF(AND(D77&lt;&gt;"Not started",D77&lt;&gt;"In progress",D77&lt;&gt;"In review",D77&lt;&gt;"Complete"),"Choose a status",""))))</f>
        <v/>
      </c>
      <c r="H77" s="29"/>
      <c r="I77" s="29"/>
      <c r="J77" s="29"/>
      <c r="K77" s="29"/>
    </row>
    <row r="78" customFormat="false" ht="44" hidden="false" customHeight="true" outlineLevel="0" collapsed="false">
      <c r="A78" s="29"/>
      <c r="B78" s="29"/>
      <c r="C78" s="29"/>
      <c r="D78" s="34"/>
      <c r="E78" s="34"/>
      <c r="F78" s="29"/>
      <c r="G78" s="35" t="str">
        <f aca="false">IF(A78="",IF(SUMPRODUCT(--(B78&lt;&gt;""))+SUMPRODUCT(--(D78:F78&lt;&gt;""))+SUMPRODUCT(--(H78:K78&lt;&gt;""))&gt;0,"Missing ID",""),IF(COUNTIF($A$7:$A$307,A78)&gt;1,"Duplicate ID",IF(AND(D78="Complete",E78=""),"Evidence missing",IF(AND(D78&lt;&gt;"Not started",D78&lt;&gt;"In progress",D78&lt;&gt;"In review",D78&lt;&gt;"Complete"),"Choose a status",""))))</f>
        <v/>
      </c>
      <c r="H78" s="29"/>
      <c r="I78" s="29"/>
      <c r="J78" s="29"/>
      <c r="K78" s="29"/>
    </row>
    <row r="79" customFormat="false" ht="44" hidden="false" customHeight="true" outlineLevel="0" collapsed="false">
      <c r="A79" s="29"/>
      <c r="B79" s="29"/>
      <c r="C79" s="29"/>
      <c r="D79" s="34"/>
      <c r="E79" s="34"/>
      <c r="F79" s="29"/>
      <c r="G79" s="35" t="str">
        <f aca="false">IF(A79="",IF(SUMPRODUCT(--(B79&lt;&gt;""))+SUMPRODUCT(--(D79:F79&lt;&gt;""))+SUMPRODUCT(--(H79:K79&lt;&gt;""))&gt;0,"Missing ID",""),IF(COUNTIF($A$7:$A$307,A79)&gt;1,"Duplicate ID",IF(AND(D79="Complete",E79=""),"Evidence missing",IF(AND(D79&lt;&gt;"Not started",D79&lt;&gt;"In progress",D79&lt;&gt;"In review",D79&lt;&gt;"Complete"),"Choose a status",""))))</f>
        <v/>
      </c>
      <c r="H79" s="29"/>
      <c r="I79" s="29"/>
      <c r="J79" s="29"/>
      <c r="K79" s="29"/>
    </row>
    <row r="80" customFormat="false" ht="44" hidden="false" customHeight="true" outlineLevel="0" collapsed="false">
      <c r="A80" s="29"/>
      <c r="B80" s="29"/>
      <c r="C80" s="29"/>
      <c r="D80" s="34"/>
      <c r="E80" s="34"/>
      <c r="F80" s="29"/>
      <c r="G80" s="35" t="str">
        <f aca="false">IF(A80="",IF(SUMPRODUCT(--(B80&lt;&gt;""))+SUMPRODUCT(--(D80:F80&lt;&gt;""))+SUMPRODUCT(--(H80:K80&lt;&gt;""))&gt;0,"Missing ID",""),IF(COUNTIF($A$7:$A$307,A80)&gt;1,"Duplicate ID",IF(AND(D80="Complete",E80=""),"Evidence missing",IF(AND(D80&lt;&gt;"Not started",D80&lt;&gt;"In progress",D80&lt;&gt;"In review",D80&lt;&gt;"Complete"),"Choose a status",""))))</f>
        <v/>
      </c>
      <c r="H80" s="29"/>
      <c r="I80" s="29"/>
      <c r="J80" s="29"/>
      <c r="K80" s="29"/>
    </row>
    <row r="81" customFormat="false" ht="44" hidden="false" customHeight="true" outlineLevel="0" collapsed="false">
      <c r="A81" s="29"/>
      <c r="B81" s="29"/>
      <c r="C81" s="29"/>
      <c r="D81" s="34"/>
      <c r="E81" s="34"/>
      <c r="F81" s="29"/>
      <c r="G81" s="35" t="str">
        <f aca="false">IF(A81="",IF(SUMPRODUCT(--(B81&lt;&gt;""))+SUMPRODUCT(--(D81:F81&lt;&gt;""))+SUMPRODUCT(--(H81:K81&lt;&gt;""))&gt;0,"Missing ID",""),IF(COUNTIF($A$7:$A$307,A81)&gt;1,"Duplicate ID",IF(AND(D81="Complete",E81=""),"Evidence missing",IF(AND(D81&lt;&gt;"Not started",D81&lt;&gt;"In progress",D81&lt;&gt;"In review",D81&lt;&gt;"Complete"),"Choose a status",""))))</f>
        <v/>
      </c>
      <c r="H81" s="29"/>
      <c r="I81" s="29"/>
      <c r="J81" s="29"/>
      <c r="K81" s="29"/>
    </row>
    <row r="82" customFormat="false" ht="44" hidden="false" customHeight="true" outlineLevel="0" collapsed="false">
      <c r="A82" s="29"/>
      <c r="B82" s="29"/>
      <c r="C82" s="29"/>
      <c r="D82" s="34"/>
      <c r="E82" s="34"/>
      <c r="F82" s="29"/>
      <c r="G82" s="35" t="str">
        <f aca="false">IF(A82="",IF(SUMPRODUCT(--(B82&lt;&gt;""))+SUMPRODUCT(--(D82:F82&lt;&gt;""))+SUMPRODUCT(--(H82:K82&lt;&gt;""))&gt;0,"Missing ID",""),IF(COUNTIF($A$7:$A$307,A82)&gt;1,"Duplicate ID",IF(AND(D82="Complete",E82=""),"Evidence missing",IF(AND(D82&lt;&gt;"Not started",D82&lt;&gt;"In progress",D82&lt;&gt;"In review",D82&lt;&gt;"Complete"),"Choose a status",""))))</f>
        <v/>
      </c>
      <c r="H82" s="29"/>
      <c r="I82" s="29"/>
      <c r="J82" s="29"/>
      <c r="K82" s="29"/>
    </row>
    <row r="83" customFormat="false" ht="44" hidden="false" customHeight="true" outlineLevel="0" collapsed="false">
      <c r="A83" s="29"/>
      <c r="B83" s="29"/>
      <c r="C83" s="29"/>
      <c r="D83" s="34"/>
      <c r="E83" s="34"/>
      <c r="F83" s="29"/>
      <c r="G83" s="35" t="str">
        <f aca="false">IF(A83="",IF(SUMPRODUCT(--(B83&lt;&gt;""))+SUMPRODUCT(--(D83:F83&lt;&gt;""))+SUMPRODUCT(--(H83:K83&lt;&gt;""))&gt;0,"Missing ID",""),IF(COUNTIF($A$7:$A$307,A83)&gt;1,"Duplicate ID",IF(AND(D83="Complete",E83=""),"Evidence missing",IF(AND(D83&lt;&gt;"Not started",D83&lt;&gt;"In progress",D83&lt;&gt;"In review",D83&lt;&gt;"Complete"),"Choose a status",""))))</f>
        <v/>
      </c>
      <c r="H83" s="29"/>
      <c r="I83" s="29"/>
      <c r="J83" s="29"/>
      <c r="K83" s="29"/>
    </row>
    <row r="84" customFormat="false" ht="44" hidden="false" customHeight="true" outlineLevel="0" collapsed="false">
      <c r="A84" s="29"/>
      <c r="B84" s="29"/>
      <c r="C84" s="29"/>
      <c r="D84" s="34"/>
      <c r="E84" s="34"/>
      <c r="F84" s="29"/>
      <c r="G84" s="35" t="str">
        <f aca="false">IF(A84="",IF(SUMPRODUCT(--(B84&lt;&gt;""))+SUMPRODUCT(--(D84:F84&lt;&gt;""))+SUMPRODUCT(--(H84:K84&lt;&gt;""))&gt;0,"Missing ID",""),IF(COUNTIF($A$7:$A$307,A84)&gt;1,"Duplicate ID",IF(AND(D84="Complete",E84=""),"Evidence missing",IF(AND(D84&lt;&gt;"Not started",D84&lt;&gt;"In progress",D84&lt;&gt;"In review",D84&lt;&gt;"Complete"),"Choose a status",""))))</f>
        <v/>
      </c>
      <c r="H84" s="29"/>
      <c r="I84" s="29"/>
      <c r="J84" s="29"/>
      <c r="K84" s="29"/>
    </row>
    <row r="85" customFormat="false" ht="44" hidden="false" customHeight="true" outlineLevel="0" collapsed="false">
      <c r="A85" s="29"/>
      <c r="B85" s="29"/>
      <c r="C85" s="29"/>
      <c r="D85" s="34"/>
      <c r="E85" s="34"/>
      <c r="F85" s="29"/>
      <c r="G85" s="35" t="str">
        <f aca="false">IF(A85="",IF(SUMPRODUCT(--(B85&lt;&gt;""))+SUMPRODUCT(--(D85:F85&lt;&gt;""))+SUMPRODUCT(--(H85:K85&lt;&gt;""))&gt;0,"Missing ID",""),IF(COUNTIF($A$7:$A$307,A85)&gt;1,"Duplicate ID",IF(AND(D85="Complete",E85=""),"Evidence missing",IF(AND(D85&lt;&gt;"Not started",D85&lt;&gt;"In progress",D85&lt;&gt;"In review",D85&lt;&gt;"Complete"),"Choose a status",""))))</f>
        <v/>
      </c>
      <c r="H85" s="29"/>
      <c r="I85" s="29"/>
      <c r="J85" s="29"/>
      <c r="K85" s="29"/>
    </row>
    <row r="86" customFormat="false" ht="44" hidden="false" customHeight="true" outlineLevel="0" collapsed="false">
      <c r="A86" s="29"/>
      <c r="B86" s="29"/>
      <c r="C86" s="29"/>
      <c r="D86" s="34"/>
      <c r="E86" s="34"/>
      <c r="F86" s="29"/>
      <c r="G86" s="35" t="str">
        <f aca="false">IF(A86="",IF(SUMPRODUCT(--(B86&lt;&gt;""))+SUMPRODUCT(--(D86:F86&lt;&gt;""))+SUMPRODUCT(--(H86:K86&lt;&gt;""))&gt;0,"Missing ID",""),IF(COUNTIF($A$7:$A$307,A86)&gt;1,"Duplicate ID",IF(AND(D86="Complete",E86=""),"Evidence missing",IF(AND(D86&lt;&gt;"Not started",D86&lt;&gt;"In progress",D86&lt;&gt;"In review",D86&lt;&gt;"Complete"),"Choose a status",""))))</f>
        <v/>
      </c>
      <c r="H86" s="29"/>
      <c r="I86" s="29"/>
      <c r="J86" s="29"/>
      <c r="K86" s="29"/>
    </row>
    <row r="87" customFormat="false" ht="44" hidden="false" customHeight="true" outlineLevel="0" collapsed="false">
      <c r="A87" s="29"/>
      <c r="B87" s="29"/>
      <c r="C87" s="29"/>
      <c r="D87" s="34"/>
      <c r="E87" s="34"/>
      <c r="F87" s="29"/>
      <c r="G87" s="35" t="str">
        <f aca="false">IF(A87="",IF(SUMPRODUCT(--(B87&lt;&gt;""))+SUMPRODUCT(--(D87:F87&lt;&gt;""))+SUMPRODUCT(--(H87:K87&lt;&gt;""))&gt;0,"Missing ID",""),IF(COUNTIF($A$7:$A$307,A87)&gt;1,"Duplicate ID",IF(AND(D87="Complete",E87=""),"Evidence missing",IF(AND(D87&lt;&gt;"Not started",D87&lt;&gt;"In progress",D87&lt;&gt;"In review",D87&lt;&gt;"Complete"),"Choose a status",""))))</f>
        <v/>
      </c>
      <c r="H87" s="29"/>
      <c r="I87" s="29"/>
      <c r="J87" s="29"/>
      <c r="K87" s="29"/>
    </row>
    <row r="88" customFormat="false" ht="44" hidden="false" customHeight="true" outlineLevel="0" collapsed="false">
      <c r="A88" s="29"/>
      <c r="B88" s="29"/>
      <c r="C88" s="29"/>
      <c r="D88" s="34"/>
      <c r="E88" s="34"/>
      <c r="F88" s="29"/>
      <c r="G88" s="35" t="str">
        <f aca="false">IF(A88="",IF(SUMPRODUCT(--(B88&lt;&gt;""))+SUMPRODUCT(--(D88:F88&lt;&gt;""))+SUMPRODUCT(--(H88:K88&lt;&gt;""))&gt;0,"Missing ID",""),IF(COUNTIF($A$7:$A$307,A88)&gt;1,"Duplicate ID",IF(AND(D88="Complete",E88=""),"Evidence missing",IF(AND(D88&lt;&gt;"Not started",D88&lt;&gt;"In progress",D88&lt;&gt;"In review",D88&lt;&gt;"Complete"),"Choose a status",""))))</f>
        <v/>
      </c>
      <c r="H88" s="29"/>
      <c r="I88" s="29"/>
      <c r="J88" s="29"/>
      <c r="K88" s="29"/>
    </row>
    <row r="89" customFormat="false" ht="44" hidden="false" customHeight="true" outlineLevel="0" collapsed="false">
      <c r="A89" s="29"/>
      <c r="B89" s="29"/>
      <c r="C89" s="29"/>
      <c r="D89" s="34"/>
      <c r="E89" s="34"/>
      <c r="F89" s="29"/>
      <c r="G89" s="35" t="str">
        <f aca="false">IF(A89="",IF(SUMPRODUCT(--(B89&lt;&gt;""))+SUMPRODUCT(--(D89:F89&lt;&gt;""))+SUMPRODUCT(--(H89:K89&lt;&gt;""))&gt;0,"Missing ID",""),IF(COUNTIF($A$7:$A$307,A89)&gt;1,"Duplicate ID",IF(AND(D89="Complete",E89=""),"Evidence missing",IF(AND(D89&lt;&gt;"Not started",D89&lt;&gt;"In progress",D89&lt;&gt;"In review",D89&lt;&gt;"Complete"),"Choose a status",""))))</f>
        <v/>
      </c>
      <c r="H89" s="29"/>
      <c r="I89" s="29"/>
      <c r="J89" s="29"/>
      <c r="K89" s="29"/>
    </row>
    <row r="90" customFormat="false" ht="44" hidden="false" customHeight="true" outlineLevel="0" collapsed="false">
      <c r="A90" s="29"/>
      <c r="B90" s="29"/>
      <c r="C90" s="29"/>
      <c r="D90" s="34"/>
      <c r="E90" s="34"/>
      <c r="F90" s="29"/>
      <c r="G90" s="35" t="str">
        <f aca="false">IF(A90="",IF(SUMPRODUCT(--(B90&lt;&gt;""))+SUMPRODUCT(--(D90:F90&lt;&gt;""))+SUMPRODUCT(--(H90:K90&lt;&gt;""))&gt;0,"Missing ID",""),IF(COUNTIF($A$7:$A$307,A90)&gt;1,"Duplicate ID",IF(AND(D90="Complete",E90=""),"Evidence missing",IF(AND(D90&lt;&gt;"Not started",D90&lt;&gt;"In progress",D90&lt;&gt;"In review",D90&lt;&gt;"Complete"),"Choose a status",""))))</f>
        <v/>
      </c>
      <c r="H90" s="29"/>
      <c r="I90" s="29"/>
      <c r="J90" s="29"/>
      <c r="K90" s="29"/>
    </row>
    <row r="91" customFormat="false" ht="44" hidden="false" customHeight="true" outlineLevel="0" collapsed="false">
      <c r="A91" s="29"/>
      <c r="B91" s="29"/>
      <c r="C91" s="29"/>
      <c r="D91" s="34"/>
      <c r="E91" s="34"/>
      <c r="F91" s="29"/>
      <c r="G91" s="35" t="str">
        <f aca="false">IF(A91="",IF(SUMPRODUCT(--(B91&lt;&gt;""))+SUMPRODUCT(--(D91:F91&lt;&gt;""))+SUMPRODUCT(--(H91:K91&lt;&gt;""))&gt;0,"Missing ID",""),IF(COUNTIF($A$7:$A$307,A91)&gt;1,"Duplicate ID",IF(AND(D91="Complete",E91=""),"Evidence missing",IF(AND(D91&lt;&gt;"Not started",D91&lt;&gt;"In progress",D91&lt;&gt;"In review",D91&lt;&gt;"Complete"),"Choose a status",""))))</f>
        <v/>
      </c>
      <c r="H91" s="29"/>
      <c r="I91" s="29"/>
      <c r="J91" s="29"/>
      <c r="K91" s="29"/>
    </row>
    <row r="92" customFormat="false" ht="44" hidden="false" customHeight="true" outlineLevel="0" collapsed="false">
      <c r="A92" s="29"/>
      <c r="B92" s="29"/>
      <c r="C92" s="29"/>
      <c r="D92" s="34"/>
      <c r="E92" s="34"/>
      <c r="F92" s="29"/>
      <c r="G92" s="35" t="str">
        <f aca="false">IF(A92="",IF(SUMPRODUCT(--(B92&lt;&gt;""))+SUMPRODUCT(--(D92:F92&lt;&gt;""))+SUMPRODUCT(--(H92:K92&lt;&gt;""))&gt;0,"Missing ID",""),IF(COUNTIF($A$7:$A$307,A92)&gt;1,"Duplicate ID",IF(AND(D92="Complete",E92=""),"Evidence missing",IF(AND(D92&lt;&gt;"Not started",D92&lt;&gt;"In progress",D92&lt;&gt;"In review",D92&lt;&gt;"Complete"),"Choose a status",""))))</f>
        <v/>
      </c>
      <c r="H92" s="29"/>
      <c r="I92" s="29"/>
      <c r="J92" s="29"/>
      <c r="K92" s="29"/>
    </row>
    <row r="93" customFormat="false" ht="44" hidden="false" customHeight="true" outlineLevel="0" collapsed="false">
      <c r="A93" s="29"/>
      <c r="B93" s="29"/>
      <c r="C93" s="29"/>
      <c r="D93" s="34"/>
      <c r="E93" s="34"/>
      <c r="F93" s="29"/>
      <c r="G93" s="35" t="str">
        <f aca="false">IF(A93="",IF(SUMPRODUCT(--(B93&lt;&gt;""))+SUMPRODUCT(--(D93:F93&lt;&gt;""))+SUMPRODUCT(--(H93:K93&lt;&gt;""))&gt;0,"Missing ID",""),IF(COUNTIF($A$7:$A$307,A93)&gt;1,"Duplicate ID",IF(AND(D93="Complete",E93=""),"Evidence missing",IF(AND(D93&lt;&gt;"Not started",D93&lt;&gt;"In progress",D93&lt;&gt;"In review",D93&lt;&gt;"Complete"),"Choose a status",""))))</f>
        <v/>
      </c>
      <c r="H93" s="29"/>
      <c r="I93" s="29"/>
      <c r="J93" s="29"/>
      <c r="K93" s="29"/>
    </row>
    <row r="94" customFormat="false" ht="44" hidden="false" customHeight="true" outlineLevel="0" collapsed="false">
      <c r="A94" s="29"/>
      <c r="B94" s="29"/>
      <c r="C94" s="29"/>
      <c r="D94" s="34"/>
      <c r="E94" s="34"/>
      <c r="F94" s="29"/>
      <c r="G94" s="35" t="str">
        <f aca="false">IF(A94="",IF(SUMPRODUCT(--(B94&lt;&gt;""))+SUMPRODUCT(--(D94:F94&lt;&gt;""))+SUMPRODUCT(--(H94:K94&lt;&gt;""))&gt;0,"Missing ID",""),IF(COUNTIF($A$7:$A$307,A94)&gt;1,"Duplicate ID",IF(AND(D94="Complete",E94=""),"Evidence missing",IF(AND(D94&lt;&gt;"Not started",D94&lt;&gt;"In progress",D94&lt;&gt;"In review",D94&lt;&gt;"Complete"),"Choose a status",""))))</f>
        <v/>
      </c>
      <c r="H94" s="29"/>
      <c r="I94" s="29"/>
      <c r="J94" s="29"/>
      <c r="K94" s="29"/>
    </row>
    <row r="95" customFormat="false" ht="44" hidden="false" customHeight="true" outlineLevel="0" collapsed="false">
      <c r="A95" s="29"/>
      <c r="B95" s="29"/>
      <c r="C95" s="29"/>
      <c r="D95" s="34"/>
      <c r="E95" s="34"/>
      <c r="F95" s="29"/>
      <c r="G95" s="35" t="str">
        <f aca="false">IF(A95="",IF(SUMPRODUCT(--(B95&lt;&gt;""))+SUMPRODUCT(--(D95:F95&lt;&gt;""))+SUMPRODUCT(--(H95:K95&lt;&gt;""))&gt;0,"Missing ID",""),IF(COUNTIF($A$7:$A$307,A95)&gt;1,"Duplicate ID",IF(AND(D95="Complete",E95=""),"Evidence missing",IF(AND(D95&lt;&gt;"Not started",D95&lt;&gt;"In progress",D95&lt;&gt;"In review",D95&lt;&gt;"Complete"),"Choose a status",""))))</f>
        <v/>
      </c>
      <c r="H95" s="29"/>
      <c r="I95" s="29"/>
      <c r="J95" s="29"/>
      <c r="K95" s="29"/>
    </row>
    <row r="96" customFormat="false" ht="44" hidden="false" customHeight="true" outlineLevel="0" collapsed="false">
      <c r="A96" s="29"/>
      <c r="B96" s="29"/>
      <c r="C96" s="29"/>
      <c r="D96" s="34"/>
      <c r="E96" s="34"/>
      <c r="F96" s="29"/>
      <c r="G96" s="35" t="str">
        <f aca="false">IF(A96="",IF(SUMPRODUCT(--(B96&lt;&gt;""))+SUMPRODUCT(--(D96:F96&lt;&gt;""))+SUMPRODUCT(--(H96:K96&lt;&gt;""))&gt;0,"Missing ID",""),IF(COUNTIF($A$7:$A$307,A96)&gt;1,"Duplicate ID",IF(AND(D96="Complete",E96=""),"Evidence missing",IF(AND(D96&lt;&gt;"Not started",D96&lt;&gt;"In progress",D96&lt;&gt;"In review",D96&lt;&gt;"Complete"),"Choose a status",""))))</f>
        <v/>
      </c>
      <c r="H96" s="29"/>
      <c r="I96" s="29"/>
      <c r="J96" s="29"/>
      <c r="K96" s="29"/>
    </row>
    <row r="97" customFormat="false" ht="44" hidden="false" customHeight="true" outlineLevel="0" collapsed="false">
      <c r="A97" s="29"/>
      <c r="B97" s="29"/>
      <c r="C97" s="29"/>
      <c r="D97" s="34"/>
      <c r="E97" s="34"/>
      <c r="F97" s="29"/>
      <c r="G97" s="35" t="str">
        <f aca="false">IF(A97="",IF(SUMPRODUCT(--(B97&lt;&gt;""))+SUMPRODUCT(--(D97:F97&lt;&gt;""))+SUMPRODUCT(--(H97:K97&lt;&gt;""))&gt;0,"Missing ID",""),IF(COUNTIF($A$7:$A$307,A97)&gt;1,"Duplicate ID",IF(AND(D97="Complete",E97=""),"Evidence missing",IF(AND(D97&lt;&gt;"Not started",D97&lt;&gt;"In progress",D97&lt;&gt;"In review",D97&lt;&gt;"Complete"),"Choose a status",""))))</f>
        <v/>
      </c>
      <c r="H97" s="29"/>
      <c r="I97" s="29"/>
      <c r="J97" s="29"/>
      <c r="K97" s="29"/>
    </row>
    <row r="98" customFormat="false" ht="44" hidden="false" customHeight="true" outlineLevel="0" collapsed="false">
      <c r="A98" s="29"/>
      <c r="B98" s="29"/>
      <c r="C98" s="29"/>
      <c r="D98" s="34"/>
      <c r="E98" s="34"/>
      <c r="F98" s="29"/>
      <c r="G98" s="35" t="str">
        <f aca="false">IF(A98="",IF(SUMPRODUCT(--(B98&lt;&gt;""))+SUMPRODUCT(--(D98:F98&lt;&gt;""))+SUMPRODUCT(--(H98:K98&lt;&gt;""))&gt;0,"Missing ID",""),IF(COUNTIF($A$7:$A$307,A98)&gt;1,"Duplicate ID",IF(AND(D98="Complete",E98=""),"Evidence missing",IF(AND(D98&lt;&gt;"Not started",D98&lt;&gt;"In progress",D98&lt;&gt;"In review",D98&lt;&gt;"Complete"),"Choose a status",""))))</f>
        <v/>
      </c>
      <c r="H98" s="29"/>
      <c r="I98" s="29"/>
      <c r="J98" s="29"/>
      <c r="K98" s="29"/>
    </row>
    <row r="99" customFormat="false" ht="44" hidden="false" customHeight="true" outlineLevel="0" collapsed="false">
      <c r="A99" s="29"/>
      <c r="B99" s="29"/>
      <c r="C99" s="29"/>
      <c r="D99" s="34"/>
      <c r="E99" s="34"/>
      <c r="F99" s="29"/>
      <c r="G99" s="35" t="str">
        <f aca="false">IF(A99="",IF(SUMPRODUCT(--(B99&lt;&gt;""))+SUMPRODUCT(--(D99:F99&lt;&gt;""))+SUMPRODUCT(--(H99:K99&lt;&gt;""))&gt;0,"Missing ID",""),IF(COUNTIF($A$7:$A$307,A99)&gt;1,"Duplicate ID",IF(AND(D99="Complete",E99=""),"Evidence missing",IF(AND(D99&lt;&gt;"Not started",D99&lt;&gt;"In progress",D99&lt;&gt;"In review",D99&lt;&gt;"Complete"),"Choose a status",""))))</f>
        <v/>
      </c>
      <c r="H99" s="29"/>
      <c r="I99" s="29"/>
      <c r="J99" s="29"/>
      <c r="K99" s="29"/>
    </row>
    <row r="100" customFormat="false" ht="44" hidden="false" customHeight="true" outlineLevel="0" collapsed="false">
      <c r="A100" s="29"/>
      <c r="B100" s="29"/>
      <c r="C100" s="29"/>
      <c r="D100" s="34"/>
      <c r="E100" s="34"/>
      <c r="F100" s="29"/>
      <c r="G100" s="35" t="str">
        <f aca="false">IF(A100="",IF(SUMPRODUCT(--(B100&lt;&gt;""))+SUMPRODUCT(--(D100:F100&lt;&gt;""))+SUMPRODUCT(--(H100:K100&lt;&gt;""))&gt;0,"Missing ID",""),IF(COUNTIF($A$7:$A$307,A100)&gt;1,"Duplicate ID",IF(AND(D100="Complete",E100=""),"Evidence missing",IF(AND(D100&lt;&gt;"Not started",D100&lt;&gt;"In progress",D100&lt;&gt;"In review",D100&lt;&gt;"Complete"),"Choose a status",""))))</f>
        <v/>
      </c>
      <c r="H100" s="29"/>
      <c r="I100" s="29"/>
      <c r="J100" s="29"/>
      <c r="K100" s="29"/>
    </row>
    <row r="101" customFormat="false" ht="44" hidden="false" customHeight="true" outlineLevel="0" collapsed="false">
      <c r="A101" s="29"/>
      <c r="B101" s="29"/>
      <c r="C101" s="29"/>
      <c r="D101" s="34"/>
      <c r="E101" s="34"/>
      <c r="F101" s="29"/>
      <c r="G101" s="35" t="str">
        <f aca="false">IF(A101="",IF(SUMPRODUCT(--(B101&lt;&gt;""))+SUMPRODUCT(--(D101:F101&lt;&gt;""))+SUMPRODUCT(--(H101:K101&lt;&gt;""))&gt;0,"Missing ID",""),IF(COUNTIF($A$7:$A$307,A101)&gt;1,"Duplicate ID",IF(AND(D101="Complete",E101=""),"Evidence missing",IF(AND(D101&lt;&gt;"Not started",D101&lt;&gt;"In progress",D101&lt;&gt;"In review",D101&lt;&gt;"Complete"),"Choose a status",""))))</f>
        <v/>
      </c>
      <c r="H101" s="29"/>
      <c r="I101" s="29"/>
      <c r="J101" s="29"/>
      <c r="K101" s="29"/>
    </row>
    <row r="102" customFormat="false" ht="44" hidden="false" customHeight="true" outlineLevel="0" collapsed="false">
      <c r="A102" s="29"/>
      <c r="B102" s="29"/>
      <c r="C102" s="29"/>
      <c r="D102" s="34"/>
      <c r="E102" s="34"/>
      <c r="F102" s="29"/>
      <c r="G102" s="35" t="str">
        <f aca="false">IF(A102="",IF(SUMPRODUCT(--(B102&lt;&gt;""))+SUMPRODUCT(--(D102:F102&lt;&gt;""))+SUMPRODUCT(--(H102:K102&lt;&gt;""))&gt;0,"Missing ID",""),IF(COUNTIF($A$7:$A$307,A102)&gt;1,"Duplicate ID",IF(AND(D102="Complete",E102=""),"Evidence missing",IF(AND(D102&lt;&gt;"Not started",D102&lt;&gt;"In progress",D102&lt;&gt;"In review",D102&lt;&gt;"Complete"),"Choose a status",""))))</f>
        <v/>
      </c>
      <c r="H102" s="29"/>
      <c r="I102" s="29"/>
      <c r="J102" s="29"/>
      <c r="K102" s="29"/>
    </row>
    <row r="103" customFormat="false" ht="44" hidden="false" customHeight="true" outlineLevel="0" collapsed="false">
      <c r="A103" s="29"/>
      <c r="B103" s="29"/>
      <c r="C103" s="29"/>
      <c r="D103" s="34"/>
      <c r="E103" s="34"/>
      <c r="F103" s="29"/>
      <c r="G103" s="35" t="str">
        <f aca="false">IF(A103="",IF(SUMPRODUCT(--(B103&lt;&gt;""))+SUMPRODUCT(--(D103:F103&lt;&gt;""))+SUMPRODUCT(--(H103:K103&lt;&gt;""))&gt;0,"Missing ID",""),IF(COUNTIF($A$7:$A$307,A103)&gt;1,"Duplicate ID",IF(AND(D103="Complete",E103=""),"Evidence missing",IF(AND(D103&lt;&gt;"Not started",D103&lt;&gt;"In progress",D103&lt;&gt;"In review",D103&lt;&gt;"Complete"),"Choose a status",""))))</f>
        <v/>
      </c>
      <c r="H103" s="29"/>
      <c r="I103" s="29"/>
      <c r="J103" s="29"/>
      <c r="K103" s="29"/>
    </row>
    <row r="104" customFormat="false" ht="44" hidden="false" customHeight="true" outlineLevel="0" collapsed="false">
      <c r="A104" s="29"/>
      <c r="B104" s="29"/>
      <c r="C104" s="29"/>
      <c r="D104" s="34"/>
      <c r="E104" s="34"/>
      <c r="F104" s="29"/>
      <c r="G104" s="35" t="str">
        <f aca="false">IF(A104="",IF(SUMPRODUCT(--(B104&lt;&gt;""))+SUMPRODUCT(--(D104:F104&lt;&gt;""))+SUMPRODUCT(--(H104:K104&lt;&gt;""))&gt;0,"Missing ID",""),IF(COUNTIF($A$7:$A$307,A104)&gt;1,"Duplicate ID",IF(AND(D104="Complete",E104=""),"Evidence missing",IF(AND(D104&lt;&gt;"Not started",D104&lt;&gt;"In progress",D104&lt;&gt;"In review",D104&lt;&gt;"Complete"),"Choose a status",""))))</f>
        <v/>
      </c>
      <c r="H104" s="29"/>
      <c r="I104" s="29"/>
      <c r="J104" s="29"/>
      <c r="K104" s="29"/>
    </row>
    <row r="105" customFormat="false" ht="44" hidden="false" customHeight="true" outlineLevel="0" collapsed="false">
      <c r="A105" s="29"/>
      <c r="B105" s="29"/>
      <c r="C105" s="29"/>
      <c r="D105" s="34"/>
      <c r="E105" s="34"/>
      <c r="F105" s="29"/>
      <c r="G105" s="35" t="str">
        <f aca="false">IF(A105="",IF(SUMPRODUCT(--(B105&lt;&gt;""))+SUMPRODUCT(--(D105:F105&lt;&gt;""))+SUMPRODUCT(--(H105:K105&lt;&gt;""))&gt;0,"Missing ID",""),IF(COUNTIF($A$7:$A$307,A105)&gt;1,"Duplicate ID",IF(AND(D105="Complete",E105=""),"Evidence missing",IF(AND(D105&lt;&gt;"Not started",D105&lt;&gt;"In progress",D105&lt;&gt;"In review",D105&lt;&gt;"Complete"),"Choose a status",""))))</f>
        <v/>
      </c>
      <c r="H105" s="29"/>
      <c r="I105" s="29"/>
      <c r="J105" s="29"/>
      <c r="K105" s="29"/>
    </row>
    <row r="106" customFormat="false" ht="44" hidden="false" customHeight="true" outlineLevel="0" collapsed="false">
      <c r="A106" s="29"/>
      <c r="B106" s="29"/>
      <c r="C106" s="29"/>
      <c r="D106" s="34"/>
      <c r="E106" s="34"/>
      <c r="F106" s="29"/>
      <c r="G106" s="35" t="str">
        <f aca="false">IF(A106="",IF(SUMPRODUCT(--(B106&lt;&gt;""))+SUMPRODUCT(--(D106:F106&lt;&gt;""))+SUMPRODUCT(--(H106:K106&lt;&gt;""))&gt;0,"Missing ID",""),IF(COUNTIF($A$7:$A$307,A106)&gt;1,"Duplicate ID",IF(AND(D106="Complete",E106=""),"Evidence missing",IF(AND(D106&lt;&gt;"Not started",D106&lt;&gt;"In progress",D106&lt;&gt;"In review",D106&lt;&gt;"Complete"),"Choose a status",""))))</f>
        <v/>
      </c>
      <c r="H106" s="29"/>
      <c r="I106" s="29"/>
      <c r="J106" s="29"/>
      <c r="K106" s="29"/>
    </row>
    <row r="107" customFormat="false" ht="44" hidden="false" customHeight="true" outlineLevel="0" collapsed="false">
      <c r="A107" s="29"/>
      <c r="B107" s="29"/>
      <c r="C107" s="29"/>
      <c r="D107" s="34"/>
      <c r="E107" s="34"/>
      <c r="F107" s="29"/>
      <c r="G107" s="35" t="str">
        <f aca="false">IF(A107="",IF(SUMPRODUCT(--(B107&lt;&gt;""))+SUMPRODUCT(--(D107:F107&lt;&gt;""))+SUMPRODUCT(--(H107:K107&lt;&gt;""))&gt;0,"Missing ID",""),IF(COUNTIF($A$7:$A$307,A107)&gt;1,"Duplicate ID",IF(AND(D107="Complete",E107=""),"Evidence missing",IF(AND(D107&lt;&gt;"Not started",D107&lt;&gt;"In progress",D107&lt;&gt;"In review",D107&lt;&gt;"Complete"),"Choose a status",""))))</f>
        <v/>
      </c>
      <c r="H107" s="29"/>
      <c r="I107" s="29"/>
      <c r="J107" s="29"/>
      <c r="K107" s="29"/>
    </row>
    <row r="108" customFormat="false" ht="44" hidden="false" customHeight="true" outlineLevel="0" collapsed="false">
      <c r="A108" s="29"/>
      <c r="B108" s="29"/>
      <c r="C108" s="29"/>
      <c r="D108" s="34"/>
      <c r="E108" s="34"/>
      <c r="F108" s="29"/>
      <c r="G108" s="35" t="str">
        <f aca="false">IF(A108="",IF(SUMPRODUCT(--(B108&lt;&gt;""))+SUMPRODUCT(--(D108:F108&lt;&gt;""))+SUMPRODUCT(--(H108:K108&lt;&gt;""))&gt;0,"Missing ID",""),IF(COUNTIF($A$7:$A$307,A108)&gt;1,"Duplicate ID",IF(AND(D108="Complete",E108=""),"Evidence missing",IF(AND(D108&lt;&gt;"Not started",D108&lt;&gt;"In progress",D108&lt;&gt;"In review",D108&lt;&gt;"Complete"),"Choose a status",""))))</f>
        <v/>
      </c>
      <c r="H108" s="29"/>
      <c r="I108" s="29"/>
      <c r="J108" s="29"/>
      <c r="K108" s="29"/>
    </row>
    <row r="109" customFormat="false" ht="44" hidden="false" customHeight="true" outlineLevel="0" collapsed="false">
      <c r="A109" s="29"/>
      <c r="B109" s="29"/>
      <c r="C109" s="29"/>
      <c r="D109" s="34"/>
      <c r="E109" s="34"/>
      <c r="F109" s="29"/>
      <c r="G109" s="35" t="str">
        <f aca="false">IF(A109="",IF(SUMPRODUCT(--(B109&lt;&gt;""))+SUMPRODUCT(--(D109:F109&lt;&gt;""))+SUMPRODUCT(--(H109:K109&lt;&gt;""))&gt;0,"Missing ID",""),IF(COUNTIF($A$7:$A$307,A109)&gt;1,"Duplicate ID",IF(AND(D109="Complete",E109=""),"Evidence missing",IF(AND(D109&lt;&gt;"Not started",D109&lt;&gt;"In progress",D109&lt;&gt;"In review",D109&lt;&gt;"Complete"),"Choose a status",""))))</f>
        <v/>
      </c>
      <c r="H109" s="29"/>
      <c r="I109" s="29"/>
      <c r="J109" s="29"/>
      <c r="K109" s="29"/>
    </row>
    <row r="110" customFormat="false" ht="44" hidden="false" customHeight="true" outlineLevel="0" collapsed="false">
      <c r="A110" s="29"/>
      <c r="B110" s="29"/>
      <c r="C110" s="29"/>
      <c r="D110" s="34"/>
      <c r="E110" s="34"/>
      <c r="F110" s="29"/>
      <c r="G110" s="35" t="str">
        <f aca="false">IF(A110="",IF(SUMPRODUCT(--(B110&lt;&gt;""))+SUMPRODUCT(--(D110:F110&lt;&gt;""))+SUMPRODUCT(--(H110:K110&lt;&gt;""))&gt;0,"Missing ID",""),IF(COUNTIF($A$7:$A$307,A110)&gt;1,"Duplicate ID",IF(AND(D110="Complete",E110=""),"Evidence missing",IF(AND(D110&lt;&gt;"Not started",D110&lt;&gt;"In progress",D110&lt;&gt;"In review",D110&lt;&gt;"Complete"),"Choose a status",""))))</f>
        <v/>
      </c>
      <c r="H110" s="29"/>
      <c r="I110" s="29"/>
      <c r="J110" s="29"/>
      <c r="K110" s="29"/>
    </row>
    <row r="111" customFormat="false" ht="44" hidden="false" customHeight="true" outlineLevel="0" collapsed="false">
      <c r="A111" s="29"/>
      <c r="B111" s="29"/>
      <c r="C111" s="29"/>
      <c r="D111" s="34"/>
      <c r="E111" s="34"/>
      <c r="F111" s="29"/>
      <c r="G111" s="35" t="str">
        <f aca="false">IF(A111="",IF(SUMPRODUCT(--(B111&lt;&gt;""))+SUMPRODUCT(--(D111:F111&lt;&gt;""))+SUMPRODUCT(--(H111:K111&lt;&gt;""))&gt;0,"Missing ID",""),IF(COUNTIF($A$7:$A$307,A111)&gt;1,"Duplicate ID",IF(AND(D111="Complete",E111=""),"Evidence missing",IF(AND(D111&lt;&gt;"Not started",D111&lt;&gt;"In progress",D111&lt;&gt;"In review",D111&lt;&gt;"Complete"),"Choose a status",""))))</f>
        <v/>
      </c>
      <c r="H111" s="29"/>
      <c r="I111" s="29"/>
      <c r="J111" s="29"/>
      <c r="K111" s="29"/>
    </row>
    <row r="112" customFormat="false" ht="44" hidden="false" customHeight="true" outlineLevel="0" collapsed="false">
      <c r="A112" s="29"/>
      <c r="B112" s="29"/>
      <c r="C112" s="29"/>
      <c r="D112" s="34"/>
      <c r="E112" s="34"/>
      <c r="F112" s="29"/>
      <c r="G112" s="35" t="str">
        <f aca="false">IF(A112="",IF(SUMPRODUCT(--(B112&lt;&gt;""))+SUMPRODUCT(--(D112:F112&lt;&gt;""))+SUMPRODUCT(--(H112:K112&lt;&gt;""))&gt;0,"Missing ID",""),IF(COUNTIF($A$7:$A$307,A112)&gt;1,"Duplicate ID",IF(AND(D112="Complete",E112=""),"Evidence missing",IF(AND(D112&lt;&gt;"Not started",D112&lt;&gt;"In progress",D112&lt;&gt;"In review",D112&lt;&gt;"Complete"),"Choose a status",""))))</f>
        <v/>
      </c>
      <c r="H112" s="29"/>
      <c r="I112" s="29"/>
      <c r="J112" s="29"/>
      <c r="K112" s="29"/>
    </row>
    <row r="113" customFormat="false" ht="44" hidden="false" customHeight="true" outlineLevel="0" collapsed="false">
      <c r="A113" s="29"/>
      <c r="B113" s="29"/>
      <c r="C113" s="29"/>
      <c r="D113" s="34"/>
      <c r="E113" s="34"/>
      <c r="F113" s="29"/>
      <c r="G113" s="35" t="str">
        <f aca="false">IF(A113="",IF(SUMPRODUCT(--(B113&lt;&gt;""))+SUMPRODUCT(--(D113:F113&lt;&gt;""))+SUMPRODUCT(--(H113:K113&lt;&gt;""))&gt;0,"Missing ID",""),IF(COUNTIF($A$7:$A$307,A113)&gt;1,"Duplicate ID",IF(AND(D113="Complete",E113=""),"Evidence missing",IF(AND(D113&lt;&gt;"Not started",D113&lt;&gt;"In progress",D113&lt;&gt;"In review",D113&lt;&gt;"Complete"),"Choose a status",""))))</f>
        <v/>
      </c>
      <c r="H113" s="29"/>
      <c r="I113" s="29"/>
      <c r="J113" s="29"/>
      <c r="K113" s="29"/>
    </row>
    <row r="114" customFormat="false" ht="44" hidden="false" customHeight="true" outlineLevel="0" collapsed="false">
      <c r="A114" s="29"/>
      <c r="B114" s="29"/>
      <c r="C114" s="29"/>
      <c r="D114" s="34"/>
      <c r="E114" s="34"/>
      <c r="F114" s="29"/>
      <c r="G114" s="35" t="str">
        <f aca="false">IF(A114="",IF(SUMPRODUCT(--(B114&lt;&gt;""))+SUMPRODUCT(--(D114:F114&lt;&gt;""))+SUMPRODUCT(--(H114:K114&lt;&gt;""))&gt;0,"Missing ID",""),IF(COUNTIF($A$7:$A$307,A114)&gt;1,"Duplicate ID",IF(AND(D114="Complete",E114=""),"Evidence missing",IF(AND(D114&lt;&gt;"Not started",D114&lt;&gt;"In progress",D114&lt;&gt;"In review",D114&lt;&gt;"Complete"),"Choose a status",""))))</f>
        <v/>
      </c>
      <c r="H114" s="29"/>
      <c r="I114" s="29"/>
      <c r="J114" s="29"/>
      <c r="K114" s="29"/>
    </row>
    <row r="115" customFormat="false" ht="44" hidden="false" customHeight="true" outlineLevel="0" collapsed="false">
      <c r="A115" s="29"/>
      <c r="B115" s="29"/>
      <c r="C115" s="29"/>
      <c r="D115" s="34"/>
      <c r="E115" s="34"/>
      <c r="F115" s="29"/>
      <c r="G115" s="35" t="str">
        <f aca="false">IF(A115="",IF(SUMPRODUCT(--(B115&lt;&gt;""))+SUMPRODUCT(--(D115:F115&lt;&gt;""))+SUMPRODUCT(--(H115:K115&lt;&gt;""))&gt;0,"Missing ID",""),IF(COUNTIF($A$7:$A$307,A115)&gt;1,"Duplicate ID",IF(AND(D115="Complete",E115=""),"Evidence missing",IF(AND(D115&lt;&gt;"Not started",D115&lt;&gt;"In progress",D115&lt;&gt;"In review",D115&lt;&gt;"Complete"),"Choose a status",""))))</f>
        <v/>
      </c>
      <c r="H115" s="29"/>
      <c r="I115" s="29"/>
      <c r="J115" s="29"/>
      <c r="K115" s="29"/>
    </row>
    <row r="116" customFormat="false" ht="44" hidden="false" customHeight="true" outlineLevel="0" collapsed="false">
      <c r="A116" s="29"/>
      <c r="B116" s="29"/>
      <c r="C116" s="29"/>
      <c r="D116" s="34"/>
      <c r="E116" s="34"/>
      <c r="F116" s="29"/>
      <c r="G116" s="35" t="str">
        <f aca="false">IF(A116="",IF(SUMPRODUCT(--(B116&lt;&gt;""))+SUMPRODUCT(--(D116:F116&lt;&gt;""))+SUMPRODUCT(--(H116:K116&lt;&gt;""))&gt;0,"Missing ID",""),IF(COUNTIF($A$7:$A$307,A116)&gt;1,"Duplicate ID",IF(AND(D116="Complete",E116=""),"Evidence missing",IF(AND(D116&lt;&gt;"Not started",D116&lt;&gt;"In progress",D116&lt;&gt;"In review",D116&lt;&gt;"Complete"),"Choose a status",""))))</f>
        <v/>
      </c>
      <c r="H116" s="29"/>
      <c r="I116" s="29"/>
      <c r="J116" s="29"/>
      <c r="K116" s="29"/>
    </row>
    <row r="117" customFormat="false" ht="44" hidden="false" customHeight="true" outlineLevel="0" collapsed="false">
      <c r="A117" s="29"/>
      <c r="B117" s="29"/>
      <c r="C117" s="29"/>
      <c r="D117" s="34"/>
      <c r="E117" s="34"/>
      <c r="F117" s="29"/>
      <c r="G117" s="35" t="str">
        <f aca="false">IF(A117="",IF(SUMPRODUCT(--(B117&lt;&gt;""))+SUMPRODUCT(--(D117:F117&lt;&gt;""))+SUMPRODUCT(--(H117:K117&lt;&gt;""))&gt;0,"Missing ID",""),IF(COUNTIF($A$7:$A$307,A117)&gt;1,"Duplicate ID",IF(AND(D117="Complete",E117=""),"Evidence missing",IF(AND(D117&lt;&gt;"Not started",D117&lt;&gt;"In progress",D117&lt;&gt;"In review",D117&lt;&gt;"Complete"),"Choose a status",""))))</f>
        <v/>
      </c>
      <c r="H117" s="29"/>
      <c r="I117" s="29"/>
      <c r="J117" s="29"/>
      <c r="K117" s="29"/>
    </row>
    <row r="118" customFormat="false" ht="44" hidden="false" customHeight="true" outlineLevel="0" collapsed="false">
      <c r="A118" s="29"/>
      <c r="B118" s="29"/>
      <c r="C118" s="29"/>
      <c r="D118" s="34"/>
      <c r="E118" s="34"/>
      <c r="F118" s="29"/>
      <c r="G118" s="35" t="str">
        <f aca="false">IF(A118="",IF(SUMPRODUCT(--(B118&lt;&gt;""))+SUMPRODUCT(--(D118:F118&lt;&gt;""))+SUMPRODUCT(--(H118:K118&lt;&gt;""))&gt;0,"Missing ID",""),IF(COUNTIF($A$7:$A$307,A118)&gt;1,"Duplicate ID",IF(AND(D118="Complete",E118=""),"Evidence missing",IF(AND(D118&lt;&gt;"Not started",D118&lt;&gt;"In progress",D118&lt;&gt;"In review",D118&lt;&gt;"Complete"),"Choose a status",""))))</f>
        <v/>
      </c>
      <c r="H118" s="29"/>
      <c r="I118" s="29"/>
      <c r="J118" s="29"/>
      <c r="K118" s="29"/>
    </row>
    <row r="119" customFormat="false" ht="44" hidden="false" customHeight="true" outlineLevel="0" collapsed="false">
      <c r="A119" s="29"/>
      <c r="B119" s="29"/>
      <c r="C119" s="29"/>
      <c r="D119" s="34"/>
      <c r="E119" s="34"/>
      <c r="F119" s="29"/>
      <c r="G119" s="35" t="str">
        <f aca="false">IF(A119="",IF(SUMPRODUCT(--(B119&lt;&gt;""))+SUMPRODUCT(--(D119:F119&lt;&gt;""))+SUMPRODUCT(--(H119:K119&lt;&gt;""))&gt;0,"Missing ID",""),IF(COUNTIF($A$7:$A$307,A119)&gt;1,"Duplicate ID",IF(AND(D119="Complete",E119=""),"Evidence missing",IF(AND(D119&lt;&gt;"Not started",D119&lt;&gt;"In progress",D119&lt;&gt;"In review",D119&lt;&gt;"Complete"),"Choose a status",""))))</f>
        <v/>
      </c>
      <c r="H119" s="29"/>
      <c r="I119" s="29"/>
      <c r="J119" s="29"/>
      <c r="K119" s="29"/>
    </row>
    <row r="120" customFormat="false" ht="44" hidden="false" customHeight="true" outlineLevel="0" collapsed="false">
      <c r="A120" s="29"/>
      <c r="B120" s="29"/>
      <c r="C120" s="29"/>
      <c r="D120" s="34"/>
      <c r="E120" s="34"/>
      <c r="F120" s="29"/>
      <c r="G120" s="35" t="str">
        <f aca="false">IF(A120="",IF(SUMPRODUCT(--(B120&lt;&gt;""))+SUMPRODUCT(--(D120:F120&lt;&gt;""))+SUMPRODUCT(--(H120:K120&lt;&gt;""))&gt;0,"Missing ID",""),IF(COUNTIF($A$7:$A$307,A120)&gt;1,"Duplicate ID",IF(AND(D120="Complete",E120=""),"Evidence missing",IF(AND(D120&lt;&gt;"Not started",D120&lt;&gt;"In progress",D120&lt;&gt;"In review",D120&lt;&gt;"Complete"),"Choose a status",""))))</f>
        <v/>
      </c>
      <c r="H120" s="29"/>
      <c r="I120" s="29"/>
      <c r="J120" s="29"/>
      <c r="K120" s="29"/>
    </row>
    <row r="121" customFormat="false" ht="44" hidden="false" customHeight="true" outlineLevel="0" collapsed="false">
      <c r="A121" s="29"/>
      <c r="B121" s="29"/>
      <c r="C121" s="29"/>
      <c r="D121" s="34"/>
      <c r="E121" s="34"/>
      <c r="F121" s="29"/>
      <c r="G121" s="35" t="str">
        <f aca="false">IF(A121="",IF(SUMPRODUCT(--(B121&lt;&gt;""))+SUMPRODUCT(--(D121:F121&lt;&gt;""))+SUMPRODUCT(--(H121:K121&lt;&gt;""))&gt;0,"Missing ID",""),IF(COUNTIF($A$7:$A$307,A121)&gt;1,"Duplicate ID",IF(AND(D121="Complete",E121=""),"Evidence missing",IF(AND(D121&lt;&gt;"Not started",D121&lt;&gt;"In progress",D121&lt;&gt;"In review",D121&lt;&gt;"Complete"),"Choose a status",""))))</f>
        <v/>
      </c>
      <c r="H121" s="29"/>
      <c r="I121" s="29"/>
      <c r="J121" s="29"/>
      <c r="K121" s="29"/>
    </row>
    <row r="122" customFormat="false" ht="44" hidden="false" customHeight="true" outlineLevel="0" collapsed="false">
      <c r="A122" s="29"/>
      <c r="B122" s="29"/>
      <c r="C122" s="29"/>
      <c r="D122" s="34"/>
      <c r="E122" s="34"/>
      <c r="F122" s="29"/>
      <c r="G122" s="35" t="str">
        <f aca="false">IF(A122="",IF(SUMPRODUCT(--(B122&lt;&gt;""))+SUMPRODUCT(--(D122:F122&lt;&gt;""))+SUMPRODUCT(--(H122:K122&lt;&gt;""))&gt;0,"Missing ID",""),IF(COUNTIF($A$7:$A$307,A122)&gt;1,"Duplicate ID",IF(AND(D122="Complete",E122=""),"Evidence missing",IF(AND(D122&lt;&gt;"Not started",D122&lt;&gt;"In progress",D122&lt;&gt;"In review",D122&lt;&gt;"Complete"),"Choose a status",""))))</f>
        <v/>
      </c>
      <c r="H122" s="29"/>
      <c r="I122" s="29"/>
      <c r="J122" s="29"/>
      <c r="K122" s="29"/>
    </row>
    <row r="123" customFormat="false" ht="44" hidden="false" customHeight="true" outlineLevel="0" collapsed="false">
      <c r="A123" s="29"/>
      <c r="B123" s="29"/>
      <c r="C123" s="29"/>
      <c r="D123" s="34"/>
      <c r="E123" s="34"/>
      <c r="F123" s="29"/>
      <c r="G123" s="35" t="str">
        <f aca="false">IF(A123="",IF(SUMPRODUCT(--(B123&lt;&gt;""))+SUMPRODUCT(--(D123:F123&lt;&gt;""))+SUMPRODUCT(--(H123:K123&lt;&gt;""))&gt;0,"Missing ID",""),IF(COUNTIF($A$7:$A$307,A123)&gt;1,"Duplicate ID",IF(AND(D123="Complete",E123=""),"Evidence missing",IF(AND(D123&lt;&gt;"Not started",D123&lt;&gt;"In progress",D123&lt;&gt;"In review",D123&lt;&gt;"Complete"),"Choose a status",""))))</f>
        <v/>
      </c>
      <c r="H123" s="29"/>
      <c r="I123" s="29"/>
      <c r="J123" s="29"/>
      <c r="K123" s="29"/>
    </row>
    <row r="124" customFormat="false" ht="44" hidden="false" customHeight="true" outlineLevel="0" collapsed="false">
      <c r="A124" s="29"/>
      <c r="B124" s="29"/>
      <c r="C124" s="29"/>
      <c r="D124" s="34"/>
      <c r="E124" s="34"/>
      <c r="F124" s="29"/>
      <c r="G124" s="35" t="str">
        <f aca="false">IF(A124="",IF(SUMPRODUCT(--(B124&lt;&gt;""))+SUMPRODUCT(--(D124:F124&lt;&gt;""))+SUMPRODUCT(--(H124:K124&lt;&gt;""))&gt;0,"Missing ID",""),IF(COUNTIF($A$7:$A$307,A124)&gt;1,"Duplicate ID",IF(AND(D124="Complete",E124=""),"Evidence missing",IF(AND(D124&lt;&gt;"Not started",D124&lt;&gt;"In progress",D124&lt;&gt;"In review",D124&lt;&gt;"Complete"),"Choose a status",""))))</f>
        <v/>
      </c>
      <c r="H124" s="29"/>
      <c r="I124" s="29"/>
      <c r="J124" s="29"/>
      <c r="K124" s="29"/>
    </row>
    <row r="125" customFormat="false" ht="44" hidden="false" customHeight="true" outlineLevel="0" collapsed="false">
      <c r="A125" s="29"/>
      <c r="B125" s="29"/>
      <c r="C125" s="29"/>
      <c r="D125" s="34"/>
      <c r="E125" s="34"/>
      <c r="F125" s="29"/>
      <c r="G125" s="35" t="str">
        <f aca="false">IF(A125="",IF(SUMPRODUCT(--(B125&lt;&gt;""))+SUMPRODUCT(--(D125:F125&lt;&gt;""))+SUMPRODUCT(--(H125:K125&lt;&gt;""))&gt;0,"Missing ID",""),IF(COUNTIF($A$7:$A$307,A125)&gt;1,"Duplicate ID",IF(AND(D125="Complete",E125=""),"Evidence missing",IF(AND(D125&lt;&gt;"Not started",D125&lt;&gt;"In progress",D125&lt;&gt;"In review",D125&lt;&gt;"Complete"),"Choose a status",""))))</f>
        <v/>
      </c>
      <c r="H125" s="29"/>
      <c r="I125" s="29"/>
      <c r="J125" s="29"/>
      <c r="K125" s="29"/>
    </row>
    <row r="126" customFormat="false" ht="44" hidden="false" customHeight="true" outlineLevel="0" collapsed="false">
      <c r="A126" s="29"/>
      <c r="B126" s="29"/>
      <c r="C126" s="29"/>
      <c r="D126" s="34"/>
      <c r="E126" s="34"/>
      <c r="F126" s="29"/>
      <c r="G126" s="35" t="str">
        <f aca="false">IF(A126="",IF(SUMPRODUCT(--(B126&lt;&gt;""))+SUMPRODUCT(--(D126:F126&lt;&gt;""))+SUMPRODUCT(--(H126:K126&lt;&gt;""))&gt;0,"Missing ID",""),IF(COUNTIF($A$7:$A$307,A126)&gt;1,"Duplicate ID",IF(AND(D126="Complete",E126=""),"Evidence missing",IF(AND(D126&lt;&gt;"Not started",D126&lt;&gt;"In progress",D126&lt;&gt;"In review",D126&lt;&gt;"Complete"),"Choose a status",""))))</f>
        <v/>
      </c>
      <c r="H126" s="29"/>
      <c r="I126" s="29"/>
      <c r="J126" s="29"/>
      <c r="K126" s="29"/>
    </row>
    <row r="127" customFormat="false" ht="44" hidden="false" customHeight="true" outlineLevel="0" collapsed="false">
      <c r="A127" s="29"/>
      <c r="B127" s="29"/>
      <c r="C127" s="29"/>
      <c r="D127" s="34"/>
      <c r="E127" s="34"/>
      <c r="F127" s="29"/>
      <c r="G127" s="35" t="str">
        <f aca="false">IF(A127="",IF(SUMPRODUCT(--(B127&lt;&gt;""))+SUMPRODUCT(--(D127:F127&lt;&gt;""))+SUMPRODUCT(--(H127:K127&lt;&gt;""))&gt;0,"Missing ID",""),IF(COUNTIF($A$7:$A$307,A127)&gt;1,"Duplicate ID",IF(AND(D127="Complete",E127=""),"Evidence missing",IF(AND(D127&lt;&gt;"Not started",D127&lt;&gt;"In progress",D127&lt;&gt;"In review",D127&lt;&gt;"Complete"),"Choose a status",""))))</f>
        <v/>
      </c>
      <c r="H127" s="29"/>
      <c r="I127" s="29"/>
      <c r="J127" s="29"/>
      <c r="K127" s="29"/>
    </row>
    <row r="128" customFormat="false" ht="44" hidden="false" customHeight="true" outlineLevel="0" collapsed="false">
      <c r="A128" s="29"/>
      <c r="B128" s="29"/>
      <c r="C128" s="29"/>
      <c r="D128" s="34"/>
      <c r="E128" s="34"/>
      <c r="F128" s="29"/>
      <c r="G128" s="35" t="str">
        <f aca="false">IF(A128="",IF(SUMPRODUCT(--(B128&lt;&gt;""))+SUMPRODUCT(--(D128:F128&lt;&gt;""))+SUMPRODUCT(--(H128:K128&lt;&gt;""))&gt;0,"Missing ID",""),IF(COUNTIF($A$7:$A$307,A128)&gt;1,"Duplicate ID",IF(AND(D128="Complete",E128=""),"Evidence missing",IF(AND(D128&lt;&gt;"Not started",D128&lt;&gt;"In progress",D128&lt;&gt;"In review",D128&lt;&gt;"Complete"),"Choose a status",""))))</f>
        <v/>
      </c>
      <c r="H128" s="29"/>
      <c r="I128" s="29"/>
      <c r="J128" s="29"/>
      <c r="K128" s="29"/>
    </row>
    <row r="129" customFormat="false" ht="44" hidden="false" customHeight="true" outlineLevel="0" collapsed="false">
      <c r="A129" s="29"/>
      <c r="B129" s="29"/>
      <c r="C129" s="29"/>
      <c r="D129" s="34"/>
      <c r="E129" s="34"/>
      <c r="F129" s="29"/>
      <c r="G129" s="35" t="str">
        <f aca="false">IF(A129="",IF(SUMPRODUCT(--(B129&lt;&gt;""))+SUMPRODUCT(--(D129:F129&lt;&gt;""))+SUMPRODUCT(--(H129:K129&lt;&gt;""))&gt;0,"Missing ID",""),IF(COUNTIF($A$7:$A$307,A129)&gt;1,"Duplicate ID",IF(AND(D129="Complete",E129=""),"Evidence missing",IF(AND(D129&lt;&gt;"Not started",D129&lt;&gt;"In progress",D129&lt;&gt;"In review",D129&lt;&gt;"Complete"),"Choose a status",""))))</f>
        <v/>
      </c>
      <c r="H129" s="29"/>
      <c r="I129" s="29"/>
      <c r="J129" s="29"/>
      <c r="K129" s="29"/>
    </row>
    <row r="130" customFormat="false" ht="44" hidden="false" customHeight="true" outlineLevel="0" collapsed="false">
      <c r="A130" s="29"/>
      <c r="B130" s="29"/>
      <c r="C130" s="29"/>
      <c r="D130" s="34"/>
      <c r="E130" s="34"/>
      <c r="F130" s="29"/>
      <c r="G130" s="35" t="str">
        <f aca="false">IF(A130="",IF(SUMPRODUCT(--(B130&lt;&gt;""))+SUMPRODUCT(--(D130:F130&lt;&gt;""))+SUMPRODUCT(--(H130:K130&lt;&gt;""))&gt;0,"Missing ID",""),IF(COUNTIF($A$7:$A$307,A130)&gt;1,"Duplicate ID",IF(AND(D130="Complete",E130=""),"Evidence missing",IF(AND(D130&lt;&gt;"Not started",D130&lt;&gt;"In progress",D130&lt;&gt;"In review",D130&lt;&gt;"Complete"),"Choose a status",""))))</f>
        <v/>
      </c>
      <c r="H130" s="29"/>
      <c r="I130" s="29"/>
      <c r="J130" s="29"/>
      <c r="K130" s="29"/>
    </row>
    <row r="131" customFormat="false" ht="44" hidden="false" customHeight="true" outlineLevel="0" collapsed="false">
      <c r="A131" s="29"/>
      <c r="B131" s="29"/>
      <c r="C131" s="29"/>
      <c r="D131" s="34"/>
      <c r="E131" s="34"/>
      <c r="F131" s="29"/>
      <c r="G131" s="35" t="str">
        <f aca="false">IF(A131="",IF(SUMPRODUCT(--(B131&lt;&gt;""))+SUMPRODUCT(--(D131:F131&lt;&gt;""))+SUMPRODUCT(--(H131:K131&lt;&gt;""))&gt;0,"Missing ID",""),IF(COUNTIF($A$7:$A$307,A131)&gt;1,"Duplicate ID",IF(AND(D131="Complete",E131=""),"Evidence missing",IF(AND(D131&lt;&gt;"Not started",D131&lt;&gt;"In progress",D131&lt;&gt;"In review",D131&lt;&gt;"Complete"),"Choose a status",""))))</f>
        <v/>
      </c>
      <c r="H131" s="29"/>
      <c r="I131" s="29"/>
      <c r="J131" s="29"/>
      <c r="K131" s="29"/>
    </row>
    <row r="132" customFormat="false" ht="44" hidden="false" customHeight="true" outlineLevel="0" collapsed="false">
      <c r="A132" s="29"/>
      <c r="B132" s="29"/>
      <c r="C132" s="29"/>
      <c r="D132" s="34"/>
      <c r="E132" s="34"/>
      <c r="F132" s="29"/>
      <c r="G132" s="35" t="str">
        <f aca="false">IF(A132="",IF(SUMPRODUCT(--(B132&lt;&gt;""))+SUMPRODUCT(--(D132:F132&lt;&gt;""))+SUMPRODUCT(--(H132:K132&lt;&gt;""))&gt;0,"Missing ID",""),IF(COUNTIF($A$7:$A$307,A132)&gt;1,"Duplicate ID",IF(AND(D132="Complete",E132=""),"Evidence missing",IF(AND(D132&lt;&gt;"Not started",D132&lt;&gt;"In progress",D132&lt;&gt;"In review",D132&lt;&gt;"Complete"),"Choose a status",""))))</f>
        <v/>
      </c>
      <c r="H132" s="29"/>
      <c r="I132" s="29"/>
      <c r="J132" s="29"/>
      <c r="K132" s="29"/>
    </row>
    <row r="133" customFormat="false" ht="44" hidden="false" customHeight="true" outlineLevel="0" collapsed="false">
      <c r="A133" s="29"/>
      <c r="B133" s="29"/>
      <c r="C133" s="29"/>
      <c r="D133" s="34"/>
      <c r="E133" s="34"/>
      <c r="F133" s="29"/>
      <c r="G133" s="35" t="str">
        <f aca="false">IF(A133="",IF(SUMPRODUCT(--(B133&lt;&gt;""))+SUMPRODUCT(--(D133:F133&lt;&gt;""))+SUMPRODUCT(--(H133:K133&lt;&gt;""))&gt;0,"Missing ID",""),IF(COUNTIF($A$7:$A$307,A133)&gt;1,"Duplicate ID",IF(AND(D133="Complete",E133=""),"Evidence missing",IF(AND(D133&lt;&gt;"Not started",D133&lt;&gt;"In progress",D133&lt;&gt;"In review",D133&lt;&gt;"Complete"),"Choose a status",""))))</f>
        <v/>
      </c>
      <c r="H133" s="29"/>
      <c r="I133" s="29"/>
      <c r="J133" s="29"/>
      <c r="K133" s="29"/>
    </row>
    <row r="134" customFormat="false" ht="44" hidden="false" customHeight="true" outlineLevel="0" collapsed="false">
      <c r="A134" s="29"/>
      <c r="B134" s="29"/>
      <c r="C134" s="29"/>
      <c r="D134" s="34"/>
      <c r="E134" s="34"/>
      <c r="F134" s="29"/>
      <c r="G134" s="35" t="str">
        <f aca="false">IF(A134="",IF(SUMPRODUCT(--(B134&lt;&gt;""))+SUMPRODUCT(--(D134:F134&lt;&gt;""))+SUMPRODUCT(--(H134:K134&lt;&gt;""))&gt;0,"Missing ID",""),IF(COUNTIF($A$7:$A$307,A134)&gt;1,"Duplicate ID",IF(AND(D134="Complete",E134=""),"Evidence missing",IF(AND(D134&lt;&gt;"Not started",D134&lt;&gt;"In progress",D134&lt;&gt;"In review",D134&lt;&gt;"Complete"),"Choose a status",""))))</f>
        <v/>
      </c>
      <c r="H134" s="29"/>
      <c r="I134" s="29"/>
      <c r="J134" s="29"/>
      <c r="K134" s="29"/>
    </row>
    <row r="135" customFormat="false" ht="44" hidden="false" customHeight="true" outlineLevel="0" collapsed="false">
      <c r="A135" s="29"/>
      <c r="B135" s="29"/>
      <c r="C135" s="29"/>
      <c r="D135" s="34"/>
      <c r="E135" s="34"/>
      <c r="F135" s="29"/>
      <c r="G135" s="35" t="str">
        <f aca="false">IF(A135="",IF(SUMPRODUCT(--(B135&lt;&gt;""))+SUMPRODUCT(--(D135:F135&lt;&gt;""))+SUMPRODUCT(--(H135:K135&lt;&gt;""))&gt;0,"Missing ID",""),IF(COUNTIF($A$7:$A$307,A135)&gt;1,"Duplicate ID",IF(AND(D135="Complete",E135=""),"Evidence missing",IF(AND(D135&lt;&gt;"Not started",D135&lt;&gt;"In progress",D135&lt;&gt;"In review",D135&lt;&gt;"Complete"),"Choose a status",""))))</f>
        <v/>
      </c>
      <c r="H135" s="29"/>
      <c r="I135" s="29"/>
      <c r="J135" s="29"/>
      <c r="K135" s="29"/>
    </row>
    <row r="136" customFormat="false" ht="44" hidden="false" customHeight="true" outlineLevel="0" collapsed="false">
      <c r="A136" s="29"/>
      <c r="B136" s="29"/>
      <c r="C136" s="29"/>
      <c r="D136" s="34"/>
      <c r="E136" s="34"/>
      <c r="F136" s="29"/>
      <c r="G136" s="35" t="str">
        <f aca="false">IF(A136="",IF(SUMPRODUCT(--(B136&lt;&gt;""))+SUMPRODUCT(--(D136:F136&lt;&gt;""))+SUMPRODUCT(--(H136:K136&lt;&gt;""))&gt;0,"Missing ID",""),IF(COUNTIF($A$7:$A$307,A136)&gt;1,"Duplicate ID",IF(AND(D136="Complete",E136=""),"Evidence missing",IF(AND(D136&lt;&gt;"Not started",D136&lt;&gt;"In progress",D136&lt;&gt;"In review",D136&lt;&gt;"Complete"),"Choose a status",""))))</f>
        <v/>
      </c>
      <c r="H136" s="29"/>
      <c r="I136" s="29"/>
      <c r="J136" s="29"/>
      <c r="K136" s="29"/>
    </row>
    <row r="137" customFormat="false" ht="44" hidden="false" customHeight="true" outlineLevel="0" collapsed="false">
      <c r="A137" s="29"/>
      <c r="B137" s="29"/>
      <c r="C137" s="29"/>
      <c r="D137" s="34"/>
      <c r="E137" s="34"/>
      <c r="F137" s="29"/>
      <c r="G137" s="35" t="str">
        <f aca="false">IF(A137="",IF(SUMPRODUCT(--(B137&lt;&gt;""))+SUMPRODUCT(--(D137:F137&lt;&gt;""))+SUMPRODUCT(--(H137:K137&lt;&gt;""))&gt;0,"Missing ID",""),IF(COUNTIF($A$7:$A$307,A137)&gt;1,"Duplicate ID",IF(AND(D137="Complete",E137=""),"Evidence missing",IF(AND(D137&lt;&gt;"Not started",D137&lt;&gt;"In progress",D137&lt;&gt;"In review",D137&lt;&gt;"Complete"),"Choose a status",""))))</f>
        <v/>
      </c>
      <c r="H137" s="29"/>
      <c r="I137" s="29"/>
      <c r="J137" s="29"/>
      <c r="K137" s="29"/>
    </row>
    <row r="138" customFormat="false" ht="44" hidden="false" customHeight="true" outlineLevel="0" collapsed="false">
      <c r="A138" s="29"/>
      <c r="B138" s="29"/>
      <c r="C138" s="29"/>
      <c r="D138" s="34"/>
      <c r="E138" s="34"/>
      <c r="F138" s="29"/>
      <c r="G138" s="35" t="str">
        <f aca="false">IF(A138="",IF(SUMPRODUCT(--(B138&lt;&gt;""))+SUMPRODUCT(--(D138:F138&lt;&gt;""))+SUMPRODUCT(--(H138:K138&lt;&gt;""))&gt;0,"Missing ID",""),IF(COUNTIF($A$7:$A$307,A138)&gt;1,"Duplicate ID",IF(AND(D138="Complete",E138=""),"Evidence missing",IF(AND(D138&lt;&gt;"Not started",D138&lt;&gt;"In progress",D138&lt;&gt;"In review",D138&lt;&gt;"Complete"),"Choose a status",""))))</f>
        <v/>
      </c>
      <c r="H138" s="29"/>
      <c r="I138" s="29"/>
      <c r="J138" s="29"/>
      <c r="K138" s="29"/>
    </row>
    <row r="139" customFormat="false" ht="44" hidden="false" customHeight="true" outlineLevel="0" collapsed="false">
      <c r="A139" s="29"/>
      <c r="B139" s="29"/>
      <c r="C139" s="29"/>
      <c r="D139" s="34"/>
      <c r="E139" s="34"/>
      <c r="F139" s="29"/>
      <c r="G139" s="35" t="str">
        <f aca="false">IF(A139="",IF(SUMPRODUCT(--(B139&lt;&gt;""))+SUMPRODUCT(--(D139:F139&lt;&gt;""))+SUMPRODUCT(--(H139:K139&lt;&gt;""))&gt;0,"Missing ID",""),IF(COUNTIF($A$7:$A$307,A139)&gt;1,"Duplicate ID",IF(AND(D139="Complete",E139=""),"Evidence missing",IF(AND(D139&lt;&gt;"Not started",D139&lt;&gt;"In progress",D139&lt;&gt;"In review",D139&lt;&gt;"Complete"),"Choose a status",""))))</f>
        <v/>
      </c>
      <c r="H139" s="29"/>
      <c r="I139" s="29"/>
      <c r="J139" s="29"/>
      <c r="K139" s="29"/>
    </row>
    <row r="140" customFormat="false" ht="44" hidden="false" customHeight="true" outlineLevel="0" collapsed="false">
      <c r="A140" s="29"/>
      <c r="B140" s="29"/>
      <c r="C140" s="29"/>
      <c r="D140" s="34"/>
      <c r="E140" s="34"/>
      <c r="F140" s="29"/>
      <c r="G140" s="35" t="str">
        <f aca="false">IF(A140="",IF(SUMPRODUCT(--(B140&lt;&gt;""))+SUMPRODUCT(--(D140:F140&lt;&gt;""))+SUMPRODUCT(--(H140:K140&lt;&gt;""))&gt;0,"Missing ID",""),IF(COUNTIF($A$7:$A$307,A140)&gt;1,"Duplicate ID",IF(AND(D140="Complete",E140=""),"Evidence missing",IF(AND(D140&lt;&gt;"Not started",D140&lt;&gt;"In progress",D140&lt;&gt;"In review",D140&lt;&gt;"Complete"),"Choose a status",""))))</f>
        <v/>
      </c>
      <c r="H140" s="29"/>
      <c r="I140" s="29"/>
      <c r="J140" s="29"/>
      <c r="K140" s="29"/>
    </row>
    <row r="141" customFormat="false" ht="44" hidden="false" customHeight="true" outlineLevel="0" collapsed="false">
      <c r="A141" s="29"/>
      <c r="B141" s="29"/>
      <c r="C141" s="29"/>
      <c r="D141" s="34"/>
      <c r="E141" s="34"/>
      <c r="F141" s="29"/>
      <c r="G141" s="35" t="str">
        <f aca="false">IF(A141="",IF(SUMPRODUCT(--(B141&lt;&gt;""))+SUMPRODUCT(--(D141:F141&lt;&gt;""))+SUMPRODUCT(--(H141:K141&lt;&gt;""))&gt;0,"Missing ID",""),IF(COUNTIF($A$7:$A$307,A141)&gt;1,"Duplicate ID",IF(AND(D141="Complete",E141=""),"Evidence missing",IF(AND(D141&lt;&gt;"Not started",D141&lt;&gt;"In progress",D141&lt;&gt;"In review",D141&lt;&gt;"Complete"),"Choose a status",""))))</f>
        <v/>
      </c>
      <c r="H141" s="29"/>
      <c r="I141" s="29"/>
      <c r="J141" s="29"/>
      <c r="K141" s="29"/>
    </row>
    <row r="142" customFormat="false" ht="44" hidden="false" customHeight="true" outlineLevel="0" collapsed="false">
      <c r="A142" s="29"/>
      <c r="B142" s="29"/>
      <c r="C142" s="29"/>
      <c r="D142" s="34"/>
      <c r="E142" s="34"/>
      <c r="F142" s="29"/>
      <c r="G142" s="35" t="str">
        <f aca="false">IF(A142="",IF(SUMPRODUCT(--(B142&lt;&gt;""))+SUMPRODUCT(--(D142:F142&lt;&gt;""))+SUMPRODUCT(--(H142:K142&lt;&gt;""))&gt;0,"Missing ID",""),IF(COUNTIF($A$7:$A$307,A142)&gt;1,"Duplicate ID",IF(AND(D142="Complete",E142=""),"Evidence missing",IF(AND(D142&lt;&gt;"Not started",D142&lt;&gt;"In progress",D142&lt;&gt;"In review",D142&lt;&gt;"Complete"),"Choose a status",""))))</f>
        <v/>
      </c>
      <c r="H142" s="29"/>
      <c r="I142" s="29"/>
      <c r="J142" s="29"/>
      <c r="K142" s="29"/>
    </row>
    <row r="143" customFormat="false" ht="44" hidden="false" customHeight="true" outlineLevel="0" collapsed="false">
      <c r="A143" s="29"/>
      <c r="B143" s="29"/>
      <c r="C143" s="29"/>
      <c r="D143" s="34"/>
      <c r="E143" s="34"/>
      <c r="F143" s="29"/>
      <c r="G143" s="35" t="str">
        <f aca="false">IF(A143="",IF(SUMPRODUCT(--(B143&lt;&gt;""))+SUMPRODUCT(--(D143:F143&lt;&gt;""))+SUMPRODUCT(--(H143:K143&lt;&gt;""))&gt;0,"Missing ID",""),IF(COUNTIF($A$7:$A$307,A143)&gt;1,"Duplicate ID",IF(AND(D143="Complete",E143=""),"Evidence missing",IF(AND(D143&lt;&gt;"Not started",D143&lt;&gt;"In progress",D143&lt;&gt;"In review",D143&lt;&gt;"Complete"),"Choose a status",""))))</f>
        <v/>
      </c>
      <c r="H143" s="29"/>
      <c r="I143" s="29"/>
      <c r="J143" s="29"/>
      <c r="K143" s="29"/>
    </row>
    <row r="144" customFormat="false" ht="44" hidden="false" customHeight="true" outlineLevel="0" collapsed="false">
      <c r="A144" s="29"/>
      <c r="B144" s="29"/>
      <c r="C144" s="29"/>
      <c r="D144" s="34"/>
      <c r="E144" s="34"/>
      <c r="F144" s="29"/>
      <c r="G144" s="35" t="str">
        <f aca="false">IF(A144="",IF(SUMPRODUCT(--(B144&lt;&gt;""))+SUMPRODUCT(--(D144:F144&lt;&gt;""))+SUMPRODUCT(--(H144:K144&lt;&gt;""))&gt;0,"Missing ID",""),IF(COUNTIF($A$7:$A$307,A144)&gt;1,"Duplicate ID",IF(AND(D144="Complete",E144=""),"Evidence missing",IF(AND(D144&lt;&gt;"Not started",D144&lt;&gt;"In progress",D144&lt;&gt;"In review",D144&lt;&gt;"Complete"),"Choose a status",""))))</f>
        <v/>
      </c>
      <c r="H144" s="29"/>
      <c r="I144" s="29"/>
      <c r="J144" s="29"/>
      <c r="K144" s="29"/>
    </row>
    <row r="145" customFormat="false" ht="44" hidden="false" customHeight="true" outlineLevel="0" collapsed="false">
      <c r="A145" s="29"/>
      <c r="B145" s="29"/>
      <c r="C145" s="29"/>
      <c r="D145" s="34"/>
      <c r="E145" s="34"/>
      <c r="F145" s="29"/>
      <c r="G145" s="35" t="str">
        <f aca="false">IF(A145="",IF(SUMPRODUCT(--(B145&lt;&gt;""))+SUMPRODUCT(--(D145:F145&lt;&gt;""))+SUMPRODUCT(--(H145:K145&lt;&gt;""))&gt;0,"Missing ID",""),IF(COUNTIF($A$7:$A$307,A145)&gt;1,"Duplicate ID",IF(AND(D145="Complete",E145=""),"Evidence missing",IF(AND(D145&lt;&gt;"Not started",D145&lt;&gt;"In progress",D145&lt;&gt;"In review",D145&lt;&gt;"Complete"),"Choose a status",""))))</f>
        <v/>
      </c>
      <c r="H145" s="29"/>
      <c r="I145" s="29"/>
      <c r="J145" s="29"/>
      <c r="K145" s="29"/>
    </row>
    <row r="146" customFormat="false" ht="44" hidden="false" customHeight="true" outlineLevel="0" collapsed="false">
      <c r="A146" s="29"/>
      <c r="B146" s="29"/>
      <c r="C146" s="29"/>
      <c r="D146" s="34"/>
      <c r="E146" s="34"/>
      <c r="F146" s="29"/>
      <c r="G146" s="35" t="str">
        <f aca="false">IF(A146="",IF(SUMPRODUCT(--(B146&lt;&gt;""))+SUMPRODUCT(--(D146:F146&lt;&gt;""))+SUMPRODUCT(--(H146:K146&lt;&gt;""))&gt;0,"Missing ID",""),IF(COUNTIF($A$7:$A$307,A146)&gt;1,"Duplicate ID",IF(AND(D146="Complete",E146=""),"Evidence missing",IF(AND(D146&lt;&gt;"Not started",D146&lt;&gt;"In progress",D146&lt;&gt;"In review",D146&lt;&gt;"Complete"),"Choose a status",""))))</f>
        <v/>
      </c>
      <c r="H146" s="29"/>
      <c r="I146" s="29"/>
      <c r="J146" s="29"/>
      <c r="K146" s="29"/>
    </row>
    <row r="147" customFormat="false" ht="44" hidden="false" customHeight="true" outlineLevel="0" collapsed="false">
      <c r="A147" s="29"/>
      <c r="B147" s="29"/>
      <c r="C147" s="29"/>
      <c r="D147" s="34"/>
      <c r="E147" s="34"/>
      <c r="F147" s="29"/>
      <c r="G147" s="35" t="str">
        <f aca="false">IF(A147="",IF(SUMPRODUCT(--(B147&lt;&gt;""))+SUMPRODUCT(--(D147:F147&lt;&gt;""))+SUMPRODUCT(--(H147:K147&lt;&gt;""))&gt;0,"Missing ID",""),IF(COUNTIF($A$7:$A$307,A147)&gt;1,"Duplicate ID",IF(AND(D147="Complete",E147=""),"Evidence missing",IF(AND(D147&lt;&gt;"Not started",D147&lt;&gt;"In progress",D147&lt;&gt;"In review",D147&lt;&gt;"Complete"),"Choose a status",""))))</f>
        <v/>
      </c>
      <c r="H147" s="29"/>
      <c r="I147" s="29"/>
      <c r="J147" s="29"/>
      <c r="K147" s="29"/>
    </row>
    <row r="148" customFormat="false" ht="44" hidden="false" customHeight="true" outlineLevel="0" collapsed="false">
      <c r="A148" s="29"/>
      <c r="B148" s="29"/>
      <c r="C148" s="29"/>
      <c r="D148" s="34"/>
      <c r="E148" s="34"/>
      <c r="F148" s="29"/>
      <c r="G148" s="35" t="str">
        <f aca="false">IF(A148="",IF(SUMPRODUCT(--(B148&lt;&gt;""))+SUMPRODUCT(--(D148:F148&lt;&gt;""))+SUMPRODUCT(--(H148:K148&lt;&gt;""))&gt;0,"Missing ID",""),IF(COUNTIF($A$7:$A$307,A148)&gt;1,"Duplicate ID",IF(AND(D148="Complete",E148=""),"Evidence missing",IF(AND(D148&lt;&gt;"Not started",D148&lt;&gt;"In progress",D148&lt;&gt;"In review",D148&lt;&gt;"Complete"),"Choose a status",""))))</f>
        <v/>
      </c>
      <c r="H148" s="29"/>
      <c r="I148" s="29"/>
      <c r="J148" s="29"/>
      <c r="K148" s="29"/>
    </row>
    <row r="149" customFormat="false" ht="44" hidden="false" customHeight="true" outlineLevel="0" collapsed="false">
      <c r="A149" s="29"/>
      <c r="B149" s="29"/>
      <c r="C149" s="29"/>
      <c r="D149" s="34"/>
      <c r="E149" s="34"/>
      <c r="F149" s="29"/>
      <c r="G149" s="35" t="str">
        <f aca="false">IF(A149="",IF(SUMPRODUCT(--(B149&lt;&gt;""))+SUMPRODUCT(--(D149:F149&lt;&gt;""))+SUMPRODUCT(--(H149:K149&lt;&gt;""))&gt;0,"Missing ID",""),IF(COUNTIF($A$7:$A$307,A149)&gt;1,"Duplicate ID",IF(AND(D149="Complete",E149=""),"Evidence missing",IF(AND(D149&lt;&gt;"Not started",D149&lt;&gt;"In progress",D149&lt;&gt;"In review",D149&lt;&gt;"Complete"),"Choose a status",""))))</f>
        <v/>
      </c>
      <c r="H149" s="29"/>
      <c r="I149" s="29"/>
      <c r="J149" s="29"/>
      <c r="K149" s="29"/>
    </row>
    <row r="150" customFormat="false" ht="44" hidden="false" customHeight="true" outlineLevel="0" collapsed="false">
      <c r="A150" s="29"/>
      <c r="B150" s="29"/>
      <c r="C150" s="29"/>
      <c r="D150" s="34"/>
      <c r="E150" s="34"/>
      <c r="F150" s="29"/>
      <c r="G150" s="35" t="str">
        <f aca="false">IF(A150="",IF(SUMPRODUCT(--(B150&lt;&gt;""))+SUMPRODUCT(--(D150:F150&lt;&gt;""))+SUMPRODUCT(--(H150:K150&lt;&gt;""))&gt;0,"Missing ID",""),IF(COUNTIF($A$7:$A$307,A150)&gt;1,"Duplicate ID",IF(AND(D150="Complete",E150=""),"Evidence missing",IF(AND(D150&lt;&gt;"Not started",D150&lt;&gt;"In progress",D150&lt;&gt;"In review",D150&lt;&gt;"Complete"),"Choose a status",""))))</f>
        <v/>
      </c>
      <c r="H150" s="29"/>
      <c r="I150" s="29"/>
      <c r="J150" s="29"/>
      <c r="K150" s="29"/>
    </row>
    <row r="151" customFormat="false" ht="44" hidden="false" customHeight="true" outlineLevel="0" collapsed="false">
      <c r="A151" s="29"/>
      <c r="B151" s="29"/>
      <c r="C151" s="29"/>
      <c r="D151" s="34"/>
      <c r="E151" s="34"/>
      <c r="F151" s="29"/>
      <c r="G151" s="35" t="str">
        <f aca="false">IF(A151="",IF(SUMPRODUCT(--(B151&lt;&gt;""))+SUMPRODUCT(--(D151:F151&lt;&gt;""))+SUMPRODUCT(--(H151:K151&lt;&gt;""))&gt;0,"Missing ID",""),IF(COUNTIF($A$7:$A$307,A151)&gt;1,"Duplicate ID",IF(AND(D151="Complete",E151=""),"Evidence missing",IF(AND(D151&lt;&gt;"Not started",D151&lt;&gt;"In progress",D151&lt;&gt;"In review",D151&lt;&gt;"Complete"),"Choose a status",""))))</f>
        <v/>
      </c>
      <c r="H151" s="29"/>
      <c r="I151" s="29"/>
      <c r="J151" s="29"/>
      <c r="K151" s="29"/>
    </row>
    <row r="152" customFormat="false" ht="44" hidden="false" customHeight="true" outlineLevel="0" collapsed="false">
      <c r="A152" s="29"/>
      <c r="B152" s="29"/>
      <c r="C152" s="29"/>
      <c r="D152" s="34"/>
      <c r="E152" s="34"/>
      <c r="F152" s="29"/>
      <c r="G152" s="35" t="str">
        <f aca="false">IF(A152="",IF(SUMPRODUCT(--(B152&lt;&gt;""))+SUMPRODUCT(--(D152:F152&lt;&gt;""))+SUMPRODUCT(--(H152:K152&lt;&gt;""))&gt;0,"Missing ID",""),IF(COUNTIF($A$7:$A$307,A152)&gt;1,"Duplicate ID",IF(AND(D152="Complete",E152=""),"Evidence missing",IF(AND(D152&lt;&gt;"Not started",D152&lt;&gt;"In progress",D152&lt;&gt;"In review",D152&lt;&gt;"Complete"),"Choose a status",""))))</f>
        <v/>
      </c>
      <c r="H152" s="29"/>
      <c r="I152" s="29"/>
      <c r="J152" s="29"/>
      <c r="K152" s="29"/>
    </row>
    <row r="153" customFormat="false" ht="44" hidden="false" customHeight="true" outlineLevel="0" collapsed="false">
      <c r="A153" s="29"/>
      <c r="B153" s="29"/>
      <c r="C153" s="29"/>
      <c r="D153" s="34"/>
      <c r="E153" s="34"/>
      <c r="F153" s="29"/>
      <c r="G153" s="35" t="str">
        <f aca="false">IF(A153="",IF(SUMPRODUCT(--(B153&lt;&gt;""))+SUMPRODUCT(--(D153:F153&lt;&gt;""))+SUMPRODUCT(--(H153:K153&lt;&gt;""))&gt;0,"Missing ID",""),IF(COUNTIF($A$7:$A$307,A153)&gt;1,"Duplicate ID",IF(AND(D153="Complete",E153=""),"Evidence missing",IF(AND(D153&lt;&gt;"Not started",D153&lt;&gt;"In progress",D153&lt;&gt;"In review",D153&lt;&gt;"Complete"),"Choose a status",""))))</f>
        <v/>
      </c>
      <c r="H153" s="29"/>
      <c r="I153" s="29"/>
      <c r="J153" s="29"/>
      <c r="K153" s="29"/>
    </row>
    <row r="154" customFormat="false" ht="44" hidden="false" customHeight="true" outlineLevel="0" collapsed="false">
      <c r="A154" s="29"/>
      <c r="B154" s="29"/>
      <c r="C154" s="29"/>
      <c r="D154" s="34"/>
      <c r="E154" s="34"/>
      <c r="F154" s="29"/>
      <c r="G154" s="35" t="str">
        <f aca="false">IF(A154="",IF(SUMPRODUCT(--(B154&lt;&gt;""))+SUMPRODUCT(--(D154:F154&lt;&gt;""))+SUMPRODUCT(--(H154:K154&lt;&gt;""))&gt;0,"Missing ID",""),IF(COUNTIF($A$7:$A$307,A154)&gt;1,"Duplicate ID",IF(AND(D154="Complete",E154=""),"Evidence missing",IF(AND(D154&lt;&gt;"Not started",D154&lt;&gt;"In progress",D154&lt;&gt;"In review",D154&lt;&gt;"Complete"),"Choose a status",""))))</f>
        <v/>
      </c>
      <c r="H154" s="29"/>
      <c r="I154" s="29"/>
      <c r="J154" s="29"/>
      <c r="K154" s="29"/>
    </row>
    <row r="155" customFormat="false" ht="44" hidden="false" customHeight="true" outlineLevel="0" collapsed="false">
      <c r="A155" s="29"/>
      <c r="B155" s="29"/>
      <c r="C155" s="29"/>
      <c r="D155" s="34"/>
      <c r="E155" s="34"/>
      <c r="F155" s="29"/>
      <c r="G155" s="35" t="str">
        <f aca="false">IF(A155="",IF(SUMPRODUCT(--(B155&lt;&gt;""))+SUMPRODUCT(--(D155:F155&lt;&gt;""))+SUMPRODUCT(--(H155:K155&lt;&gt;""))&gt;0,"Missing ID",""),IF(COUNTIF($A$7:$A$307,A155)&gt;1,"Duplicate ID",IF(AND(D155="Complete",E155=""),"Evidence missing",IF(AND(D155&lt;&gt;"Not started",D155&lt;&gt;"In progress",D155&lt;&gt;"In review",D155&lt;&gt;"Complete"),"Choose a status",""))))</f>
        <v/>
      </c>
      <c r="H155" s="29"/>
      <c r="I155" s="29"/>
      <c r="J155" s="29"/>
      <c r="K155" s="29"/>
    </row>
    <row r="156" customFormat="false" ht="44" hidden="false" customHeight="true" outlineLevel="0" collapsed="false">
      <c r="A156" s="29"/>
      <c r="B156" s="29"/>
      <c r="C156" s="29"/>
      <c r="D156" s="34"/>
      <c r="E156" s="34"/>
      <c r="F156" s="29"/>
      <c r="G156" s="35" t="str">
        <f aca="false">IF(A156="",IF(SUMPRODUCT(--(B156&lt;&gt;""))+SUMPRODUCT(--(D156:F156&lt;&gt;""))+SUMPRODUCT(--(H156:K156&lt;&gt;""))&gt;0,"Missing ID",""),IF(COUNTIF($A$7:$A$307,A156)&gt;1,"Duplicate ID",IF(AND(D156="Complete",E156=""),"Evidence missing",IF(AND(D156&lt;&gt;"Not started",D156&lt;&gt;"In progress",D156&lt;&gt;"In review",D156&lt;&gt;"Complete"),"Choose a status",""))))</f>
        <v/>
      </c>
      <c r="H156" s="29"/>
      <c r="I156" s="29"/>
      <c r="J156" s="29"/>
      <c r="K156" s="29"/>
    </row>
    <row r="157" customFormat="false" ht="44" hidden="false" customHeight="true" outlineLevel="0" collapsed="false">
      <c r="A157" s="29"/>
      <c r="B157" s="29"/>
      <c r="C157" s="29"/>
      <c r="D157" s="34"/>
      <c r="E157" s="34"/>
      <c r="F157" s="29"/>
      <c r="G157" s="35" t="str">
        <f aca="false">IF(A157="",IF(SUMPRODUCT(--(B157&lt;&gt;""))+SUMPRODUCT(--(D157:F157&lt;&gt;""))+SUMPRODUCT(--(H157:K157&lt;&gt;""))&gt;0,"Missing ID",""),IF(COUNTIF($A$7:$A$307,A157)&gt;1,"Duplicate ID",IF(AND(D157="Complete",E157=""),"Evidence missing",IF(AND(D157&lt;&gt;"Not started",D157&lt;&gt;"In progress",D157&lt;&gt;"In review",D157&lt;&gt;"Complete"),"Choose a status",""))))</f>
        <v/>
      </c>
      <c r="H157" s="29"/>
      <c r="I157" s="29"/>
      <c r="J157" s="29"/>
      <c r="K157" s="29"/>
    </row>
    <row r="158" customFormat="false" ht="44" hidden="false" customHeight="true" outlineLevel="0" collapsed="false">
      <c r="A158" s="29"/>
      <c r="B158" s="29"/>
      <c r="C158" s="29"/>
      <c r="D158" s="34"/>
      <c r="E158" s="34"/>
      <c r="F158" s="29"/>
      <c r="G158" s="35" t="str">
        <f aca="false">IF(A158="",IF(SUMPRODUCT(--(B158&lt;&gt;""))+SUMPRODUCT(--(D158:F158&lt;&gt;""))+SUMPRODUCT(--(H158:K158&lt;&gt;""))&gt;0,"Missing ID",""),IF(COUNTIF($A$7:$A$307,A158)&gt;1,"Duplicate ID",IF(AND(D158="Complete",E158=""),"Evidence missing",IF(AND(D158&lt;&gt;"Not started",D158&lt;&gt;"In progress",D158&lt;&gt;"In review",D158&lt;&gt;"Complete"),"Choose a status",""))))</f>
        <v/>
      </c>
      <c r="H158" s="29"/>
      <c r="I158" s="29"/>
      <c r="J158" s="29"/>
      <c r="K158" s="29"/>
    </row>
    <row r="159" customFormat="false" ht="44" hidden="false" customHeight="true" outlineLevel="0" collapsed="false">
      <c r="A159" s="29"/>
      <c r="B159" s="29"/>
      <c r="C159" s="29"/>
      <c r="D159" s="34"/>
      <c r="E159" s="34"/>
      <c r="F159" s="29"/>
      <c r="G159" s="35" t="str">
        <f aca="false">IF(A159="",IF(SUMPRODUCT(--(B159&lt;&gt;""))+SUMPRODUCT(--(D159:F159&lt;&gt;""))+SUMPRODUCT(--(H159:K159&lt;&gt;""))&gt;0,"Missing ID",""),IF(COUNTIF($A$7:$A$307,A159)&gt;1,"Duplicate ID",IF(AND(D159="Complete",E159=""),"Evidence missing",IF(AND(D159&lt;&gt;"Not started",D159&lt;&gt;"In progress",D159&lt;&gt;"In review",D159&lt;&gt;"Complete"),"Choose a status",""))))</f>
        <v/>
      </c>
      <c r="H159" s="29"/>
      <c r="I159" s="29"/>
      <c r="J159" s="29"/>
      <c r="K159" s="29"/>
    </row>
    <row r="160" customFormat="false" ht="44" hidden="false" customHeight="true" outlineLevel="0" collapsed="false">
      <c r="A160" s="29"/>
      <c r="B160" s="29"/>
      <c r="C160" s="29"/>
      <c r="D160" s="34"/>
      <c r="E160" s="34"/>
      <c r="F160" s="29"/>
      <c r="G160" s="35" t="str">
        <f aca="false">IF(A160="",IF(SUMPRODUCT(--(B160&lt;&gt;""))+SUMPRODUCT(--(D160:F160&lt;&gt;""))+SUMPRODUCT(--(H160:K160&lt;&gt;""))&gt;0,"Missing ID",""),IF(COUNTIF($A$7:$A$307,A160)&gt;1,"Duplicate ID",IF(AND(D160="Complete",E160=""),"Evidence missing",IF(AND(D160&lt;&gt;"Not started",D160&lt;&gt;"In progress",D160&lt;&gt;"In review",D160&lt;&gt;"Complete"),"Choose a status",""))))</f>
        <v/>
      </c>
      <c r="H160" s="29"/>
      <c r="I160" s="29"/>
      <c r="J160" s="29"/>
      <c r="K160" s="29"/>
    </row>
    <row r="161" customFormat="false" ht="44" hidden="false" customHeight="true" outlineLevel="0" collapsed="false">
      <c r="A161" s="29"/>
      <c r="B161" s="29"/>
      <c r="C161" s="29"/>
      <c r="D161" s="34"/>
      <c r="E161" s="34"/>
      <c r="F161" s="29"/>
      <c r="G161" s="35" t="str">
        <f aca="false">IF(A161="",IF(SUMPRODUCT(--(B161&lt;&gt;""))+SUMPRODUCT(--(D161:F161&lt;&gt;""))+SUMPRODUCT(--(H161:K161&lt;&gt;""))&gt;0,"Missing ID",""),IF(COUNTIF($A$7:$A$307,A161)&gt;1,"Duplicate ID",IF(AND(D161="Complete",E161=""),"Evidence missing",IF(AND(D161&lt;&gt;"Not started",D161&lt;&gt;"In progress",D161&lt;&gt;"In review",D161&lt;&gt;"Complete"),"Choose a status",""))))</f>
        <v/>
      </c>
      <c r="H161" s="29"/>
      <c r="I161" s="29"/>
      <c r="J161" s="29"/>
      <c r="K161" s="29"/>
    </row>
    <row r="162" customFormat="false" ht="44" hidden="false" customHeight="true" outlineLevel="0" collapsed="false">
      <c r="A162" s="29"/>
      <c r="B162" s="29"/>
      <c r="C162" s="29"/>
      <c r="D162" s="34"/>
      <c r="E162" s="34"/>
      <c r="F162" s="29"/>
      <c r="G162" s="35" t="str">
        <f aca="false">IF(A162="",IF(SUMPRODUCT(--(B162&lt;&gt;""))+SUMPRODUCT(--(D162:F162&lt;&gt;""))+SUMPRODUCT(--(H162:K162&lt;&gt;""))&gt;0,"Missing ID",""),IF(COUNTIF($A$7:$A$307,A162)&gt;1,"Duplicate ID",IF(AND(D162="Complete",E162=""),"Evidence missing",IF(AND(D162&lt;&gt;"Not started",D162&lt;&gt;"In progress",D162&lt;&gt;"In review",D162&lt;&gt;"Complete"),"Choose a status",""))))</f>
        <v/>
      </c>
      <c r="H162" s="29"/>
      <c r="I162" s="29"/>
      <c r="J162" s="29"/>
      <c r="K162" s="29"/>
    </row>
    <row r="163" customFormat="false" ht="44" hidden="false" customHeight="true" outlineLevel="0" collapsed="false">
      <c r="A163" s="29"/>
      <c r="B163" s="29"/>
      <c r="C163" s="29"/>
      <c r="D163" s="34"/>
      <c r="E163" s="34"/>
      <c r="F163" s="29"/>
      <c r="G163" s="35" t="str">
        <f aca="false">IF(A163="",IF(SUMPRODUCT(--(B163&lt;&gt;""))+SUMPRODUCT(--(D163:F163&lt;&gt;""))+SUMPRODUCT(--(H163:K163&lt;&gt;""))&gt;0,"Missing ID",""),IF(COUNTIF($A$7:$A$307,A163)&gt;1,"Duplicate ID",IF(AND(D163="Complete",E163=""),"Evidence missing",IF(AND(D163&lt;&gt;"Not started",D163&lt;&gt;"In progress",D163&lt;&gt;"In review",D163&lt;&gt;"Complete"),"Choose a status",""))))</f>
        <v/>
      </c>
      <c r="H163" s="29"/>
      <c r="I163" s="29"/>
      <c r="J163" s="29"/>
      <c r="K163" s="29"/>
    </row>
    <row r="164" customFormat="false" ht="44" hidden="false" customHeight="true" outlineLevel="0" collapsed="false">
      <c r="A164" s="29"/>
      <c r="B164" s="29"/>
      <c r="C164" s="29"/>
      <c r="D164" s="34"/>
      <c r="E164" s="34"/>
      <c r="F164" s="29"/>
      <c r="G164" s="35" t="str">
        <f aca="false">IF(A164="",IF(SUMPRODUCT(--(B164&lt;&gt;""))+SUMPRODUCT(--(D164:F164&lt;&gt;""))+SUMPRODUCT(--(H164:K164&lt;&gt;""))&gt;0,"Missing ID",""),IF(COUNTIF($A$7:$A$307,A164)&gt;1,"Duplicate ID",IF(AND(D164="Complete",E164=""),"Evidence missing",IF(AND(D164&lt;&gt;"Not started",D164&lt;&gt;"In progress",D164&lt;&gt;"In review",D164&lt;&gt;"Complete"),"Choose a status",""))))</f>
        <v/>
      </c>
      <c r="H164" s="29"/>
      <c r="I164" s="29"/>
      <c r="J164" s="29"/>
      <c r="K164" s="29"/>
    </row>
    <row r="165" customFormat="false" ht="44" hidden="false" customHeight="true" outlineLevel="0" collapsed="false">
      <c r="A165" s="29"/>
      <c r="B165" s="29"/>
      <c r="C165" s="29"/>
      <c r="D165" s="34"/>
      <c r="E165" s="34"/>
      <c r="F165" s="29"/>
      <c r="G165" s="35" t="str">
        <f aca="false">IF(A165="",IF(SUMPRODUCT(--(B165&lt;&gt;""))+SUMPRODUCT(--(D165:F165&lt;&gt;""))+SUMPRODUCT(--(H165:K165&lt;&gt;""))&gt;0,"Missing ID",""),IF(COUNTIF($A$7:$A$307,A165)&gt;1,"Duplicate ID",IF(AND(D165="Complete",E165=""),"Evidence missing",IF(AND(D165&lt;&gt;"Not started",D165&lt;&gt;"In progress",D165&lt;&gt;"In review",D165&lt;&gt;"Complete"),"Choose a status",""))))</f>
        <v/>
      </c>
      <c r="H165" s="29"/>
      <c r="I165" s="29"/>
      <c r="J165" s="29"/>
      <c r="K165" s="29"/>
    </row>
    <row r="166" customFormat="false" ht="44" hidden="false" customHeight="true" outlineLevel="0" collapsed="false">
      <c r="A166" s="29"/>
      <c r="B166" s="29"/>
      <c r="C166" s="29"/>
      <c r="D166" s="34"/>
      <c r="E166" s="34"/>
      <c r="F166" s="29"/>
      <c r="G166" s="35" t="str">
        <f aca="false">IF(A166="",IF(SUMPRODUCT(--(B166&lt;&gt;""))+SUMPRODUCT(--(D166:F166&lt;&gt;""))+SUMPRODUCT(--(H166:K166&lt;&gt;""))&gt;0,"Missing ID",""),IF(COUNTIF($A$7:$A$307,A166)&gt;1,"Duplicate ID",IF(AND(D166="Complete",E166=""),"Evidence missing",IF(AND(D166&lt;&gt;"Not started",D166&lt;&gt;"In progress",D166&lt;&gt;"In review",D166&lt;&gt;"Complete"),"Choose a status",""))))</f>
        <v/>
      </c>
      <c r="H166" s="29"/>
      <c r="I166" s="29"/>
      <c r="J166" s="29"/>
      <c r="K166" s="29"/>
    </row>
    <row r="167" customFormat="false" ht="44" hidden="false" customHeight="true" outlineLevel="0" collapsed="false">
      <c r="A167" s="29"/>
      <c r="B167" s="29"/>
      <c r="C167" s="29"/>
      <c r="D167" s="34"/>
      <c r="E167" s="34"/>
      <c r="F167" s="29"/>
      <c r="G167" s="35" t="str">
        <f aca="false">IF(A167="",IF(SUMPRODUCT(--(B167&lt;&gt;""))+SUMPRODUCT(--(D167:F167&lt;&gt;""))+SUMPRODUCT(--(H167:K167&lt;&gt;""))&gt;0,"Missing ID",""),IF(COUNTIF($A$7:$A$307,A167)&gt;1,"Duplicate ID",IF(AND(D167="Complete",E167=""),"Evidence missing",IF(AND(D167&lt;&gt;"Not started",D167&lt;&gt;"In progress",D167&lt;&gt;"In review",D167&lt;&gt;"Complete"),"Choose a status",""))))</f>
        <v/>
      </c>
      <c r="H167" s="29"/>
      <c r="I167" s="29"/>
      <c r="J167" s="29"/>
      <c r="K167" s="29"/>
    </row>
    <row r="168" customFormat="false" ht="44" hidden="false" customHeight="true" outlineLevel="0" collapsed="false">
      <c r="A168" s="29"/>
      <c r="B168" s="29"/>
      <c r="C168" s="29"/>
      <c r="D168" s="34"/>
      <c r="E168" s="34"/>
      <c r="F168" s="29"/>
      <c r="G168" s="35" t="str">
        <f aca="false">IF(A168="",IF(SUMPRODUCT(--(B168&lt;&gt;""))+SUMPRODUCT(--(D168:F168&lt;&gt;""))+SUMPRODUCT(--(H168:K168&lt;&gt;""))&gt;0,"Missing ID",""),IF(COUNTIF($A$7:$A$307,A168)&gt;1,"Duplicate ID",IF(AND(D168="Complete",E168=""),"Evidence missing",IF(AND(D168&lt;&gt;"Not started",D168&lt;&gt;"In progress",D168&lt;&gt;"In review",D168&lt;&gt;"Complete"),"Choose a status",""))))</f>
        <v/>
      </c>
      <c r="H168" s="29"/>
      <c r="I168" s="29"/>
      <c r="J168" s="29"/>
      <c r="K168" s="29"/>
    </row>
    <row r="169" customFormat="false" ht="44" hidden="false" customHeight="true" outlineLevel="0" collapsed="false">
      <c r="A169" s="29"/>
      <c r="B169" s="29"/>
      <c r="C169" s="29"/>
      <c r="D169" s="34"/>
      <c r="E169" s="34"/>
      <c r="F169" s="29"/>
      <c r="G169" s="35" t="str">
        <f aca="false">IF(A169="",IF(SUMPRODUCT(--(B169&lt;&gt;""))+SUMPRODUCT(--(D169:F169&lt;&gt;""))+SUMPRODUCT(--(H169:K169&lt;&gt;""))&gt;0,"Missing ID",""),IF(COUNTIF($A$7:$A$307,A169)&gt;1,"Duplicate ID",IF(AND(D169="Complete",E169=""),"Evidence missing",IF(AND(D169&lt;&gt;"Not started",D169&lt;&gt;"In progress",D169&lt;&gt;"In review",D169&lt;&gt;"Complete"),"Choose a status",""))))</f>
        <v/>
      </c>
      <c r="H169" s="29"/>
      <c r="I169" s="29"/>
      <c r="J169" s="29"/>
      <c r="K169" s="29"/>
    </row>
    <row r="170" customFormat="false" ht="44" hidden="false" customHeight="true" outlineLevel="0" collapsed="false">
      <c r="A170" s="29"/>
      <c r="B170" s="29"/>
      <c r="C170" s="29"/>
      <c r="D170" s="34"/>
      <c r="E170" s="34"/>
      <c r="F170" s="29"/>
      <c r="G170" s="35" t="str">
        <f aca="false">IF(A170="",IF(SUMPRODUCT(--(B170&lt;&gt;""))+SUMPRODUCT(--(D170:F170&lt;&gt;""))+SUMPRODUCT(--(H170:K170&lt;&gt;""))&gt;0,"Missing ID",""),IF(COUNTIF($A$7:$A$307,A170)&gt;1,"Duplicate ID",IF(AND(D170="Complete",E170=""),"Evidence missing",IF(AND(D170&lt;&gt;"Not started",D170&lt;&gt;"In progress",D170&lt;&gt;"In review",D170&lt;&gt;"Complete"),"Choose a status",""))))</f>
        <v/>
      </c>
      <c r="H170" s="29"/>
      <c r="I170" s="29"/>
      <c r="J170" s="29"/>
      <c r="K170" s="29"/>
    </row>
    <row r="171" customFormat="false" ht="44" hidden="false" customHeight="true" outlineLevel="0" collapsed="false">
      <c r="A171" s="29"/>
      <c r="B171" s="29"/>
      <c r="C171" s="29"/>
      <c r="D171" s="34"/>
      <c r="E171" s="34"/>
      <c r="F171" s="29"/>
      <c r="G171" s="35" t="str">
        <f aca="false">IF(A171="",IF(SUMPRODUCT(--(B171&lt;&gt;""))+SUMPRODUCT(--(D171:F171&lt;&gt;""))+SUMPRODUCT(--(H171:K171&lt;&gt;""))&gt;0,"Missing ID",""),IF(COUNTIF($A$7:$A$307,A171)&gt;1,"Duplicate ID",IF(AND(D171="Complete",E171=""),"Evidence missing",IF(AND(D171&lt;&gt;"Not started",D171&lt;&gt;"In progress",D171&lt;&gt;"In review",D171&lt;&gt;"Complete"),"Choose a status",""))))</f>
        <v/>
      </c>
      <c r="H171" s="29"/>
      <c r="I171" s="29"/>
      <c r="J171" s="29"/>
      <c r="K171" s="29"/>
    </row>
    <row r="172" customFormat="false" ht="44" hidden="false" customHeight="true" outlineLevel="0" collapsed="false">
      <c r="A172" s="29"/>
      <c r="B172" s="29"/>
      <c r="C172" s="29"/>
      <c r="D172" s="34"/>
      <c r="E172" s="34"/>
      <c r="F172" s="29"/>
      <c r="G172" s="35" t="str">
        <f aca="false">IF(A172="",IF(SUMPRODUCT(--(B172&lt;&gt;""))+SUMPRODUCT(--(D172:F172&lt;&gt;""))+SUMPRODUCT(--(H172:K172&lt;&gt;""))&gt;0,"Missing ID",""),IF(COUNTIF($A$7:$A$307,A172)&gt;1,"Duplicate ID",IF(AND(D172="Complete",E172=""),"Evidence missing",IF(AND(D172&lt;&gt;"Not started",D172&lt;&gt;"In progress",D172&lt;&gt;"In review",D172&lt;&gt;"Complete"),"Choose a status",""))))</f>
        <v/>
      </c>
      <c r="H172" s="29"/>
      <c r="I172" s="29"/>
      <c r="J172" s="29"/>
      <c r="K172" s="29"/>
    </row>
    <row r="173" customFormat="false" ht="44" hidden="false" customHeight="true" outlineLevel="0" collapsed="false">
      <c r="A173" s="29"/>
      <c r="B173" s="29"/>
      <c r="C173" s="29"/>
      <c r="D173" s="34"/>
      <c r="E173" s="34"/>
      <c r="F173" s="29"/>
      <c r="G173" s="35" t="str">
        <f aca="false">IF(A173="",IF(SUMPRODUCT(--(B173&lt;&gt;""))+SUMPRODUCT(--(D173:F173&lt;&gt;""))+SUMPRODUCT(--(H173:K173&lt;&gt;""))&gt;0,"Missing ID",""),IF(COUNTIF($A$7:$A$307,A173)&gt;1,"Duplicate ID",IF(AND(D173="Complete",E173=""),"Evidence missing",IF(AND(D173&lt;&gt;"Not started",D173&lt;&gt;"In progress",D173&lt;&gt;"In review",D173&lt;&gt;"Complete"),"Choose a status",""))))</f>
        <v/>
      </c>
      <c r="H173" s="29"/>
      <c r="I173" s="29"/>
      <c r="J173" s="29"/>
      <c r="K173" s="29"/>
    </row>
    <row r="174" customFormat="false" ht="44" hidden="false" customHeight="true" outlineLevel="0" collapsed="false">
      <c r="A174" s="29"/>
      <c r="B174" s="29"/>
      <c r="C174" s="29"/>
      <c r="D174" s="34"/>
      <c r="E174" s="34"/>
      <c r="F174" s="29"/>
      <c r="G174" s="35" t="str">
        <f aca="false">IF(A174="",IF(SUMPRODUCT(--(B174&lt;&gt;""))+SUMPRODUCT(--(D174:F174&lt;&gt;""))+SUMPRODUCT(--(H174:K174&lt;&gt;""))&gt;0,"Missing ID",""),IF(COUNTIF($A$7:$A$307,A174)&gt;1,"Duplicate ID",IF(AND(D174="Complete",E174=""),"Evidence missing",IF(AND(D174&lt;&gt;"Not started",D174&lt;&gt;"In progress",D174&lt;&gt;"In review",D174&lt;&gt;"Complete"),"Choose a status",""))))</f>
        <v/>
      </c>
      <c r="H174" s="29"/>
      <c r="I174" s="29"/>
      <c r="J174" s="29"/>
      <c r="K174" s="29"/>
    </row>
    <row r="175" customFormat="false" ht="44" hidden="false" customHeight="true" outlineLevel="0" collapsed="false">
      <c r="A175" s="29"/>
      <c r="B175" s="29"/>
      <c r="C175" s="29"/>
      <c r="D175" s="34"/>
      <c r="E175" s="34"/>
      <c r="F175" s="29"/>
      <c r="G175" s="35" t="str">
        <f aca="false">IF(A175="",IF(SUMPRODUCT(--(B175&lt;&gt;""))+SUMPRODUCT(--(D175:F175&lt;&gt;""))+SUMPRODUCT(--(H175:K175&lt;&gt;""))&gt;0,"Missing ID",""),IF(COUNTIF($A$7:$A$307,A175)&gt;1,"Duplicate ID",IF(AND(D175="Complete",E175=""),"Evidence missing",IF(AND(D175&lt;&gt;"Not started",D175&lt;&gt;"In progress",D175&lt;&gt;"In review",D175&lt;&gt;"Complete"),"Choose a status",""))))</f>
        <v/>
      </c>
      <c r="H175" s="29"/>
      <c r="I175" s="29"/>
      <c r="J175" s="29"/>
      <c r="K175" s="29"/>
    </row>
    <row r="176" customFormat="false" ht="44" hidden="false" customHeight="true" outlineLevel="0" collapsed="false">
      <c r="A176" s="29"/>
      <c r="B176" s="29"/>
      <c r="C176" s="29"/>
      <c r="D176" s="34"/>
      <c r="E176" s="34"/>
      <c r="F176" s="29"/>
      <c r="G176" s="35" t="str">
        <f aca="false">IF(A176="",IF(SUMPRODUCT(--(B176&lt;&gt;""))+SUMPRODUCT(--(D176:F176&lt;&gt;""))+SUMPRODUCT(--(H176:K176&lt;&gt;""))&gt;0,"Missing ID",""),IF(COUNTIF($A$7:$A$307,A176)&gt;1,"Duplicate ID",IF(AND(D176="Complete",E176=""),"Evidence missing",IF(AND(D176&lt;&gt;"Not started",D176&lt;&gt;"In progress",D176&lt;&gt;"In review",D176&lt;&gt;"Complete"),"Choose a status",""))))</f>
        <v/>
      </c>
      <c r="H176" s="29"/>
      <c r="I176" s="29"/>
      <c r="J176" s="29"/>
      <c r="K176" s="29"/>
    </row>
    <row r="177" customFormat="false" ht="44" hidden="false" customHeight="true" outlineLevel="0" collapsed="false">
      <c r="A177" s="29"/>
      <c r="B177" s="29"/>
      <c r="C177" s="29"/>
      <c r="D177" s="34"/>
      <c r="E177" s="34"/>
      <c r="F177" s="29"/>
      <c r="G177" s="35" t="str">
        <f aca="false">IF(A177="",IF(SUMPRODUCT(--(B177&lt;&gt;""))+SUMPRODUCT(--(D177:F177&lt;&gt;""))+SUMPRODUCT(--(H177:K177&lt;&gt;""))&gt;0,"Missing ID",""),IF(COUNTIF($A$7:$A$307,A177)&gt;1,"Duplicate ID",IF(AND(D177="Complete",E177=""),"Evidence missing",IF(AND(D177&lt;&gt;"Not started",D177&lt;&gt;"In progress",D177&lt;&gt;"In review",D177&lt;&gt;"Complete"),"Choose a status",""))))</f>
        <v/>
      </c>
      <c r="H177" s="29"/>
      <c r="I177" s="29"/>
      <c r="J177" s="29"/>
      <c r="K177" s="29"/>
    </row>
    <row r="178" customFormat="false" ht="44" hidden="false" customHeight="true" outlineLevel="0" collapsed="false">
      <c r="A178" s="29"/>
      <c r="B178" s="29"/>
      <c r="C178" s="29"/>
      <c r="D178" s="34"/>
      <c r="E178" s="34"/>
      <c r="F178" s="29"/>
      <c r="G178" s="35" t="str">
        <f aca="false">IF(A178="",IF(SUMPRODUCT(--(B178&lt;&gt;""))+SUMPRODUCT(--(D178:F178&lt;&gt;""))+SUMPRODUCT(--(H178:K178&lt;&gt;""))&gt;0,"Missing ID",""),IF(COUNTIF($A$7:$A$307,A178)&gt;1,"Duplicate ID",IF(AND(D178="Complete",E178=""),"Evidence missing",IF(AND(D178&lt;&gt;"Not started",D178&lt;&gt;"In progress",D178&lt;&gt;"In review",D178&lt;&gt;"Complete"),"Choose a status",""))))</f>
        <v/>
      </c>
      <c r="H178" s="29"/>
      <c r="I178" s="29"/>
      <c r="J178" s="29"/>
      <c r="K178" s="29"/>
    </row>
    <row r="179" customFormat="false" ht="44" hidden="false" customHeight="true" outlineLevel="0" collapsed="false">
      <c r="A179" s="29"/>
      <c r="B179" s="29"/>
      <c r="C179" s="29"/>
      <c r="D179" s="34"/>
      <c r="E179" s="34"/>
      <c r="F179" s="29"/>
      <c r="G179" s="35" t="str">
        <f aca="false">IF(A179="",IF(SUMPRODUCT(--(B179&lt;&gt;""))+SUMPRODUCT(--(D179:F179&lt;&gt;""))+SUMPRODUCT(--(H179:K179&lt;&gt;""))&gt;0,"Missing ID",""),IF(COUNTIF($A$7:$A$307,A179)&gt;1,"Duplicate ID",IF(AND(D179="Complete",E179=""),"Evidence missing",IF(AND(D179&lt;&gt;"Not started",D179&lt;&gt;"In progress",D179&lt;&gt;"In review",D179&lt;&gt;"Complete"),"Choose a status",""))))</f>
        <v/>
      </c>
      <c r="H179" s="29"/>
      <c r="I179" s="29"/>
      <c r="J179" s="29"/>
      <c r="K179" s="29"/>
    </row>
    <row r="180" customFormat="false" ht="44" hidden="false" customHeight="true" outlineLevel="0" collapsed="false">
      <c r="A180" s="29"/>
      <c r="B180" s="29"/>
      <c r="C180" s="29"/>
      <c r="D180" s="34"/>
      <c r="E180" s="34"/>
      <c r="F180" s="29"/>
      <c r="G180" s="35" t="str">
        <f aca="false">IF(A180="",IF(SUMPRODUCT(--(B180&lt;&gt;""))+SUMPRODUCT(--(D180:F180&lt;&gt;""))+SUMPRODUCT(--(H180:K180&lt;&gt;""))&gt;0,"Missing ID",""),IF(COUNTIF($A$7:$A$307,A180)&gt;1,"Duplicate ID",IF(AND(D180="Complete",E180=""),"Evidence missing",IF(AND(D180&lt;&gt;"Not started",D180&lt;&gt;"In progress",D180&lt;&gt;"In review",D180&lt;&gt;"Complete"),"Choose a status",""))))</f>
        <v/>
      </c>
      <c r="H180" s="29"/>
      <c r="I180" s="29"/>
      <c r="J180" s="29"/>
      <c r="K180" s="29"/>
    </row>
    <row r="181" customFormat="false" ht="44" hidden="false" customHeight="true" outlineLevel="0" collapsed="false">
      <c r="A181" s="29"/>
      <c r="B181" s="29"/>
      <c r="C181" s="29"/>
      <c r="D181" s="34"/>
      <c r="E181" s="34"/>
      <c r="F181" s="29"/>
      <c r="G181" s="35" t="str">
        <f aca="false">IF(A181="",IF(SUMPRODUCT(--(B181&lt;&gt;""))+SUMPRODUCT(--(D181:F181&lt;&gt;""))+SUMPRODUCT(--(H181:K181&lt;&gt;""))&gt;0,"Missing ID",""),IF(COUNTIF($A$7:$A$307,A181)&gt;1,"Duplicate ID",IF(AND(D181="Complete",E181=""),"Evidence missing",IF(AND(D181&lt;&gt;"Not started",D181&lt;&gt;"In progress",D181&lt;&gt;"In review",D181&lt;&gt;"Complete"),"Choose a status",""))))</f>
        <v/>
      </c>
      <c r="H181" s="29"/>
      <c r="I181" s="29"/>
      <c r="J181" s="29"/>
      <c r="K181" s="29"/>
    </row>
    <row r="182" customFormat="false" ht="44" hidden="false" customHeight="true" outlineLevel="0" collapsed="false">
      <c r="A182" s="29"/>
      <c r="B182" s="29"/>
      <c r="C182" s="29"/>
      <c r="D182" s="34"/>
      <c r="E182" s="34"/>
      <c r="F182" s="29"/>
      <c r="G182" s="35" t="str">
        <f aca="false">IF(A182="",IF(SUMPRODUCT(--(B182&lt;&gt;""))+SUMPRODUCT(--(D182:F182&lt;&gt;""))+SUMPRODUCT(--(H182:K182&lt;&gt;""))&gt;0,"Missing ID",""),IF(COUNTIF($A$7:$A$307,A182)&gt;1,"Duplicate ID",IF(AND(D182="Complete",E182=""),"Evidence missing",IF(AND(D182&lt;&gt;"Not started",D182&lt;&gt;"In progress",D182&lt;&gt;"In review",D182&lt;&gt;"Complete"),"Choose a status",""))))</f>
        <v/>
      </c>
      <c r="H182" s="29"/>
      <c r="I182" s="29"/>
      <c r="J182" s="29"/>
      <c r="K182" s="29"/>
    </row>
    <row r="183" customFormat="false" ht="44" hidden="false" customHeight="true" outlineLevel="0" collapsed="false">
      <c r="A183" s="29"/>
      <c r="B183" s="29"/>
      <c r="C183" s="29"/>
      <c r="D183" s="34"/>
      <c r="E183" s="34"/>
      <c r="F183" s="29"/>
      <c r="G183" s="35" t="str">
        <f aca="false">IF(A183="",IF(SUMPRODUCT(--(B183&lt;&gt;""))+SUMPRODUCT(--(D183:F183&lt;&gt;""))+SUMPRODUCT(--(H183:K183&lt;&gt;""))&gt;0,"Missing ID",""),IF(COUNTIF($A$7:$A$307,A183)&gt;1,"Duplicate ID",IF(AND(D183="Complete",E183=""),"Evidence missing",IF(AND(D183&lt;&gt;"Not started",D183&lt;&gt;"In progress",D183&lt;&gt;"In review",D183&lt;&gt;"Complete"),"Choose a status",""))))</f>
        <v/>
      </c>
      <c r="H183" s="29"/>
      <c r="I183" s="29"/>
      <c r="J183" s="29"/>
      <c r="K183" s="29"/>
    </row>
    <row r="184" customFormat="false" ht="44" hidden="false" customHeight="true" outlineLevel="0" collapsed="false">
      <c r="A184" s="29"/>
      <c r="B184" s="29"/>
      <c r="C184" s="29"/>
      <c r="D184" s="34"/>
      <c r="E184" s="34"/>
      <c r="F184" s="29"/>
      <c r="G184" s="35" t="str">
        <f aca="false">IF(A184="",IF(SUMPRODUCT(--(B184&lt;&gt;""))+SUMPRODUCT(--(D184:F184&lt;&gt;""))+SUMPRODUCT(--(H184:K184&lt;&gt;""))&gt;0,"Missing ID",""),IF(COUNTIF($A$7:$A$307,A184)&gt;1,"Duplicate ID",IF(AND(D184="Complete",E184=""),"Evidence missing",IF(AND(D184&lt;&gt;"Not started",D184&lt;&gt;"In progress",D184&lt;&gt;"In review",D184&lt;&gt;"Complete"),"Choose a status",""))))</f>
        <v/>
      </c>
      <c r="H184" s="29"/>
      <c r="I184" s="29"/>
      <c r="J184" s="29"/>
      <c r="K184" s="29"/>
    </row>
    <row r="185" customFormat="false" ht="44" hidden="false" customHeight="true" outlineLevel="0" collapsed="false">
      <c r="A185" s="29"/>
      <c r="B185" s="29"/>
      <c r="C185" s="29"/>
      <c r="D185" s="34"/>
      <c r="E185" s="34"/>
      <c r="F185" s="29"/>
      <c r="G185" s="35" t="str">
        <f aca="false">IF(A185="",IF(SUMPRODUCT(--(B185&lt;&gt;""))+SUMPRODUCT(--(D185:F185&lt;&gt;""))+SUMPRODUCT(--(H185:K185&lt;&gt;""))&gt;0,"Missing ID",""),IF(COUNTIF($A$7:$A$307,A185)&gt;1,"Duplicate ID",IF(AND(D185="Complete",E185=""),"Evidence missing",IF(AND(D185&lt;&gt;"Not started",D185&lt;&gt;"In progress",D185&lt;&gt;"In review",D185&lt;&gt;"Complete"),"Choose a status",""))))</f>
        <v/>
      </c>
      <c r="H185" s="29"/>
      <c r="I185" s="29"/>
      <c r="J185" s="29"/>
      <c r="K185" s="29"/>
    </row>
    <row r="186" customFormat="false" ht="44" hidden="false" customHeight="true" outlineLevel="0" collapsed="false">
      <c r="A186" s="29"/>
      <c r="B186" s="29"/>
      <c r="C186" s="29"/>
      <c r="D186" s="34"/>
      <c r="E186" s="34"/>
      <c r="F186" s="29"/>
      <c r="G186" s="35" t="str">
        <f aca="false">IF(A186="",IF(SUMPRODUCT(--(B186&lt;&gt;""))+SUMPRODUCT(--(D186:F186&lt;&gt;""))+SUMPRODUCT(--(H186:K186&lt;&gt;""))&gt;0,"Missing ID",""),IF(COUNTIF($A$7:$A$307,A186)&gt;1,"Duplicate ID",IF(AND(D186="Complete",E186=""),"Evidence missing",IF(AND(D186&lt;&gt;"Not started",D186&lt;&gt;"In progress",D186&lt;&gt;"In review",D186&lt;&gt;"Complete"),"Choose a status",""))))</f>
        <v/>
      </c>
      <c r="H186" s="29"/>
      <c r="I186" s="29"/>
      <c r="J186" s="29"/>
      <c r="K186" s="29"/>
    </row>
    <row r="187" customFormat="false" ht="44" hidden="false" customHeight="true" outlineLevel="0" collapsed="false">
      <c r="A187" s="29"/>
      <c r="B187" s="29"/>
      <c r="C187" s="29"/>
      <c r="D187" s="34"/>
      <c r="E187" s="34"/>
      <c r="F187" s="29"/>
      <c r="G187" s="35" t="str">
        <f aca="false">IF(A187="",IF(SUMPRODUCT(--(B187&lt;&gt;""))+SUMPRODUCT(--(D187:F187&lt;&gt;""))+SUMPRODUCT(--(H187:K187&lt;&gt;""))&gt;0,"Missing ID",""),IF(COUNTIF($A$7:$A$307,A187)&gt;1,"Duplicate ID",IF(AND(D187="Complete",E187=""),"Evidence missing",IF(AND(D187&lt;&gt;"Not started",D187&lt;&gt;"In progress",D187&lt;&gt;"In review",D187&lt;&gt;"Complete"),"Choose a status",""))))</f>
        <v/>
      </c>
      <c r="H187" s="29"/>
      <c r="I187" s="29"/>
      <c r="J187" s="29"/>
      <c r="K187" s="29"/>
    </row>
    <row r="188" customFormat="false" ht="44" hidden="false" customHeight="true" outlineLevel="0" collapsed="false">
      <c r="A188" s="29"/>
      <c r="B188" s="29"/>
      <c r="C188" s="29"/>
      <c r="D188" s="34"/>
      <c r="E188" s="34"/>
      <c r="F188" s="29"/>
      <c r="G188" s="35" t="str">
        <f aca="false">IF(A188="",IF(SUMPRODUCT(--(B188&lt;&gt;""))+SUMPRODUCT(--(D188:F188&lt;&gt;""))+SUMPRODUCT(--(H188:K188&lt;&gt;""))&gt;0,"Missing ID",""),IF(COUNTIF($A$7:$A$307,A188)&gt;1,"Duplicate ID",IF(AND(D188="Complete",E188=""),"Evidence missing",IF(AND(D188&lt;&gt;"Not started",D188&lt;&gt;"In progress",D188&lt;&gt;"In review",D188&lt;&gt;"Complete"),"Choose a status",""))))</f>
        <v/>
      </c>
      <c r="H188" s="29"/>
      <c r="I188" s="29"/>
      <c r="J188" s="29"/>
      <c r="K188" s="29"/>
    </row>
    <row r="189" customFormat="false" ht="44" hidden="false" customHeight="true" outlineLevel="0" collapsed="false">
      <c r="A189" s="29"/>
      <c r="B189" s="29"/>
      <c r="C189" s="29"/>
      <c r="D189" s="34"/>
      <c r="E189" s="34"/>
      <c r="F189" s="29"/>
      <c r="G189" s="35" t="str">
        <f aca="false">IF(A189="",IF(SUMPRODUCT(--(B189&lt;&gt;""))+SUMPRODUCT(--(D189:F189&lt;&gt;""))+SUMPRODUCT(--(H189:K189&lt;&gt;""))&gt;0,"Missing ID",""),IF(COUNTIF($A$7:$A$307,A189)&gt;1,"Duplicate ID",IF(AND(D189="Complete",E189=""),"Evidence missing",IF(AND(D189&lt;&gt;"Not started",D189&lt;&gt;"In progress",D189&lt;&gt;"In review",D189&lt;&gt;"Complete"),"Choose a status",""))))</f>
        <v/>
      </c>
      <c r="H189" s="29"/>
      <c r="I189" s="29"/>
      <c r="J189" s="29"/>
      <c r="K189" s="29"/>
    </row>
    <row r="190" customFormat="false" ht="44" hidden="false" customHeight="true" outlineLevel="0" collapsed="false">
      <c r="A190" s="29"/>
      <c r="B190" s="29"/>
      <c r="C190" s="29"/>
      <c r="D190" s="34"/>
      <c r="E190" s="34"/>
      <c r="F190" s="29"/>
      <c r="G190" s="35" t="str">
        <f aca="false">IF(A190="",IF(SUMPRODUCT(--(B190&lt;&gt;""))+SUMPRODUCT(--(D190:F190&lt;&gt;""))+SUMPRODUCT(--(H190:K190&lt;&gt;""))&gt;0,"Missing ID",""),IF(COUNTIF($A$7:$A$307,A190)&gt;1,"Duplicate ID",IF(AND(D190="Complete",E190=""),"Evidence missing",IF(AND(D190&lt;&gt;"Not started",D190&lt;&gt;"In progress",D190&lt;&gt;"In review",D190&lt;&gt;"Complete"),"Choose a status",""))))</f>
        <v/>
      </c>
      <c r="H190" s="29"/>
      <c r="I190" s="29"/>
      <c r="J190" s="29"/>
      <c r="K190" s="29"/>
    </row>
    <row r="191" customFormat="false" ht="44" hidden="false" customHeight="true" outlineLevel="0" collapsed="false">
      <c r="A191" s="29"/>
      <c r="B191" s="29"/>
      <c r="C191" s="29"/>
      <c r="D191" s="34"/>
      <c r="E191" s="34"/>
      <c r="F191" s="29"/>
      <c r="G191" s="35" t="str">
        <f aca="false">IF(A191="",IF(SUMPRODUCT(--(B191&lt;&gt;""))+SUMPRODUCT(--(D191:F191&lt;&gt;""))+SUMPRODUCT(--(H191:K191&lt;&gt;""))&gt;0,"Missing ID",""),IF(COUNTIF($A$7:$A$307,A191)&gt;1,"Duplicate ID",IF(AND(D191="Complete",E191=""),"Evidence missing",IF(AND(D191&lt;&gt;"Not started",D191&lt;&gt;"In progress",D191&lt;&gt;"In review",D191&lt;&gt;"Complete"),"Choose a status",""))))</f>
        <v/>
      </c>
      <c r="H191" s="29"/>
      <c r="I191" s="29"/>
      <c r="J191" s="29"/>
      <c r="K191" s="29"/>
    </row>
    <row r="192" customFormat="false" ht="44" hidden="false" customHeight="true" outlineLevel="0" collapsed="false">
      <c r="A192" s="29"/>
      <c r="B192" s="29"/>
      <c r="C192" s="29"/>
      <c r="D192" s="34"/>
      <c r="E192" s="34"/>
      <c r="F192" s="29"/>
      <c r="G192" s="35" t="str">
        <f aca="false">IF(A192="",IF(SUMPRODUCT(--(B192&lt;&gt;""))+SUMPRODUCT(--(D192:F192&lt;&gt;""))+SUMPRODUCT(--(H192:K192&lt;&gt;""))&gt;0,"Missing ID",""),IF(COUNTIF($A$7:$A$307,A192)&gt;1,"Duplicate ID",IF(AND(D192="Complete",E192=""),"Evidence missing",IF(AND(D192&lt;&gt;"Not started",D192&lt;&gt;"In progress",D192&lt;&gt;"In review",D192&lt;&gt;"Complete"),"Choose a status",""))))</f>
        <v/>
      </c>
      <c r="H192" s="29"/>
      <c r="I192" s="29"/>
      <c r="J192" s="29"/>
      <c r="K192" s="29"/>
    </row>
    <row r="193" customFormat="false" ht="44" hidden="false" customHeight="true" outlineLevel="0" collapsed="false">
      <c r="A193" s="29"/>
      <c r="B193" s="29"/>
      <c r="C193" s="29"/>
      <c r="D193" s="34"/>
      <c r="E193" s="34"/>
      <c r="F193" s="29"/>
      <c r="G193" s="35" t="str">
        <f aca="false">IF(A193="",IF(SUMPRODUCT(--(B193&lt;&gt;""))+SUMPRODUCT(--(D193:F193&lt;&gt;""))+SUMPRODUCT(--(H193:K193&lt;&gt;""))&gt;0,"Missing ID",""),IF(COUNTIF($A$7:$A$307,A193)&gt;1,"Duplicate ID",IF(AND(D193="Complete",E193=""),"Evidence missing",IF(AND(D193&lt;&gt;"Not started",D193&lt;&gt;"In progress",D193&lt;&gt;"In review",D193&lt;&gt;"Complete"),"Choose a status",""))))</f>
        <v/>
      </c>
      <c r="H193" s="29"/>
      <c r="I193" s="29"/>
      <c r="J193" s="29"/>
      <c r="K193" s="29"/>
    </row>
    <row r="194" customFormat="false" ht="44" hidden="false" customHeight="true" outlineLevel="0" collapsed="false">
      <c r="A194" s="29"/>
      <c r="B194" s="29"/>
      <c r="C194" s="29"/>
      <c r="D194" s="34"/>
      <c r="E194" s="34"/>
      <c r="F194" s="29"/>
      <c r="G194" s="35" t="str">
        <f aca="false">IF(A194="",IF(SUMPRODUCT(--(B194&lt;&gt;""))+SUMPRODUCT(--(D194:F194&lt;&gt;""))+SUMPRODUCT(--(H194:K194&lt;&gt;""))&gt;0,"Missing ID",""),IF(COUNTIF($A$7:$A$307,A194)&gt;1,"Duplicate ID",IF(AND(D194="Complete",E194=""),"Evidence missing",IF(AND(D194&lt;&gt;"Not started",D194&lt;&gt;"In progress",D194&lt;&gt;"In review",D194&lt;&gt;"Complete"),"Choose a status",""))))</f>
        <v/>
      </c>
      <c r="H194" s="29"/>
      <c r="I194" s="29"/>
      <c r="J194" s="29"/>
      <c r="K194" s="29"/>
    </row>
    <row r="195" customFormat="false" ht="44" hidden="false" customHeight="true" outlineLevel="0" collapsed="false">
      <c r="A195" s="29"/>
      <c r="B195" s="29"/>
      <c r="C195" s="29"/>
      <c r="D195" s="34"/>
      <c r="E195" s="34"/>
      <c r="F195" s="29"/>
      <c r="G195" s="35" t="str">
        <f aca="false">IF(A195="",IF(SUMPRODUCT(--(B195&lt;&gt;""))+SUMPRODUCT(--(D195:F195&lt;&gt;""))+SUMPRODUCT(--(H195:K195&lt;&gt;""))&gt;0,"Missing ID",""),IF(COUNTIF($A$7:$A$307,A195)&gt;1,"Duplicate ID",IF(AND(D195="Complete",E195=""),"Evidence missing",IF(AND(D195&lt;&gt;"Not started",D195&lt;&gt;"In progress",D195&lt;&gt;"In review",D195&lt;&gt;"Complete"),"Choose a status",""))))</f>
        <v/>
      </c>
      <c r="H195" s="29"/>
      <c r="I195" s="29"/>
      <c r="J195" s="29"/>
      <c r="K195" s="29"/>
    </row>
    <row r="196" customFormat="false" ht="44" hidden="false" customHeight="true" outlineLevel="0" collapsed="false">
      <c r="A196" s="29"/>
      <c r="B196" s="29"/>
      <c r="C196" s="29"/>
      <c r="D196" s="34"/>
      <c r="E196" s="34"/>
      <c r="F196" s="29"/>
      <c r="G196" s="35" t="str">
        <f aca="false">IF(A196="",IF(SUMPRODUCT(--(B196&lt;&gt;""))+SUMPRODUCT(--(D196:F196&lt;&gt;""))+SUMPRODUCT(--(H196:K196&lt;&gt;""))&gt;0,"Missing ID",""),IF(COUNTIF($A$7:$A$307,A196)&gt;1,"Duplicate ID",IF(AND(D196="Complete",E196=""),"Evidence missing",IF(AND(D196&lt;&gt;"Not started",D196&lt;&gt;"In progress",D196&lt;&gt;"In review",D196&lt;&gt;"Complete"),"Choose a status",""))))</f>
        <v/>
      </c>
      <c r="H196" s="29"/>
      <c r="I196" s="29"/>
      <c r="J196" s="29"/>
      <c r="K196" s="29"/>
    </row>
    <row r="197" customFormat="false" ht="44" hidden="false" customHeight="true" outlineLevel="0" collapsed="false">
      <c r="A197" s="29"/>
      <c r="B197" s="29"/>
      <c r="C197" s="29"/>
      <c r="D197" s="34"/>
      <c r="E197" s="34"/>
      <c r="F197" s="29"/>
      <c r="G197" s="35" t="str">
        <f aca="false">IF(A197="",IF(SUMPRODUCT(--(B197&lt;&gt;""))+SUMPRODUCT(--(D197:F197&lt;&gt;""))+SUMPRODUCT(--(H197:K197&lt;&gt;""))&gt;0,"Missing ID",""),IF(COUNTIF($A$7:$A$307,A197)&gt;1,"Duplicate ID",IF(AND(D197="Complete",E197=""),"Evidence missing",IF(AND(D197&lt;&gt;"Not started",D197&lt;&gt;"In progress",D197&lt;&gt;"In review",D197&lt;&gt;"Complete"),"Choose a status",""))))</f>
        <v/>
      </c>
      <c r="H197" s="29"/>
      <c r="I197" s="29"/>
      <c r="J197" s="29"/>
      <c r="K197" s="29"/>
    </row>
    <row r="198" customFormat="false" ht="44" hidden="false" customHeight="true" outlineLevel="0" collapsed="false">
      <c r="A198" s="29"/>
      <c r="B198" s="29"/>
      <c r="C198" s="29"/>
      <c r="D198" s="34"/>
      <c r="E198" s="34"/>
      <c r="F198" s="29"/>
      <c r="G198" s="35" t="str">
        <f aca="false">IF(A198="",IF(SUMPRODUCT(--(B198&lt;&gt;""))+SUMPRODUCT(--(D198:F198&lt;&gt;""))+SUMPRODUCT(--(H198:K198&lt;&gt;""))&gt;0,"Missing ID",""),IF(COUNTIF($A$7:$A$307,A198)&gt;1,"Duplicate ID",IF(AND(D198="Complete",E198=""),"Evidence missing",IF(AND(D198&lt;&gt;"Not started",D198&lt;&gt;"In progress",D198&lt;&gt;"In review",D198&lt;&gt;"Complete"),"Choose a status",""))))</f>
        <v/>
      </c>
      <c r="H198" s="29"/>
      <c r="I198" s="29"/>
      <c r="J198" s="29"/>
      <c r="K198" s="29"/>
    </row>
    <row r="199" customFormat="false" ht="44" hidden="false" customHeight="true" outlineLevel="0" collapsed="false">
      <c r="A199" s="29"/>
      <c r="B199" s="29"/>
      <c r="C199" s="29"/>
      <c r="D199" s="34"/>
      <c r="E199" s="34"/>
      <c r="F199" s="29"/>
      <c r="G199" s="35" t="str">
        <f aca="false">IF(A199="",IF(SUMPRODUCT(--(B199&lt;&gt;""))+SUMPRODUCT(--(D199:F199&lt;&gt;""))+SUMPRODUCT(--(H199:K199&lt;&gt;""))&gt;0,"Missing ID",""),IF(COUNTIF($A$7:$A$307,A199)&gt;1,"Duplicate ID",IF(AND(D199="Complete",E199=""),"Evidence missing",IF(AND(D199&lt;&gt;"Not started",D199&lt;&gt;"In progress",D199&lt;&gt;"In review",D199&lt;&gt;"Complete"),"Choose a status",""))))</f>
        <v/>
      </c>
      <c r="H199" s="29"/>
      <c r="I199" s="29"/>
      <c r="J199" s="29"/>
      <c r="K199" s="29"/>
    </row>
    <row r="200" customFormat="false" ht="44" hidden="false" customHeight="true" outlineLevel="0" collapsed="false">
      <c r="A200" s="29"/>
      <c r="B200" s="29"/>
      <c r="C200" s="29"/>
      <c r="D200" s="34"/>
      <c r="E200" s="34"/>
      <c r="F200" s="29"/>
      <c r="G200" s="35" t="str">
        <f aca="false">IF(A200="",IF(SUMPRODUCT(--(B200&lt;&gt;""))+SUMPRODUCT(--(D200:F200&lt;&gt;""))+SUMPRODUCT(--(H200:K200&lt;&gt;""))&gt;0,"Missing ID",""),IF(COUNTIF($A$7:$A$307,A200)&gt;1,"Duplicate ID",IF(AND(D200="Complete",E200=""),"Evidence missing",IF(AND(D200&lt;&gt;"Not started",D200&lt;&gt;"In progress",D200&lt;&gt;"In review",D200&lt;&gt;"Complete"),"Choose a status",""))))</f>
        <v/>
      </c>
      <c r="H200" s="29"/>
      <c r="I200" s="29"/>
      <c r="J200" s="29"/>
      <c r="K200" s="29"/>
    </row>
    <row r="201" customFormat="false" ht="44" hidden="false" customHeight="true" outlineLevel="0" collapsed="false">
      <c r="A201" s="29"/>
      <c r="B201" s="29"/>
      <c r="C201" s="29"/>
      <c r="D201" s="34"/>
      <c r="E201" s="34"/>
      <c r="F201" s="29"/>
      <c r="G201" s="35" t="str">
        <f aca="false">IF(A201="",IF(SUMPRODUCT(--(B201&lt;&gt;""))+SUMPRODUCT(--(D201:F201&lt;&gt;""))+SUMPRODUCT(--(H201:K201&lt;&gt;""))&gt;0,"Missing ID",""),IF(COUNTIF($A$7:$A$307,A201)&gt;1,"Duplicate ID",IF(AND(D201="Complete",E201=""),"Evidence missing",IF(AND(D201&lt;&gt;"Not started",D201&lt;&gt;"In progress",D201&lt;&gt;"In review",D201&lt;&gt;"Complete"),"Choose a status",""))))</f>
        <v/>
      </c>
      <c r="H201" s="29"/>
      <c r="I201" s="29"/>
      <c r="J201" s="29"/>
      <c r="K201" s="29"/>
    </row>
    <row r="202" customFormat="false" ht="44" hidden="false" customHeight="true" outlineLevel="0" collapsed="false">
      <c r="A202" s="29"/>
      <c r="B202" s="29"/>
      <c r="C202" s="29"/>
      <c r="D202" s="34"/>
      <c r="E202" s="34"/>
      <c r="F202" s="29"/>
      <c r="G202" s="35" t="str">
        <f aca="false">IF(A202="",IF(SUMPRODUCT(--(B202&lt;&gt;""))+SUMPRODUCT(--(D202:F202&lt;&gt;""))+SUMPRODUCT(--(H202:K202&lt;&gt;""))&gt;0,"Missing ID",""),IF(COUNTIF($A$7:$A$307,A202)&gt;1,"Duplicate ID",IF(AND(D202="Complete",E202=""),"Evidence missing",IF(AND(D202&lt;&gt;"Not started",D202&lt;&gt;"In progress",D202&lt;&gt;"In review",D202&lt;&gt;"Complete"),"Choose a status",""))))</f>
        <v/>
      </c>
      <c r="H202" s="29"/>
      <c r="I202" s="29"/>
      <c r="J202" s="29"/>
      <c r="K202" s="29"/>
    </row>
    <row r="203" customFormat="false" ht="44" hidden="false" customHeight="true" outlineLevel="0" collapsed="false">
      <c r="A203" s="29"/>
      <c r="B203" s="29"/>
      <c r="C203" s="29"/>
      <c r="D203" s="34"/>
      <c r="E203" s="34"/>
      <c r="F203" s="29"/>
      <c r="G203" s="35" t="str">
        <f aca="false">IF(A203="",IF(SUMPRODUCT(--(B203&lt;&gt;""))+SUMPRODUCT(--(D203:F203&lt;&gt;""))+SUMPRODUCT(--(H203:K203&lt;&gt;""))&gt;0,"Missing ID",""),IF(COUNTIF($A$7:$A$307,A203)&gt;1,"Duplicate ID",IF(AND(D203="Complete",E203=""),"Evidence missing",IF(AND(D203&lt;&gt;"Not started",D203&lt;&gt;"In progress",D203&lt;&gt;"In review",D203&lt;&gt;"Complete"),"Choose a status",""))))</f>
        <v/>
      </c>
      <c r="H203" s="29"/>
      <c r="I203" s="29"/>
      <c r="J203" s="29"/>
      <c r="K203" s="29"/>
    </row>
    <row r="204" customFormat="false" ht="44" hidden="false" customHeight="true" outlineLevel="0" collapsed="false">
      <c r="A204" s="29"/>
      <c r="B204" s="29"/>
      <c r="C204" s="29"/>
      <c r="D204" s="34"/>
      <c r="E204" s="34"/>
      <c r="F204" s="29"/>
      <c r="G204" s="35" t="str">
        <f aca="false">IF(A204="",IF(SUMPRODUCT(--(B204&lt;&gt;""))+SUMPRODUCT(--(D204:F204&lt;&gt;""))+SUMPRODUCT(--(H204:K204&lt;&gt;""))&gt;0,"Missing ID",""),IF(COUNTIF($A$7:$A$307,A204)&gt;1,"Duplicate ID",IF(AND(D204="Complete",E204=""),"Evidence missing",IF(AND(D204&lt;&gt;"Not started",D204&lt;&gt;"In progress",D204&lt;&gt;"In review",D204&lt;&gt;"Complete"),"Choose a status",""))))</f>
        <v/>
      </c>
      <c r="H204" s="29"/>
      <c r="I204" s="29"/>
      <c r="J204" s="29"/>
      <c r="K204" s="29"/>
    </row>
    <row r="205" customFormat="false" ht="44" hidden="false" customHeight="true" outlineLevel="0" collapsed="false">
      <c r="A205" s="29"/>
      <c r="B205" s="29"/>
      <c r="C205" s="29"/>
      <c r="D205" s="34"/>
      <c r="E205" s="34"/>
      <c r="F205" s="29"/>
      <c r="G205" s="35" t="str">
        <f aca="false">IF(A205="",IF(SUMPRODUCT(--(B205&lt;&gt;""))+SUMPRODUCT(--(D205:F205&lt;&gt;""))+SUMPRODUCT(--(H205:K205&lt;&gt;""))&gt;0,"Missing ID",""),IF(COUNTIF($A$7:$A$307,A205)&gt;1,"Duplicate ID",IF(AND(D205="Complete",E205=""),"Evidence missing",IF(AND(D205&lt;&gt;"Not started",D205&lt;&gt;"In progress",D205&lt;&gt;"In review",D205&lt;&gt;"Complete"),"Choose a status",""))))</f>
        <v/>
      </c>
      <c r="H205" s="29"/>
      <c r="I205" s="29"/>
      <c r="J205" s="29"/>
      <c r="K205" s="29"/>
    </row>
    <row r="206" customFormat="false" ht="44" hidden="false" customHeight="true" outlineLevel="0" collapsed="false">
      <c r="A206" s="29"/>
      <c r="B206" s="29"/>
      <c r="C206" s="29"/>
      <c r="D206" s="34"/>
      <c r="E206" s="34"/>
      <c r="F206" s="29"/>
      <c r="G206" s="35" t="str">
        <f aca="false">IF(A206="",IF(SUMPRODUCT(--(B206&lt;&gt;""))+SUMPRODUCT(--(D206:F206&lt;&gt;""))+SUMPRODUCT(--(H206:K206&lt;&gt;""))&gt;0,"Missing ID",""),IF(COUNTIF($A$7:$A$307,A206)&gt;1,"Duplicate ID",IF(AND(D206="Complete",E206=""),"Evidence missing",IF(AND(D206&lt;&gt;"Not started",D206&lt;&gt;"In progress",D206&lt;&gt;"In review",D206&lt;&gt;"Complete"),"Choose a status",""))))</f>
        <v/>
      </c>
      <c r="H206" s="29"/>
      <c r="I206" s="29"/>
      <c r="J206" s="29"/>
      <c r="K206" s="29"/>
    </row>
    <row r="207" customFormat="false" ht="44" hidden="false" customHeight="true" outlineLevel="0" collapsed="false">
      <c r="A207" s="29"/>
      <c r="B207" s="29"/>
      <c r="C207" s="29"/>
      <c r="D207" s="34"/>
      <c r="E207" s="34"/>
      <c r="F207" s="29"/>
      <c r="G207" s="35" t="str">
        <f aca="false">IF(A207="",IF(SUMPRODUCT(--(B207&lt;&gt;""))+SUMPRODUCT(--(D207:F207&lt;&gt;""))+SUMPRODUCT(--(H207:K207&lt;&gt;""))&gt;0,"Missing ID",""),IF(COUNTIF($A$7:$A$307,A207)&gt;1,"Duplicate ID",IF(AND(D207="Complete",E207=""),"Evidence missing",IF(AND(D207&lt;&gt;"Not started",D207&lt;&gt;"In progress",D207&lt;&gt;"In review",D207&lt;&gt;"Complete"),"Choose a status",""))))</f>
        <v/>
      </c>
      <c r="H207" s="29"/>
      <c r="I207" s="29"/>
      <c r="J207" s="29"/>
      <c r="K207" s="29"/>
    </row>
    <row r="208" customFormat="false" ht="44" hidden="false" customHeight="true" outlineLevel="0" collapsed="false">
      <c r="A208" s="29"/>
      <c r="B208" s="29"/>
      <c r="C208" s="29"/>
      <c r="D208" s="34"/>
      <c r="E208" s="34"/>
      <c r="F208" s="29"/>
      <c r="G208" s="35" t="str">
        <f aca="false">IF(A208="",IF(SUMPRODUCT(--(B208&lt;&gt;""))+SUMPRODUCT(--(D208:F208&lt;&gt;""))+SUMPRODUCT(--(H208:K208&lt;&gt;""))&gt;0,"Missing ID",""),IF(COUNTIF($A$7:$A$307,A208)&gt;1,"Duplicate ID",IF(AND(D208="Complete",E208=""),"Evidence missing",IF(AND(D208&lt;&gt;"Not started",D208&lt;&gt;"In progress",D208&lt;&gt;"In review",D208&lt;&gt;"Complete"),"Choose a status",""))))</f>
        <v/>
      </c>
      <c r="H208" s="29"/>
      <c r="I208" s="29"/>
      <c r="J208" s="29"/>
      <c r="K208" s="29"/>
    </row>
    <row r="209" customFormat="false" ht="44" hidden="false" customHeight="true" outlineLevel="0" collapsed="false">
      <c r="A209" s="29"/>
      <c r="B209" s="29"/>
      <c r="C209" s="29"/>
      <c r="D209" s="34"/>
      <c r="E209" s="34"/>
      <c r="F209" s="29"/>
      <c r="G209" s="35" t="str">
        <f aca="false">IF(A209="",IF(SUMPRODUCT(--(B209&lt;&gt;""))+SUMPRODUCT(--(D209:F209&lt;&gt;""))+SUMPRODUCT(--(H209:K209&lt;&gt;""))&gt;0,"Missing ID",""),IF(COUNTIF($A$7:$A$307,A209)&gt;1,"Duplicate ID",IF(AND(D209="Complete",E209=""),"Evidence missing",IF(AND(D209&lt;&gt;"Not started",D209&lt;&gt;"In progress",D209&lt;&gt;"In review",D209&lt;&gt;"Complete"),"Choose a status",""))))</f>
        <v/>
      </c>
      <c r="H209" s="29"/>
      <c r="I209" s="29"/>
      <c r="J209" s="29"/>
      <c r="K209" s="29"/>
    </row>
    <row r="210" customFormat="false" ht="44" hidden="false" customHeight="true" outlineLevel="0" collapsed="false">
      <c r="A210" s="29"/>
      <c r="B210" s="29"/>
      <c r="C210" s="29"/>
      <c r="D210" s="34"/>
      <c r="E210" s="34"/>
      <c r="F210" s="29"/>
      <c r="G210" s="35" t="str">
        <f aca="false">IF(A210="",IF(SUMPRODUCT(--(B210&lt;&gt;""))+SUMPRODUCT(--(D210:F210&lt;&gt;""))+SUMPRODUCT(--(H210:K210&lt;&gt;""))&gt;0,"Missing ID",""),IF(COUNTIF($A$7:$A$307,A210)&gt;1,"Duplicate ID",IF(AND(D210="Complete",E210=""),"Evidence missing",IF(AND(D210&lt;&gt;"Not started",D210&lt;&gt;"In progress",D210&lt;&gt;"In review",D210&lt;&gt;"Complete"),"Choose a status",""))))</f>
        <v/>
      </c>
      <c r="H210" s="29"/>
      <c r="I210" s="29"/>
      <c r="J210" s="29"/>
      <c r="K210" s="29"/>
    </row>
    <row r="211" customFormat="false" ht="44" hidden="false" customHeight="true" outlineLevel="0" collapsed="false">
      <c r="A211" s="29"/>
      <c r="B211" s="29"/>
      <c r="C211" s="29"/>
      <c r="D211" s="34"/>
      <c r="E211" s="34"/>
      <c r="F211" s="29"/>
      <c r="G211" s="35" t="str">
        <f aca="false">IF(A211="",IF(SUMPRODUCT(--(B211&lt;&gt;""))+SUMPRODUCT(--(D211:F211&lt;&gt;""))+SUMPRODUCT(--(H211:K211&lt;&gt;""))&gt;0,"Missing ID",""),IF(COUNTIF($A$7:$A$307,A211)&gt;1,"Duplicate ID",IF(AND(D211="Complete",E211=""),"Evidence missing",IF(AND(D211&lt;&gt;"Not started",D211&lt;&gt;"In progress",D211&lt;&gt;"In review",D211&lt;&gt;"Complete"),"Choose a status",""))))</f>
        <v/>
      </c>
      <c r="H211" s="29"/>
      <c r="I211" s="29"/>
      <c r="J211" s="29"/>
      <c r="K211" s="29"/>
    </row>
    <row r="212" customFormat="false" ht="44" hidden="false" customHeight="true" outlineLevel="0" collapsed="false">
      <c r="A212" s="29"/>
      <c r="B212" s="29"/>
      <c r="C212" s="29"/>
      <c r="D212" s="34"/>
      <c r="E212" s="34"/>
      <c r="F212" s="29"/>
      <c r="G212" s="35" t="str">
        <f aca="false">IF(A212="",IF(SUMPRODUCT(--(B212&lt;&gt;""))+SUMPRODUCT(--(D212:F212&lt;&gt;""))+SUMPRODUCT(--(H212:K212&lt;&gt;""))&gt;0,"Missing ID",""),IF(COUNTIF($A$7:$A$307,A212)&gt;1,"Duplicate ID",IF(AND(D212="Complete",E212=""),"Evidence missing",IF(AND(D212&lt;&gt;"Not started",D212&lt;&gt;"In progress",D212&lt;&gt;"In review",D212&lt;&gt;"Complete"),"Choose a status",""))))</f>
        <v/>
      </c>
      <c r="H212" s="29"/>
      <c r="I212" s="29"/>
      <c r="J212" s="29"/>
      <c r="K212" s="29"/>
    </row>
    <row r="213" customFormat="false" ht="44" hidden="false" customHeight="true" outlineLevel="0" collapsed="false">
      <c r="A213" s="29"/>
      <c r="B213" s="29"/>
      <c r="C213" s="29"/>
      <c r="D213" s="34"/>
      <c r="E213" s="34"/>
      <c r="F213" s="29"/>
      <c r="G213" s="35" t="str">
        <f aca="false">IF(A213="",IF(SUMPRODUCT(--(B213&lt;&gt;""))+SUMPRODUCT(--(D213:F213&lt;&gt;""))+SUMPRODUCT(--(H213:K213&lt;&gt;""))&gt;0,"Missing ID",""),IF(COUNTIF($A$7:$A$307,A213)&gt;1,"Duplicate ID",IF(AND(D213="Complete",E213=""),"Evidence missing",IF(AND(D213&lt;&gt;"Not started",D213&lt;&gt;"In progress",D213&lt;&gt;"In review",D213&lt;&gt;"Complete"),"Choose a status",""))))</f>
        <v/>
      </c>
      <c r="H213" s="29"/>
      <c r="I213" s="29"/>
      <c r="J213" s="29"/>
      <c r="K213" s="29"/>
    </row>
    <row r="214" customFormat="false" ht="44" hidden="false" customHeight="true" outlineLevel="0" collapsed="false">
      <c r="A214" s="29"/>
      <c r="B214" s="29"/>
      <c r="C214" s="29"/>
      <c r="D214" s="34"/>
      <c r="E214" s="34"/>
      <c r="F214" s="29"/>
      <c r="G214" s="35" t="str">
        <f aca="false">IF(A214="",IF(SUMPRODUCT(--(B214&lt;&gt;""))+SUMPRODUCT(--(D214:F214&lt;&gt;""))+SUMPRODUCT(--(H214:K214&lt;&gt;""))&gt;0,"Missing ID",""),IF(COUNTIF($A$7:$A$307,A214)&gt;1,"Duplicate ID",IF(AND(D214="Complete",E214=""),"Evidence missing",IF(AND(D214&lt;&gt;"Not started",D214&lt;&gt;"In progress",D214&lt;&gt;"In review",D214&lt;&gt;"Complete"),"Choose a status",""))))</f>
        <v/>
      </c>
      <c r="H214" s="29"/>
      <c r="I214" s="29"/>
      <c r="J214" s="29"/>
      <c r="K214" s="29"/>
    </row>
    <row r="215" customFormat="false" ht="44" hidden="false" customHeight="true" outlineLevel="0" collapsed="false">
      <c r="A215" s="29"/>
      <c r="B215" s="29"/>
      <c r="C215" s="29"/>
      <c r="D215" s="34"/>
      <c r="E215" s="34"/>
      <c r="F215" s="29"/>
      <c r="G215" s="35" t="str">
        <f aca="false">IF(A215="",IF(SUMPRODUCT(--(B215&lt;&gt;""))+SUMPRODUCT(--(D215:F215&lt;&gt;""))+SUMPRODUCT(--(H215:K215&lt;&gt;""))&gt;0,"Missing ID",""),IF(COUNTIF($A$7:$A$307,A215)&gt;1,"Duplicate ID",IF(AND(D215="Complete",E215=""),"Evidence missing",IF(AND(D215&lt;&gt;"Not started",D215&lt;&gt;"In progress",D215&lt;&gt;"In review",D215&lt;&gt;"Complete"),"Choose a status",""))))</f>
        <v/>
      </c>
      <c r="H215" s="29"/>
      <c r="I215" s="29"/>
      <c r="J215" s="29"/>
      <c r="K215" s="29"/>
    </row>
    <row r="216" customFormat="false" ht="44" hidden="false" customHeight="true" outlineLevel="0" collapsed="false">
      <c r="A216" s="29"/>
      <c r="B216" s="29"/>
      <c r="C216" s="29"/>
      <c r="D216" s="34"/>
      <c r="E216" s="34"/>
      <c r="F216" s="29"/>
      <c r="G216" s="35" t="str">
        <f aca="false">IF(A216="",IF(SUMPRODUCT(--(B216&lt;&gt;""))+SUMPRODUCT(--(D216:F216&lt;&gt;""))+SUMPRODUCT(--(H216:K216&lt;&gt;""))&gt;0,"Missing ID",""),IF(COUNTIF($A$7:$A$307,A216)&gt;1,"Duplicate ID",IF(AND(D216="Complete",E216=""),"Evidence missing",IF(AND(D216&lt;&gt;"Not started",D216&lt;&gt;"In progress",D216&lt;&gt;"In review",D216&lt;&gt;"Complete"),"Choose a status",""))))</f>
        <v/>
      </c>
      <c r="H216" s="29"/>
      <c r="I216" s="29"/>
      <c r="J216" s="29"/>
      <c r="K216" s="29"/>
    </row>
    <row r="217" customFormat="false" ht="44" hidden="false" customHeight="true" outlineLevel="0" collapsed="false">
      <c r="A217" s="29"/>
      <c r="B217" s="29"/>
      <c r="C217" s="29"/>
      <c r="D217" s="34"/>
      <c r="E217" s="34"/>
      <c r="F217" s="29"/>
      <c r="G217" s="35" t="str">
        <f aca="false">IF(A217="",IF(SUMPRODUCT(--(B217&lt;&gt;""))+SUMPRODUCT(--(D217:F217&lt;&gt;""))+SUMPRODUCT(--(H217:K217&lt;&gt;""))&gt;0,"Missing ID",""),IF(COUNTIF($A$7:$A$307,A217)&gt;1,"Duplicate ID",IF(AND(D217="Complete",E217=""),"Evidence missing",IF(AND(D217&lt;&gt;"Not started",D217&lt;&gt;"In progress",D217&lt;&gt;"In review",D217&lt;&gt;"Complete"),"Choose a status",""))))</f>
        <v/>
      </c>
      <c r="H217" s="29"/>
      <c r="I217" s="29"/>
      <c r="J217" s="29"/>
      <c r="K217" s="29"/>
    </row>
    <row r="218" customFormat="false" ht="44" hidden="false" customHeight="true" outlineLevel="0" collapsed="false">
      <c r="A218" s="29"/>
      <c r="B218" s="29"/>
      <c r="C218" s="29"/>
      <c r="D218" s="34"/>
      <c r="E218" s="34"/>
      <c r="F218" s="29"/>
      <c r="G218" s="35" t="str">
        <f aca="false">IF(A218="",IF(SUMPRODUCT(--(B218&lt;&gt;""))+SUMPRODUCT(--(D218:F218&lt;&gt;""))+SUMPRODUCT(--(H218:K218&lt;&gt;""))&gt;0,"Missing ID",""),IF(COUNTIF($A$7:$A$307,A218)&gt;1,"Duplicate ID",IF(AND(D218="Complete",E218=""),"Evidence missing",IF(AND(D218&lt;&gt;"Not started",D218&lt;&gt;"In progress",D218&lt;&gt;"In review",D218&lt;&gt;"Complete"),"Choose a status",""))))</f>
        <v/>
      </c>
      <c r="H218" s="29"/>
      <c r="I218" s="29"/>
      <c r="J218" s="29"/>
      <c r="K218" s="29"/>
    </row>
    <row r="219" customFormat="false" ht="44" hidden="false" customHeight="true" outlineLevel="0" collapsed="false">
      <c r="A219" s="29"/>
      <c r="B219" s="29"/>
      <c r="C219" s="29"/>
      <c r="D219" s="34"/>
      <c r="E219" s="34"/>
      <c r="F219" s="29"/>
      <c r="G219" s="35" t="str">
        <f aca="false">IF(A219="",IF(SUMPRODUCT(--(B219&lt;&gt;""))+SUMPRODUCT(--(D219:F219&lt;&gt;""))+SUMPRODUCT(--(H219:K219&lt;&gt;""))&gt;0,"Missing ID",""),IF(COUNTIF($A$7:$A$307,A219)&gt;1,"Duplicate ID",IF(AND(D219="Complete",E219=""),"Evidence missing",IF(AND(D219&lt;&gt;"Not started",D219&lt;&gt;"In progress",D219&lt;&gt;"In review",D219&lt;&gt;"Complete"),"Choose a status",""))))</f>
        <v/>
      </c>
      <c r="H219" s="29"/>
      <c r="I219" s="29"/>
      <c r="J219" s="29"/>
      <c r="K219" s="29"/>
    </row>
    <row r="220" customFormat="false" ht="44" hidden="false" customHeight="true" outlineLevel="0" collapsed="false">
      <c r="A220" s="29"/>
      <c r="B220" s="29"/>
      <c r="C220" s="29"/>
      <c r="D220" s="34"/>
      <c r="E220" s="34"/>
      <c r="F220" s="29"/>
      <c r="G220" s="35" t="str">
        <f aca="false">IF(A220="",IF(SUMPRODUCT(--(B220&lt;&gt;""))+SUMPRODUCT(--(D220:F220&lt;&gt;""))+SUMPRODUCT(--(H220:K220&lt;&gt;""))&gt;0,"Missing ID",""),IF(COUNTIF($A$7:$A$307,A220)&gt;1,"Duplicate ID",IF(AND(D220="Complete",E220=""),"Evidence missing",IF(AND(D220&lt;&gt;"Not started",D220&lt;&gt;"In progress",D220&lt;&gt;"In review",D220&lt;&gt;"Complete"),"Choose a status",""))))</f>
        <v/>
      </c>
      <c r="H220" s="29"/>
      <c r="I220" s="29"/>
      <c r="J220" s="29"/>
      <c r="K220" s="29"/>
    </row>
    <row r="221" customFormat="false" ht="44" hidden="false" customHeight="true" outlineLevel="0" collapsed="false">
      <c r="A221" s="29"/>
      <c r="B221" s="29"/>
      <c r="C221" s="29"/>
      <c r="D221" s="34"/>
      <c r="E221" s="34"/>
      <c r="F221" s="29"/>
      <c r="G221" s="35" t="str">
        <f aca="false">IF(A221="",IF(SUMPRODUCT(--(B221&lt;&gt;""))+SUMPRODUCT(--(D221:F221&lt;&gt;""))+SUMPRODUCT(--(H221:K221&lt;&gt;""))&gt;0,"Missing ID",""),IF(COUNTIF($A$7:$A$307,A221)&gt;1,"Duplicate ID",IF(AND(D221="Complete",E221=""),"Evidence missing",IF(AND(D221&lt;&gt;"Not started",D221&lt;&gt;"In progress",D221&lt;&gt;"In review",D221&lt;&gt;"Complete"),"Choose a status",""))))</f>
        <v/>
      </c>
      <c r="H221" s="29"/>
      <c r="I221" s="29"/>
      <c r="J221" s="29"/>
      <c r="K221" s="29"/>
    </row>
    <row r="222" customFormat="false" ht="44" hidden="false" customHeight="true" outlineLevel="0" collapsed="false">
      <c r="A222" s="29"/>
      <c r="B222" s="29"/>
      <c r="C222" s="29"/>
      <c r="D222" s="34"/>
      <c r="E222" s="34"/>
      <c r="F222" s="29"/>
      <c r="G222" s="35" t="str">
        <f aca="false">IF(A222="",IF(SUMPRODUCT(--(B222&lt;&gt;""))+SUMPRODUCT(--(D222:F222&lt;&gt;""))+SUMPRODUCT(--(H222:K222&lt;&gt;""))&gt;0,"Missing ID",""),IF(COUNTIF($A$7:$A$307,A222)&gt;1,"Duplicate ID",IF(AND(D222="Complete",E222=""),"Evidence missing",IF(AND(D222&lt;&gt;"Not started",D222&lt;&gt;"In progress",D222&lt;&gt;"In review",D222&lt;&gt;"Complete"),"Choose a status",""))))</f>
        <v/>
      </c>
      <c r="H222" s="29"/>
      <c r="I222" s="29"/>
      <c r="J222" s="29"/>
      <c r="K222" s="29"/>
    </row>
    <row r="223" customFormat="false" ht="44" hidden="false" customHeight="true" outlineLevel="0" collapsed="false">
      <c r="A223" s="29"/>
      <c r="B223" s="29"/>
      <c r="C223" s="29"/>
      <c r="D223" s="34"/>
      <c r="E223" s="34"/>
      <c r="F223" s="29"/>
      <c r="G223" s="35" t="str">
        <f aca="false">IF(A223="",IF(SUMPRODUCT(--(B223&lt;&gt;""))+SUMPRODUCT(--(D223:F223&lt;&gt;""))+SUMPRODUCT(--(H223:K223&lt;&gt;""))&gt;0,"Missing ID",""),IF(COUNTIF($A$7:$A$307,A223)&gt;1,"Duplicate ID",IF(AND(D223="Complete",E223=""),"Evidence missing",IF(AND(D223&lt;&gt;"Not started",D223&lt;&gt;"In progress",D223&lt;&gt;"In review",D223&lt;&gt;"Complete"),"Choose a status",""))))</f>
        <v/>
      </c>
      <c r="H223" s="29"/>
      <c r="I223" s="29"/>
      <c r="J223" s="29"/>
      <c r="K223" s="29"/>
    </row>
    <row r="224" customFormat="false" ht="44" hidden="false" customHeight="true" outlineLevel="0" collapsed="false">
      <c r="A224" s="29"/>
      <c r="B224" s="29"/>
      <c r="C224" s="29"/>
      <c r="D224" s="34"/>
      <c r="E224" s="34"/>
      <c r="F224" s="29"/>
      <c r="G224" s="35" t="str">
        <f aca="false">IF(A224="",IF(SUMPRODUCT(--(B224&lt;&gt;""))+SUMPRODUCT(--(D224:F224&lt;&gt;""))+SUMPRODUCT(--(H224:K224&lt;&gt;""))&gt;0,"Missing ID",""),IF(COUNTIF($A$7:$A$307,A224)&gt;1,"Duplicate ID",IF(AND(D224="Complete",E224=""),"Evidence missing",IF(AND(D224&lt;&gt;"Not started",D224&lt;&gt;"In progress",D224&lt;&gt;"In review",D224&lt;&gt;"Complete"),"Choose a status",""))))</f>
        <v/>
      </c>
      <c r="H224" s="29"/>
      <c r="I224" s="29"/>
      <c r="J224" s="29"/>
      <c r="K224" s="29"/>
    </row>
    <row r="225" customFormat="false" ht="44" hidden="false" customHeight="true" outlineLevel="0" collapsed="false">
      <c r="A225" s="29"/>
      <c r="B225" s="29"/>
      <c r="C225" s="29"/>
      <c r="D225" s="34"/>
      <c r="E225" s="34"/>
      <c r="F225" s="29"/>
      <c r="G225" s="35" t="str">
        <f aca="false">IF(A225="",IF(SUMPRODUCT(--(B225&lt;&gt;""))+SUMPRODUCT(--(D225:F225&lt;&gt;""))+SUMPRODUCT(--(H225:K225&lt;&gt;""))&gt;0,"Missing ID",""),IF(COUNTIF($A$7:$A$307,A225)&gt;1,"Duplicate ID",IF(AND(D225="Complete",E225=""),"Evidence missing",IF(AND(D225&lt;&gt;"Not started",D225&lt;&gt;"In progress",D225&lt;&gt;"In review",D225&lt;&gt;"Complete"),"Choose a status",""))))</f>
        <v/>
      </c>
      <c r="H225" s="29"/>
      <c r="I225" s="29"/>
      <c r="J225" s="29"/>
      <c r="K225" s="29"/>
    </row>
    <row r="226" customFormat="false" ht="44" hidden="false" customHeight="true" outlineLevel="0" collapsed="false">
      <c r="A226" s="29"/>
      <c r="B226" s="29"/>
      <c r="C226" s="29"/>
      <c r="D226" s="34"/>
      <c r="E226" s="34"/>
      <c r="F226" s="29"/>
      <c r="G226" s="35" t="str">
        <f aca="false">IF(A226="",IF(SUMPRODUCT(--(B226&lt;&gt;""))+SUMPRODUCT(--(D226:F226&lt;&gt;""))+SUMPRODUCT(--(H226:K226&lt;&gt;""))&gt;0,"Missing ID",""),IF(COUNTIF($A$7:$A$307,A226)&gt;1,"Duplicate ID",IF(AND(D226="Complete",E226=""),"Evidence missing",IF(AND(D226&lt;&gt;"Not started",D226&lt;&gt;"In progress",D226&lt;&gt;"In review",D226&lt;&gt;"Complete"),"Choose a status",""))))</f>
        <v/>
      </c>
      <c r="H226" s="29"/>
      <c r="I226" s="29"/>
      <c r="J226" s="29"/>
      <c r="K226" s="29"/>
    </row>
    <row r="227" customFormat="false" ht="44" hidden="false" customHeight="true" outlineLevel="0" collapsed="false">
      <c r="A227" s="29"/>
      <c r="B227" s="29"/>
      <c r="C227" s="29"/>
      <c r="D227" s="34"/>
      <c r="E227" s="34"/>
      <c r="F227" s="29"/>
      <c r="G227" s="35" t="str">
        <f aca="false">IF(A227="",IF(SUMPRODUCT(--(B227&lt;&gt;""))+SUMPRODUCT(--(D227:F227&lt;&gt;""))+SUMPRODUCT(--(H227:K227&lt;&gt;""))&gt;0,"Missing ID",""),IF(COUNTIF($A$7:$A$307,A227)&gt;1,"Duplicate ID",IF(AND(D227="Complete",E227=""),"Evidence missing",IF(AND(D227&lt;&gt;"Not started",D227&lt;&gt;"In progress",D227&lt;&gt;"In review",D227&lt;&gt;"Complete"),"Choose a status",""))))</f>
        <v/>
      </c>
      <c r="H227" s="29"/>
      <c r="I227" s="29"/>
      <c r="J227" s="29"/>
      <c r="K227" s="29"/>
    </row>
    <row r="228" customFormat="false" ht="44" hidden="false" customHeight="true" outlineLevel="0" collapsed="false">
      <c r="A228" s="29"/>
      <c r="B228" s="29"/>
      <c r="C228" s="29"/>
      <c r="D228" s="34"/>
      <c r="E228" s="34"/>
      <c r="F228" s="29"/>
      <c r="G228" s="35" t="str">
        <f aca="false">IF(A228="",IF(SUMPRODUCT(--(B228&lt;&gt;""))+SUMPRODUCT(--(D228:F228&lt;&gt;""))+SUMPRODUCT(--(H228:K228&lt;&gt;""))&gt;0,"Missing ID",""),IF(COUNTIF($A$7:$A$307,A228)&gt;1,"Duplicate ID",IF(AND(D228="Complete",E228=""),"Evidence missing",IF(AND(D228&lt;&gt;"Not started",D228&lt;&gt;"In progress",D228&lt;&gt;"In review",D228&lt;&gt;"Complete"),"Choose a status",""))))</f>
        <v/>
      </c>
      <c r="H228" s="29"/>
      <c r="I228" s="29"/>
      <c r="J228" s="29"/>
      <c r="K228" s="29"/>
    </row>
    <row r="229" customFormat="false" ht="44" hidden="false" customHeight="true" outlineLevel="0" collapsed="false">
      <c r="A229" s="29"/>
      <c r="B229" s="29"/>
      <c r="C229" s="29"/>
      <c r="D229" s="34"/>
      <c r="E229" s="34"/>
      <c r="F229" s="29"/>
      <c r="G229" s="35" t="str">
        <f aca="false">IF(A229="",IF(SUMPRODUCT(--(B229&lt;&gt;""))+SUMPRODUCT(--(D229:F229&lt;&gt;""))+SUMPRODUCT(--(H229:K229&lt;&gt;""))&gt;0,"Missing ID",""),IF(COUNTIF($A$7:$A$307,A229)&gt;1,"Duplicate ID",IF(AND(D229="Complete",E229=""),"Evidence missing",IF(AND(D229&lt;&gt;"Not started",D229&lt;&gt;"In progress",D229&lt;&gt;"In review",D229&lt;&gt;"Complete"),"Choose a status",""))))</f>
        <v/>
      </c>
      <c r="H229" s="29"/>
      <c r="I229" s="29"/>
      <c r="J229" s="29"/>
      <c r="K229" s="29"/>
    </row>
    <row r="230" customFormat="false" ht="44" hidden="false" customHeight="true" outlineLevel="0" collapsed="false">
      <c r="A230" s="29"/>
      <c r="B230" s="29"/>
      <c r="C230" s="29"/>
      <c r="D230" s="34"/>
      <c r="E230" s="34"/>
      <c r="F230" s="29"/>
      <c r="G230" s="35" t="str">
        <f aca="false">IF(A230="",IF(SUMPRODUCT(--(B230&lt;&gt;""))+SUMPRODUCT(--(D230:F230&lt;&gt;""))+SUMPRODUCT(--(H230:K230&lt;&gt;""))&gt;0,"Missing ID",""),IF(COUNTIF($A$7:$A$307,A230)&gt;1,"Duplicate ID",IF(AND(D230="Complete",E230=""),"Evidence missing",IF(AND(D230&lt;&gt;"Not started",D230&lt;&gt;"In progress",D230&lt;&gt;"In review",D230&lt;&gt;"Complete"),"Choose a status",""))))</f>
        <v/>
      </c>
      <c r="H230" s="29"/>
      <c r="I230" s="29"/>
      <c r="J230" s="29"/>
      <c r="K230" s="29"/>
    </row>
    <row r="231" customFormat="false" ht="44" hidden="false" customHeight="true" outlineLevel="0" collapsed="false">
      <c r="A231" s="29"/>
      <c r="B231" s="29"/>
      <c r="C231" s="29"/>
      <c r="D231" s="34"/>
      <c r="E231" s="34"/>
      <c r="F231" s="29"/>
      <c r="G231" s="35" t="str">
        <f aca="false">IF(A231="",IF(SUMPRODUCT(--(B231&lt;&gt;""))+SUMPRODUCT(--(D231:F231&lt;&gt;""))+SUMPRODUCT(--(H231:K231&lt;&gt;""))&gt;0,"Missing ID",""),IF(COUNTIF($A$7:$A$307,A231)&gt;1,"Duplicate ID",IF(AND(D231="Complete",E231=""),"Evidence missing",IF(AND(D231&lt;&gt;"Not started",D231&lt;&gt;"In progress",D231&lt;&gt;"In review",D231&lt;&gt;"Complete"),"Choose a status",""))))</f>
        <v/>
      </c>
      <c r="H231" s="29"/>
      <c r="I231" s="29"/>
      <c r="J231" s="29"/>
      <c r="K231" s="29"/>
    </row>
    <row r="232" customFormat="false" ht="44" hidden="false" customHeight="true" outlineLevel="0" collapsed="false">
      <c r="A232" s="29"/>
      <c r="B232" s="29"/>
      <c r="C232" s="29"/>
      <c r="D232" s="34"/>
      <c r="E232" s="34"/>
      <c r="F232" s="29"/>
      <c r="G232" s="35" t="str">
        <f aca="false">IF(A232="",IF(SUMPRODUCT(--(B232&lt;&gt;""))+SUMPRODUCT(--(D232:F232&lt;&gt;""))+SUMPRODUCT(--(H232:K232&lt;&gt;""))&gt;0,"Missing ID",""),IF(COUNTIF($A$7:$A$307,A232)&gt;1,"Duplicate ID",IF(AND(D232="Complete",E232=""),"Evidence missing",IF(AND(D232&lt;&gt;"Not started",D232&lt;&gt;"In progress",D232&lt;&gt;"In review",D232&lt;&gt;"Complete"),"Choose a status",""))))</f>
        <v/>
      </c>
      <c r="H232" s="29"/>
      <c r="I232" s="29"/>
      <c r="J232" s="29"/>
      <c r="K232" s="29"/>
    </row>
    <row r="233" customFormat="false" ht="44" hidden="false" customHeight="true" outlineLevel="0" collapsed="false">
      <c r="A233" s="29"/>
      <c r="B233" s="29"/>
      <c r="C233" s="29"/>
      <c r="D233" s="34"/>
      <c r="E233" s="34"/>
      <c r="F233" s="29"/>
      <c r="G233" s="35" t="str">
        <f aca="false">IF(A233="",IF(SUMPRODUCT(--(B233&lt;&gt;""))+SUMPRODUCT(--(D233:F233&lt;&gt;""))+SUMPRODUCT(--(H233:K233&lt;&gt;""))&gt;0,"Missing ID",""),IF(COUNTIF($A$7:$A$307,A233)&gt;1,"Duplicate ID",IF(AND(D233="Complete",E233=""),"Evidence missing",IF(AND(D233&lt;&gt;"Not started",D233&lt;&gt;"In progress",D233&lt;&gt;"In review",D233&lt;&gt;"Complete"),"Choose a status",""))))</f>
        <v/>
      </c>
      <c r="H233" s="29"/>
      <c r="I233" s="29"/>
      <c r="J233" s="29"/>
      <c r="K233" s="29"/>
    </row>
    <row r="234" customFormat="false" ht="44" hidden="false" customHeight="true" outlineLevel="0" collapsed="false">
      <c r="A234" s="29"/>
      <c r="B234" s="29"/>
      <c r="C234" s="29"/>
      <c r="D234" s="34"/>
      <c r="E234" s="34"/>
      <c r="F234" s="29"/>
      <c r="G234" s="35" t="str">
        <f aca="false">IF(A234="",IF(SUMPRODUCT(--(B234&lt;&gt;""))+SUMPRODUCT(--(D234:F234&lt;&gt;""))+SUMPRODUCT(--(H234:K234&lt;&gt;""))&gt;0,"Missing ID",""),IF(COUNTIF($A$7:$A$307,A234)&gt;1,"Duplicate ID",IF(AND(D234="Complete",E234=""),"Evidence missing",IF(AND(D234&lt;&gt;"Not started",D234&lt;&gt;"In progress",D234&lt;&gt;"In review",D234&lt;&gt;"Complete"),"Choose a status",""))))</f>
        <v/>
      </c>
      <c r="H234" s="29"/>
      <c r="I234" s="29"/>
      <c r="J234" s="29"/>
      <c r="K234" s="29"/>
    </row>
    <row r="235" customFormat="false" ht="44" hidden="false" customHeight="true" outlineLevel="0" collapsed="false">
      <c r="A235" s="29"/>
      <c r="B235" s="29"/>
      <c r="C235" s="29"/>
      <c r="D235" s="34"/>
      <c r="E235" s="34"/>
      <c r="F235" s="29"/>
      <c r="G235" s="35" t="str">
        <f aca="false">IF(A235="",IF(SUMPRODUCT(--(B235&lt;&gt;""))+SUMPRODUCT(--(D235:F235&lt;&gt;""))+SUMPRODUCT(--(H235:K235&lt;&gt;""))&gt;0,"Missing ID",""),IF(COUNTIF($A$7:$A$307,A235)&gt;1,"Duplicate ID",IF(AND(D235="Complete",E235=""),"Evidence missing",IF(AND(D235&lt;&gt;"Not started",D235&lt;&gt;"In progress",D235&lt;&gt;"In review",D235&lt;&gt;"Complete"),"Choose a status",""))))</f>
        <v/>
      </c>
      <c r="H235" s="29"/>
      <c r="I235" s="29"/>
      <c r="J235" s="29"/>
      <c r="K235" s="29"/>
    </row>
    <row r="236" customFormat="false" ht="44" hidden="false" customHeight="true" outlineLevel="0" collapsed="false">
      <c r="A236" s="29"/>
      <c r="B236" s="29"/>
      <c r="C236" s="29"/>
      <c r="D236" s="34"/>
      <c r="E236" s="34"/>
      <c r="F236" s="29"/>
      <c r="G236" s="35" t="str">
        <f aca="false">IF(A236="",IF(SUMPRODUCT(--(B236&lt;&gt;""))+SUMPRODUCT(--(D236:F236&lt;&gt;""))+SUMPRODUCT(--(H236:K236&lt;&gt;""))&gt;0,"Missing ID",""),IF(COUNTIF($A$7:$A$307,A236)&gt;1,"Duplicate ID",IF(AND(D236="Complete",E236=""),"Evidence missing",IF(AND(D236&lt;&gt;"Not started",D236&lt;&gt;"In progress",D236&lt;&gt;"In review",D236&lt;&gt;"Complete"),"Choose a status",""))))</f>
        <v/>
      </c>
      <c r="H236" s="29"/>
      <c r="I236" s="29"/>
      <c r="J236" s="29"/>
      <c r="K236" s="29"/>
    </row>
    <row r="237" customFormat="false" ht="44" hidden="false" customHeight="true" outlineLevel="0" collapsed="false">
      <c r="A237" s="29"/>
      <c r="B237" s="29"/>
      <c r="C237" s="29"/>
      <c r="D237" s="34"/>
      <c r="E237" s="34"/>
      <c r="F237" s="29"/>
      <c r="G237" s="35" t="str">
        <f aca="false">IF(A237="",IF(SUMPRODUCT(--(B237&lt;&gt;""))+SUMPRODUCT(--(D237:F237&lt;&gt;""))+SUMPRODUCT(--(H237:K237&lt;&gt;""))&gt;0,"Missing ID",""),IF(COUNTIF($A$7:$A$307,A237)&gt;1,"Duplicate ID",IF(AND(D237="Complete",E237=""),"Evidence missing",IF(AND(D237&lt;&gt;"Not started",D237&lt;&gt;"In progress",D237&lt;&gt;"In review",D237&lt;&gt;"Complete"),"Choose a status",""))))</f>
        <v/>
      </c>
      <c r="H237" s="29"/>
      <c r="I237" s="29"/>
      <c r="J237" s="29"/>
      <c r="K237" s="29"/>
    </row>
    <row r="238" customFormat="false" ht="44" hidden="false" customHeight="true" outlineLevel="0" collapsed="false">
      <c r="A238" s="29"/>
      <c r="B238" s="29"/>
      <c r="C238" s="29"/>
      <c r="D238" s="34"/>
      <c r="E238" s="34"/>
      <c r="F238" s="29"/>
      <c r="G238" s="35" t="str">
        <f aca="false">IF(A238="",IF(SUMPRODUCT(--(B238&lt;&gt;""))+SUMPRODUCT(--(D238:F238&lt;&gt;""))+SUMPRODUCT(--(H238:K238&lt;&gt;""))&gt;0,"Missing ID",""),IF(COUNTIF($A$7:$A$307,A238)&gt;1,"Duplicate ID",IF(AND(D238="Complete",E238=""),"Evidence missing",IF(AND(D238&lt;&gt;"Not started",D238&lt;&gt;"In progress",D238&lt;&gt;"In review",D238&lt;&gt;"Complete"),"Choose a status",""))))</f>
        <v/>
      </c>
      <c r="H238" s="29"/>
      <c r="I238" s="29"/>
      <c r="J238" s="29"/>
      <c r="K238" s="29"/>
    </row>
    <row r="239" customFormat="false" ht="44" hidden="false" customHeight="true" outlineLevel="0" collapsed="false">
      <c r="A239" s="29"/>
      <c r="B239" s="29"/>
      <c r="C239" s="29"/>
      <c r="D239" s="34"/>
      <c r="E239" s="34"/>
      <c r="F239" s="29"/>
      <c r="G239" s="35" t="str">
        <f aca="false">IF(A239="",IF(SUMPRODUCT(--(B239&lt;&gt;""))+SUMPRODUCT(--(D239:F239&lt;&gt;""))+SUMPRODUCT(--(H239:K239&lt;&gt;""))&gt;0,"Missing ID",""),IF(COUNTIF($A$7:$A$307,A239)&gt;1,"Duplicate ID",IF(AND(D239="Complete",E239=""),"Evidence missing",IF(AND(D239&lt;&gt;"Not started",D239&lt;&gt;"In progress",D239&lt;&gt;"In review",D239&lt;&gt;"Complete"),"Choose a status",""))))</f>
        <v/>
      </c>
      <c r="H239" s="29"/>
      <c r="I239" s="29"/>
      <c r="J239" s="29"/>
      <c r="K239" s="29"/>
    </row>
    <row r="240" customFormat="false" ht="44" hidden="false" customHeight="true" outlineLevel="0" collapsed="false">
      <c r="A240" s="29"/>
      <c r="B240" s="29"/>
      <c r="C240" s="29"/>
      <c r="D240" s="34"/>
      <c r="E240" s="34"/>
      <c r="F240" s="29"/>
      <c r="G240" s="35" t="str">
        <f aca="false">IF(A240="",IF(SUMPRODUCT(--(B240&lt;&gt;""))+SUMPRODUCT(--(D240:F240&lt;&gt;""))+SUMPRODUCT(--(H240:K240&lt;&gt;""))&gt;0,"Missing ID",""),IF(COUNTIF($A$7:$A$307,A240)&gt;1,"Duplicate ID",IF(AND(D240="Complete",E240=""),"Evidence missing",IF(AND(D240&lt;&gt;"Not started",D240&lt;&gt;"In progress",D240&lt;&gt;"In review",D240&lt;&gt;"Complete"),"Choose a status",""))))</f>
        <v/>
      </c>
      <c r="H240" s="29"/>
      <c r="I240" s="29"/>
      <c r="J240" s="29"/>
      <c r="K240" s="29"/>
    </row>
    <row r="241" customFormat="false" ht="44" hidden="false" customHeight="true" outlineLevel="0" collapsed="false">
      <c r="A241" s="29"/>
      <c r="B241" s="29"/>
      <c r="C241" s="29"/>
      <c r="D241" s="34"/>
      <c r="E241" s="34"/>
      <c r="F241" s="29"/>
      <c r="G241" s="35" t="str">
        <f aca="false">IF(A241="",IF(SUMPRODUCT(--(B241&lt;&gt;""))+SUMPRODUCT(--(D241:F241&lt;&gt;""))+SUMPRODUCT(--(H241:K241&lt;&gt;""))&gt;0,"Missing ID",""),IF(COUNTIF($A$7:$A$307,A241)&gt;1,"Duplicate ID",IF(AND(D241="Complete",E241=""),"Evidence missing",IF(AND(D241&lt;&gt;"Not started",D241&lt;&gt;"In progress",D241&lt;&gt;"In review",D241&lt;&gt;"Complete"),"Choose a status",""))))</f>
        <v/>
      </c>
      <c r="H241" s="29"/>
      <c r="I241" s="29"/>
      <c r="J241" s="29"/>
      <c r="K241" s="29"/>
    </row>
    <row r="242" customFormat="false" ht="44" hidden="false" customHeight="true" outlineLevel="0" collapsed="false">
      <c r="A242" s="29"/>
      <c r="B242" s="29"/>
      <c r="C242" s="29"/>
      <c r="D242" s="34"/>
      <c r="E242" s="34"/>
      <c r="F242" s="29"/>
      <c r="G242" s="35" t="str">
        <f aca="false">IF(A242="",IF(SUMPRODUCT(--(B242&lt;&gt;""))+SUMPRODUCT(--(D242:F242&lt;&gt;""))+SUMPRODUCT(--(H242:K242&lt;&gt;""))&gt;0,"Missing ID",""),IF(COUNTIF($A$7:$A$307,A242)&gt;1,"Duplicate ID",IF(AND(D242="Complete",E242=""),"Evidence missing",IF(AND(D242&lt;&gt;"Not started",D242&lt;&gt;"In progress",D242&lt;&gt;"In review",D242&lt;&gt;"Complete"),"Choose a status",""))))</f>
        <v/>
      </c>
      <c r="H242" s="29"/>
      <c r="I242" s="29"/>
      <c r="J242" s="29"/>
      <c r="K242" s="29"/>
    </row>
    <row r="243" customFormat="false" ht="44" hidden="false" customHeight="true" outlineLevel="0" collapsed="false">
      <c r="A243" s="29"/>
      <c r="B243" s="29"/>
      <c r="C243" s="29"/>
      <c r="D243" s="34"/>
      <c r="E243" s="34"/>
      <c r="F243" s="29"/>
      <c r="G243" s="35" t="str">
        <f aca="false">IF(A243="",IF(SUMPRODUCT(--(B243&lt;&gt;""))+SUMPRODUCT(--(D243:F243&lt;&gt;""))+SUMPRODUCT(--(H243:K243&lt;&gt;""))&gt;0,"Missing ID",""),IF(COUNTIF($A$7:$A$307,A243)&gt;1,"Duplicate ID",IF(AND(D243="Complete",E243=""),"Evidence missing",IF(AND(D243&lt;&gt;"Not started",D243&lt;&gt;"In progress",D243&lt;&gt;"In review",D243&lt;&gt;"Complete"),"Choose a status",""))))</f>
        <v/>
      </c>
      <c r="H243" s="29"/>
      <c r="I243" s="29"/>
      <c r="J243" s="29"/>
      <c r="K243" s="29"/>
    </row>
    <row r="244" customFormat="false" ht="44" hidden="false" customHeight="true" outlineLevel="0" collapsed="false">
      <c r="A244" s="29"/>
      <c r="B244" s="29"/>
      <c r="C244" s="29"/>
      <c r="D244" s="34"/>
      <c r="E244" s="34"/>
      <c r="F244" s="29"/>
      <c r="G244" s="35" t="str">
        <f aca="false">IF(A244="",IF(SUMPRODUCT(--(B244&lt;&gt;""))+SUMPRODUCT(--(D244:F244&lt;&gt;""))+SUMPRODUCT(--(H244:K244&lt;&gt;""))&gt;0,"Missing ID",""),IF(COUNTIF($A$7:$A$307,A244)&gt;1,"Duplicate ID",IF(AND(D244="Complete",E244=""),"Evidence missing",IF(AND(D244&lt;&gt;"Not started",D244&lt;&gt;"In progress",D244&lt;&gt;"In review",D244&lt;&gt;"Complete"),"Choose a status",""))))</f>
        <v/>
      </c>
      <c r="H244" s="29"/>
      <c r="I244" s="29"/>
      <c r="J244" s="29"/>
      <c r="K244" s="29"/>
    </row>
    <row r="245" customFormat="false" ht="44" hidden="false" customHeight="true" outlineLevel="0" collapsed="false">
      <c r="A245" s="29"/>
      <c r="B245" s="29"/>
      <c r="C245" s="29"/>
      <c r="D245" s="34"/>
      <c r="E245" s="34"/>
      <c r="F245" s="29"/>
      <c r="G245" s="35" t="str">
        <f aca="false">IF(A245="",IF(SUMPRODUCT(--(B245&lt;&gt;""))+SUMPRODUCT(--(D245:F245&lt;&gt;""))+SUMPRODUCT(--(H245:K245&lt;&gt;""))&gt;0,"Missing ID",""),IF(COUNTIF($A$7:$A$307,A245)&gt;1,"Duplicate ID",IF(AND(D245="Complete",E245=""),"Evidence missing",IF(AND(D245&lt;&gt;"Not started",D245&lt;&gt;"In progress",D245&lt;&gt;"In review",D245&lt;&gt;"Complete"),"Choose a status",""))))</f>
        <v/>
      </c>
      <c r="H245" s="29"/>
      <c r="I245" s="29"/>
      <c r="J245" s="29"/>
      <c r="K245" s="29"/>
    </row>
    <row r="246" customFormat="false" ht="44" hidden="false" customHeight="true" outlineLevel="0" collapsed="false">
      <c r="A246" s="29"/>
      <c r="B246" s="29"/>
      <c r="C246" s="29"/>
      <c r="D246" s="34"/>
      <c r="E246" s="34"/>
      <c r="F246" s="29"/>
      <c r="G246" s="35" t="str">
        <f aca="false">IF(A246="",IF(SUMPRODUCT(--(B246&lt;&gt;""))+SUMPRODUCT(--(D246:F246&lt;&gt;""))+SUMPRODUCT(--(H246:K246&lt;&gt;""))&gt;0,"Missing ID",""),IF(COUNTIF($A$7:$A$307,A246)&gt;1,"Duplicate ID",IF(AND(D246="Complete",E246=""),"Evidence missing",IF(AND(D246&lt;&gt;"Not started",D246&lt;&gt;"In progress",D246&lt;&gt;"In review",D246&lt;&gt;"Complete"),"Choose a status",""))))</f>
        <v/>
      </c>
      <c r="H246" s="29"/>
      <c r="I246" s="29"/>
      <c r="J246" s="29"/>
      <c r="K246" s="29"/>
    </row>
    <row r="247" customFormat="false" ht="44" hidden="false" customHeight="true" outlineLevel="0" collapsed="false">
      <c r="A247" s="29"/>
      <c r="B247" s="29"/>
      <c r="C247" s="29"/>
      <c r="D247" s="34"/>
      <c r="E247" s="34"/>
      <c r="F247" s="29"/>
      <c r="G247" s="35" t="str">
        <f aca="false">IF(A247="",IF(SUMPRODUCT(--(B247&lt;&gt;""))+SUMPRODUCT(--(D247:F247&lt;&gt;""))+SUMPRODUCT(--(H247:K247&lt;&gt;""))&gt;0,"Missing ID",""),IF(COUNTIF($A$7:$A$307,A247)&gt;1,"Duplicate ID",IF(AND(D247="Complete",E247=""),"Evidence missing",IF(AND(D247&lt;&gt;"Not started",D247&lt;&gt;"In progress",D247&lt;&gt;"In review",D247&lt;&gt;"Complete"),"Choose a status",""))))</f>
        <v/>
      </c>
      <c r="H247" s="29"/>
      <c r="I247" s="29"/>
      <c r="J247" s="29"/>
      <c r="K247" s="29"/>
    </row>
    <row r="248" customFormat="false" ht="44" hidden="false" customHeight="true" outlineLevel="0" collapsed="false">
      <c r="A248" s="29"/>
      <c r="B248" s="29"/>
      <c r="C248" s="29"/>
      <c r="D248" s="34"/>
      <c r="E248" s="34"/>
      <c r="F248" s="29"/>
      <c r="G248" s="35" t="str">
        <f aca="false">IF(A248="",IF(SUMPRODUCT(--(B248&lt;&gt;""))+SUMPRODUCT(--(D248:F248&lt;&gt;""))+SUMPRODUCT(--(H248:K248&lt;&gt;""))&gt;0,"Missing ID",""),IF(COUNTIF($A$7:$A$307,A248)&gt;1,"Duplicate ID",IF(AND(D248="Complete",E248=""),"Evidence missing",IF(AND(D248&lt;&gt;"Not started",D248&lt;&gt;"In progress",D248&lt;&gt;"In review",D248&lt;&gt;"Complete"),"Choose a status",""))))</f>
        <v/>
      </c>
      <c r="H248" s="29"/>
      <c r="I248" s="29"/>
      <c r="J248" s="29"/>
      <c r="K248" s="29"/>
    </row>
    <row r="249" customFormat="false" ht="44" hidden="false" customHeight="true" outlineLevel="0" collapsed="false">
      <c r="A249" s="29"/>
      <c r="B249" s="29"/>
      <c r="C249" s="29"/>
      <c r="D249" s="34"/>
      <c r="E249" s="34"/>
      <c r="F249" s="29"/>
      <c r="G249" s="35" t="str">
        <f aca="false">IF(A249="",IF(SUMPRODUCT(--(B249&lt;&gt;""))+SUMPRODUCT(--(D249:F249&lt;&gt;""))+SUMPRODUCT(--(H249:K249&lt;&gt;""))&gt;0,"Missing ID",""),IF(COUNTIF($A$7:$A$307,A249)&gt;1,"Duplicate ID",IF(AND(D249="Complete",E249=""),"Evidence missing",IF(AND(D249&lt;&gt;"Not started",D249&lt;&gt;"In progress",D249&lt;&gt;"In review",D249&lt;&gt;"Complete"),"Choose a status",""))))</f>
        <v/>
      </c>
      <c r="H249" s="29"/>
      <c r="I249" s="29"/>
      <c r="J249" s="29"/>
      <c r="K249" s="29"/>
    </row>
    <row r="250" customFormat="false" ht="44" hidden="false" customHeight="true" outlineLevel="0" collapsed="false">
      <c r="A250" s="29"/>
      <c r="B250" s="29"/>
      <c r="C250" s="29"/>
      <c r="D250" s="34"/>
      <c r="E250" s="34"/>
      <c r="F250" s="29"/>
      <c r="G250" s="35" t="str">
        <f aca="false">IF(A250="",IF(SUMPRODUCT(--(B250&lt;&gt;""))+SUMPRODUCT(--(D250:F250&lt;&gt;""))+SUMPRODUCT(--(H250:K250&lt;&gt;""))&gt;0,"Missing ID",""),IF(COUNTIF($A$7:$A$307,A250)&gt;1,"Duplicate ID",IF(AND(D250="Complete",E250=""),"Evidence missing",IF(AND(D250&lt;&gt;"Not started",D250&lt;&gt;"In progress",D250&lt;&gt;"In review",D250&lt;&gt;"Complete"),"Choose a status",""))))</f>
        <v/>
      </c>
      <c r="H250" s="29"/>
      <c r="I250" s="29"/>
      <c r="J250" s="29"/>
      <c r="K250" s="29"/>
    </row>
    <row r="251" customFormat="false" ht="44" hidden="false" customHeight="true" outlineLevel="0" collapsed="false">
      <c r="A251" s="29"/>
      <c r="B251" s="29"/>
      <c r="C251" s="29"/>
      <c r="D251" s="34"/>
      <c r="E251" s="34"/>
      <c r="F251" s="29"/>
      <c r="G251" s="35" t="str">
        <f aca="false">IF(A251="",IF(SUMPRODUCT(--(B251&lt;&gt;""))+SUMPRODUCT(--(D251:F251&lt;&gt;""))+SUMPRODUCT(--(H251:K251&lt;&gt;""))&gt;0,"Missing ID",""),IF(COUNTIF($A$7:$A$307,A251)&gt;1,"Duplicate ID",IF(AND(D251="Complete",E251=""),"Evidence missing",IF(AND(D251&lt;&gt;"Not started",D251&lt;&gt;"In progress",D251&lt;&gt;"In review",D251&lt;&gt;"Complete"),"Choose a status",""))))</f>
        <v/>
      </c>
      <c r="H251" s="29"/>
      <c r="I251" s="29"/>
      <c r="J251" s="29"/>
      <c r="K251" s="29"/>
    </row>
    <row r="252" customFormat="false" ht="44" hidden="false" customHeight="true" outlineLevel="0" collapsed="false">
      <c r="A252" s="29"/>
      <c r="B252" s="29"/>
      <c r="C252" s="29"/>
      <c r="D252" s="34"/>
      <c r="E252" s="34"/>
      <c r="F252" s="29"/>
      <c r="G252" s="35" t="str">
        <f aca="false">IF(A252="",IF(SUMPRODUCT(--(B252&lt;&gt;""))+SUMPRODUCT(--(D252:F252&lt;&gt;""))+SUMPRODUCT(--(H252:K252&lt;&gt;""))&gt;0,"Missing ID",""),IF(COUNTIF($A$7:$A$307,A252)&gt;1,"Duplicate ID",IF(AND(D252="Complete",E252=""),"Evidence missing",IF(AND(D252&lt;&gt;"Not started",D252&lt;&gt;"In progress",D252&lt;&gt;"In review",D252&lt;&gt;"Complete"),"Choose a status",""))))</f>
        <v/>
      </c>
      <c r="H252" s="29"/>
      <c r="I252" s="29"/>
      <c r="J252" s="29"/>
      <c r="K252" s="29"/>
    </row>
    <row r="253" customFormat="false" ht="44" hidden="false" customHeight="true" outlineLevel="0" collapsed="false">
      <c r="A253" s="29"/>
      <c r="B253" s="29"/>
      <c r="C253" s="29"/>
      <c r="D253" s="34"/>
      <c r="E253" s="34"/>
      <c r="F253" s="29"/>
      <c r="G253" s="35" t="str">
        <f aca="false">IF(A253="",IF(SUMPRODUCT(--(B253&lt;&gt;""))+SUMPRODUCT(--(D253:F253&lt;&gt;""))+SUMPRODUCT(--(H253:K253&lt;&gt;""))&gt;0,"Missing ID",""),IF(COUNTIF($A$7:$A$307,A253)&gt;1,"Duplicate ID",IF(AND(D253="Complete",E253=""),"Evidence missing",IF(AND(D253&lt;&gt;"Not started",D253&lt;&gt;"In progress",D253&lt;&gt;"In review",D253&lt;&gt;"Complete"),"Choose a status",""))))</f>
        <v/>
      </c>
      <c r="H253" s="29"/>
      <c r="I253" s="29"/>
      <c r="J253" s="29"/>
      <c r="K253" s="29"/>
    </row>
    <row r="254" customFormat="false" ht="44" hidden="false" customHeight="true" outlineLevel="0" collapsed="false">
      <c r="A254" s="29"/>
      <c r="B254" s="29"/>
      <c r="C254" s="29"/>
      <c r="D254" s="34"/>
      <c r="E254" s="34"/>
      <c r="F254" s="29"/>
      <c r="G254" s="35" t="str">
        <f aca="false">IF(A254="",IF(SUMPRODUCT(--(B254&lt;&gt;""))+SUMPRODUCT(--(D254:F254&lt;&gt;""))+SUMPRODUCT(--(H254:K254&lt;&gt;""))&gt;0,"Missing ID",""),IF(COUNTIF($A$7:$A$307,A254)&gt;1,"Duplicate ID",IF(AND(D254="Complete",E254=""),"Evidence missing",IF(AND(D254&lt;&gt;"Not started",D254&lt;&gt;"In progress",D254&lt;&gt;"In review",D254&lt;&gt;"Complete"),"Choose a status",""))))</f>
        <v/>
      </c>
      <c r="H254" s="29"/>
      <c r="I254" s="29"/>
      <c r="J254" s="29"/>
      <c r="K254" s="29"/>
    </row>
    <row r="255" customFormat="false" ht="44" hidden="false" customHeight="true" outlineLevel="0" collapsed="false">
      <c r="A255" s="29"/>
      <c r="B255" s="29"/>
      <c r="C255" s="29"/>
      <c r="D255" s="34"/>
      <c r="E255" s="34"/>
      <c r="F255" s="29"/>
      <c r="G255" s="35" t="str">
        <f aca="false">IF(A255="",IF(SUMPRODUCT(--(B255&lt;&gt;""))+SUMPRODUCT(--(D255:F255&lt;&gt;""))+SUMPRODUCT(--(H255:K255&lt;&gt;""))&gt;0,"Missing ID",""),IF(COUNTIF($A$7:$A$307,A255)&gt;1,"Duplicate ID",IF(AND(D255="Complete",E255=""),"Evidence missing",IF(AND(D255&lt;&gt;"Not started",D255&lt;&gt;"In progress",D255&lt;&gt;"In review",D255&lt;&gt;"Complete"),"Choose a status",""))))</f>
        <v/>
      </c>
      <c r="H255" s="29"/>
      <c r="I255" s="29"/>
      <c r="J255" s="29"/>
      <c r="K255" s="29"/>
    </row>
    <row r="256" customFormat="false" ht="44" hidden="false" customHeight="true" outlineLevel="0" collapsed="false">
      <c r="A256" s="29"/>
      <c r="B256" s="29"/>
      <c r="C256" s="29"/>
      <c r="D256" s="34"/>
      <c r="E256" s="34"/>
      <c r="F256" s="29"/>
      <c r="G256" s="35" t="str">
        <f aca="false">IF(A256="",IF(SUMPRODUCT(--(B256&lt;&gt;""))+SUMPRODUCT(--(D256:F256&lt;&gt;""))+SUMPRODUCT(--(H256:K256&lt;&gt;""))&gt;0,"Missing ID",""),IF(COUNTIF($A$7:$A$307,A256)&gt;1,"Duplicate ID",IF(AND(D256="Complete",E256=""),"Evidence missing",IF(AND(D256&lt;&gt;"Not started",D256&lt;&gt;"In progress",D256&lt;&gt;"In review",D256&lt;&gt;"Complete"),"Choose a status",""))))</f>
        <v/>
      </c>
      <c r="H256" s="29"/>
      <c r="I256" s="29"/>
      <c r="J256" s="29"/>
      <c r="K256" s="29"/>
    </row>
    <row r="257" customFormat="false" ht="44" hidden="false" customHeight="true" outlineLevel="0" collapsed="false">
      <c r="A257" s="29"/>
      <c r="B257" s="29"/>
      <c r="C257" s="29"/>
      <c r="D257" s="34"/>
      <c r="E257" s="34"/>
      <c r="F257" s="29"/>
      <c r="G257" s="35" t="str">
        <f aca="false">IF(A257="",IF(SUMPRODUCT(--(B257&lt;&gt;""))+SUMPRODUCT(--(D257:F257&lt;&gt;""))+SUMPRODUCT(--(H257:K257&lt;&gt;""))&gt;0,"Missing ID",""),IF(COUNTIF($A$7:$A$307,A257)&gt;1,"Duplicate ID",IF(AND(D257="Complete",E257=""),"Evidence missing",IF(AND(D257&lt;&gt;"Not started",D257&lt;&gt;"In progress",D257&lt;&gt;"In review",D257&lt;&gt;"Complete"),"Choose a status",""))))</f>
        <v/>
      </c>
      <c r="H257" s="29"/>
      <c r="I257" s="29"/>
      <c r="J257" s="29"/>
      <c r="K257" s="29"/>
    </row>
    <row r="258" customFormat="false" ht="44" hidden="false" customHeight="true" outlineLevel="0" collapsed="false">
      <c r="A258" s="29"/>
      <c r="B258" s="29"/>
      <c r="C258" s="29"/>
      <c r="D258" s="34"/>
      <c r="E258" s="34"/>
      <c r="F258" s="29"/>
      <c r="G258" s="35" t="str">
        <f aca="false">IF(A258="",IF(SUMPRODUCT(--(B258&lt;&gt;""))+SUMPRODUCT(--(D258:F258&lt;&gt;""))+SUMPRODUCT(--(H258:K258&lt;&gt;""))&gt;0,"Missing ID",""),IF(COUNTIF($A$7:$A$307,A258)&gt;1,"Duplicate ID",IF(AND(D258="Complete",E258=""),"Evidence missing",IF(AND(D258&lt;&gt;"Not started",D258&lt;&gt;"In progress",D258&lt;&gt;"In review",D258&lt;&gt;"Complete"),"Choose a status",""))))</f>
        <v/>
      </c>
      <c r="H258" s="29"/>
      <c r="I258" s="29"/>
      <c r="J258" s="29"/>
      <c r="K258" s="29"/>
    </row>
    <row r="259" customFormat="false" ht="44" hidden="false" customHeight="true" outlineLevel="0" collapsed="false">
      <c r="A259" s="29"/>
      <c r="B259" s="29"/>
      <c r="C259" s="29"/>
      <c r="D259" s="34"/>
      <c r="E259" s="34"/>
      <c r="F259" s="29"/>
      <c r="G259" s="35" t="str">
        <f aca="false">IF(A259="",IF(SUMPRODUCT(--(B259&lt;&gt;""))+SUMPRODUCT(--(D259:F259&lt;&gt;""))+SUMPRODUCT(--(H259:K259&lt;&gt;""))&gt;0,"Missing ID",""),IF(COUNTIF($A$7:$A$307,A259)&gt;1,"Duplicate ID",IF(AND(D259="Complete",E259=""),"Evidence missing",IF(AND(D259&lt;&gt;"Not started",D259&lt;&gt;"In progress",D259&lt;&gt;"In review",D259&lt;&gt;"Complete"),"Choose a status",""))))</f>
        <v/>
      </c>
      <c r="H259" s="29"/>
      <c r="I259" s="29"/>
      <c r="J259" s="29"/>
      <c r="K259" s="29"/>
    </row>
    <row r="260" customFormat="false" ht="44" hidden="false" customHeight="true" outlineLevel="0" collapsed="false">
      <c r="A260" s="29"/>
      <c r="B260" s="29"/>
      <c r="C260" s="29"/>
      <c r="D260" s="34"/>
      <c r="E260" s="34"/>
      <c r="F260" s="29"/>
      <c r="G260" s="35" t="str">
        <f aca="false">IF(A260="",IF(SUMPRODUCT(--(B260&lt;&gt;""))+SUMPRODUCT(--(D260:F260&lt;&gt;""))+SUMPRODUCT(--(H260:K260&lt;&gt;""))&gt;0,"Missing ID",""),IF(COUNTIF($A$7:$A$307,A260)&gt;1,"Duplicate ID",IF(AND(D260="Complete",E260=""),"Evidence missing",IF(AND(D260&lt;&gt;"Not started",D260&lt;&gt;"In progress",D260&lt;&gt;"In review",D260&lt;&gt;"Complete"),"Choose a status",""))))</f>
        <v/>
      </c>
      <c r="H260" s="29"/>
      <c r="I260" s="29"/>
      <c r="J260" s="29"/>
      <c r="K260" s="29"/>
    </row>
    <row r="261" customFormat="false" ht="44" hidden="false" customHeight="true" outlineLevel="0" collapsed="false">
      <c r="A261" s="29"/>
      <c r="B261" s="29"/>
      <c r="C261" s="29"/>
      <c r="D261" s="34"/>
      <c r="E261" s="34"/>
      <c r="F261" s="29"/>
      <c r="G261" s="35" t="str">
        <f aca="false">IF(A261="",IF(SUMPRODUCT(--(B261&lt;&gt;""))+SUMPRODUCT(--(D261:F261&lt;&gt;""))+SUMPRODUCT(--(H261:K261&lt;&gt;""))&gt;0,"Missing ID",""),IF(COUNTIF($A$7:$A$307,A261)&gt;1,"Duplicate ID",IF(AND(D261="Complete",E261=""),"Evidence missing",IF(AND(D261&lt;&gt;"Not started",D261&lt;&gt;"In progress",D261&lt;&gt;"In review",D261&lt;&gt;"Complete"),"Choose a status",""))))</f>
        <v/>
      </c>
      <c r="H261" s="29"/>
      <c r="I261" s="29"/>
      <c r="J261" s="29"/>
      <c r="K261" s="29"/>
    </row>
    <row r="262" customFormat="false" ht="44" hidden="false" customHeight="true" outlineLevel="0" collapsed="false">
      <c r="A262" s="29"/>
      <c r="B262" s="29"/>
      <c r="C262" s="29"/>
      <c r="D262" s="34"/>
      <c r="E262" s="34"/>
      <c r="F262" s="29"/>
      <c r="G262" s="35" t="str">
        <f aca="false">IF(A262="",IF(SUMPRODUCT(--(B262&lt;&gt;""))+SUMPRODUCT(--(D262:F262&lt;&gt;""))+SUMPRODUCT(--(H262:K262&lt;&gt;""))&gt;0,"Missing ID",""),IF(COUNTIF($A$7:$A$307,A262)&gt;1,"Duplicate ID",IF(AND(D262="Complete",E262=""),"Evidence missing",IF(AND(D262&lt;&gt;"Not started",D262&lt;&gt;"In progress",D262&lt;&gt;"In review",D262&lt;&gt;"Complete"),"Choose a status",""))))</f>
        <v/>
      </c>
      <c r="H262" s="29"/>
      <c r="I262" s="29"/>
      <c r="J262" s="29"/>
      <c r="K262" s="29"/>
    </row>
    <row r="263" customFormat="false" ht="44" hidden="false" customHeight="true" outlineLevel="0" collapsed="false">
      <c r="A263" s="29"/>
      <c r="B263" s="29"/>
      <c r="C263" s="29"/>
      <c r="D263" s="34"/>
      <c r="E263" s="34"/>
      <c r="F263" s="29"/>
      <c r="G263" s="35" t="str">
        <f aca="false">IF(A263="",IF(SUMPRODUCT(--(B263&lt;&gt;""))+SUMPRODUCT(--(D263:F263&lt;&gt;""))+SUMPRODUCT(--(H263:K263&lt;&gt;""))&gt;0,"Missing ID",""),IF(COUNTIF($A$7:$A$307,A263)&gt;1,"Duplicate ID",IF(AND(D263="Complete",E263=""),"Evidence missing",IF(AND(D263&lt;&gt;"Not started",D263&lt;&gt;"In progress",D263&lt;&gt;"In review",D263&lt;&gt;"Complete"),"Choose a status",""))))</f>
        <v/>
      </c>
      <c r="H263" s="29"/>
      <c r="I263" s="29"/>
      <c r="J263" s="29"/>
      <c r="K263" s="29"/>
    </row>
    <row r="264" customFormat="false" ht="44" hidden="false" customHeight="true" outlineLevel="0" collapsed="false">
      <c r="A264" s="29"/>
      <c r="B264" s="29"/>
      <c r="C264" s="29"/>
      <c r="D264" s="34"/>
      <c r="E264" s="34"/>
      <c r="F264" s="29"/>
      <c r="G264" s="35" t="str">
        <f aca="false">IF(A264="",IF(SUMPRODUCT(--(B264&lt;&gt;""))+SUMPRODUCT(--(D264:F264&lt;&gt;""))+SUMPRODUCT(--(H264:K264&lt;&gt;""))&gt;0,"Missing ID",""),IF(COUNTIF($A$7:$A$307,A264)&gt;1,"Duplicate ID",IF(AND(D264="Complete",E264=""),"Evidence missing",IF(AND(D264&lt;&gt;"Not started",D264&lt;&gt;"In progress",D264&lt;&gt;"In review",D264&lt;&gt;"Complete"),"Choose a status",""))))</f>
        <v/>
      </c>
      <c r="H264" s="29"/>
      <c r="I264" s="29"/>
      <c r="J264" s="29"/>
      <c r="K264" s="29"/>
    </row>
    <row r="265" customFormat="false" ht="44" hidden="false" customHeight="true" outlineLevel="0" collapsed="false">
      <c r="A265" s="29"/>
      <c r="B265" s="29"/>
      <c r="C265" s="29"/>
      <c r="D265" s="34"/>
      <c r="E265" s="34"/>
      <c r="F265" s="29"/>
      <c r="G265" s="35" t="str">
        <f aca="false">IF(A265="",IF(SUMPRODUCT(--(B265&lt;&gt;""))+SUMPRODUCT(--(D265:F265&lt;&gt;""))+SUMPRODUCT(--(H265:K265&lt;&gt;""))&gt;0,"Missing ID",""),IF(COUNTIF($A$7:$A$307,A265)&gt;1,"Duplicate ID",IF(AND(D265="Complete",E265=""),"Evidence missing",IF(AND(D265&lt;&gt;"Not started",D265&lt;&gt;"In progress",D265&lt;&gt;"In review",D265&lt;&gt;"Complete"),"Choose a status",""))))</f>
        <v/>
      </c>
      <c r="H265" s="29"/>
      <c r="I265" s="29"/>
      <c r="J265" s="29"/>
      <c r="K265" s="29"/>
    </row>
    <row r="266" customFormat="false" ht="44" hidden="false" customHeight="true" outlineLevel="0" collapsed="false">
      <c r="A266" s="29"/>
      <c r="B266" s="29"/>
      <c r="C266" s="29"/>
      <c r="D266" s="34"/>
      <c r="E266" s="34"/>
      <c r="F266" s="29"/>
      <c r="G266" s="35" t="str">
        <f aca="false">IF(A266="",IF(SUMPRODUCT(--(B266&lt;&gt;""))+SUMPRODUCT(--(D266:F266&lt;&gt;""))+SUMPRODUCT(--(H266:K266&lt;&gt;""))&gt;0,"Missing ID",""),IF(COUNTIF($A$7:$A$307,A266)&gt;1,"Duplicate ID",IF(AND(D266="Complete",E266=""),"Evidence missing",IF(AND(D266&lt;&gt;"Not started",D266&lt;&gt;"In progress",D266&lt;&gt;"In review",D266&lt;&gt;"Complete"),"Choose a status",""))))</f>
        <v/>
      </c>
      <c r="H266" s="29"/>
      <c r="I266" s="29"/>
      <c r="J266" s="29"/>
      <c r="K266" s="29"/>
    </row>
    <row r="267" customFormat="false" ht="44" hidden="false" customHeight="true" outlineLevel="0" collapsed="false">
      <c r="A267" s="29"/>
      <c r="B267" s="29"/>
      <c r="C267" s="29"/>
      <c r="D267" s="34"/>
      <c r="E267" s="34"/>
      <c r="F267" s="29"/>
      <c r="G267" s="35" t="str">
        <f aca="false">IF(A267="",IF(SUMPRODUCT(--(B267&lt;&gt;""))+SUMPRODUCT(--(D267:F267&lt;&gt;""))+SUMPRODUCT(--(H267:K267&lt;&gt;""))&gt;0,"Missing ID",""),IF(COUNTIF($A$7:$A$307,A267)&gt;1,"Duplicate ID",IF(AND(D267="Complete",E267=""),"Evidence missing",IF(AND(D267&lt;&gt;"Not started",D267&lt;&gt;"In progress",D267&lt;&gt;"In review",D267&lt;&gt;"Complete"),"Choose a status",""))))</f>
        <v/>
      </c>
      <c r="H267" s="29"/>
      <c r="I267" s="29"/>
      <c r="J267" s="29"/>
      <c r="K267" s="29"/>
    </row>
    <row r="268" customFormat="false" ht="44" hidden="false" customHeight="true" outlineLevel="0" collapsed="false">
      <c r="A268" s="29"/>
      <c r="B268" s="29"/>
      <c r="C268" s="29"/>
      <c r="D268" s="34"/>
      <c r="E268" s="34"/>
      <c r="F268" s="29"/>
      <c r="G268" s="35" t="str">
        <f aca="false">IF(A268="",IF(SUMPRODUCT(--(B268&lt;&gt;""))+SUMPRODUCT(--(D268:F268&lt;&gt;""))+SUMPRODUCT(--(H268:K268&lt;&gt;""))&gt;0,"Missing ID",""),IF(COUNTIF($A$7:$A$307,A268)&gt;1,"Duplicate ID",IF(AND(D268="Complete",E268=""),"Evidence missing",IF(AND(D268&lt;&gt;"Not started",D268&lt;&gt;"In progress",D268&lt;&gt;"In review",D268&lt;&gt;"Complete"),"Choose a status",""))))</f>
        <v/>
      </c>
      <c r="H268" s="29"/>
      <c r="I268" s="29"/>
      <c r="J268" s="29"/>
      <c r="K268" s="29"/>
    </row>
    <row r="269" customFormat="false" ht="44" hidden="false" customHeight="true" outlineLevel="0" collapsed="false">
      <c r="A269" s="29"/>
      <c r="B269" s="29"/>
      <c r="C269" s="29"/>
      <c r="D269" s="34"/>
      <c r="E269" s="34"/>
      <c r="F269" s="29"/>
      <c r="G269" s="35" t="str">
        <f aca="false">IF(A269="",IF(SUMPRODUCT(--(B269&lt;&gt;""))+SUMPRODUCT(--(D269:F269&lt;&gt;""))+SUMPRODUCT(--(H269:K269&lt;&gt;""))&gt;0,"Missing ID",""),IF(COUNTIF($A$7:$A$307,A269)&gt;1,"Duplicate ID",IF(AND(D269="Complete",E269=""),"Evidence missing",IF(AND(D269&lt;&gt;"Not started",D269&lt;&gt;"In progress",D269&lt;&gt;"In review",D269&lt;&gt;"Complete"),"Choose a status",""))))</f>
        <v/>
      </c>
      <c r="H269" s="29"/>
      <c r="I269" s="29"/>
      <c r="J269" s="29"/>
      <c r="K269" s="29"/>
    </row>
    <row r="270" customFormat="false" ht="44" hidden="false" customHeight="true" outlineLevel="0" collapsed="false">
      <c r="A270" s="29"/>
      <c r="B270" s="29"/>
      <c r="C270" s="29"/>
      <c r="D270" s="34"/>
      <c r="E270" s="34"/>
      <c r="F270" s="29"/>
      <c r="G270" s="35" t="str">
        <f aca="false">IF(A270="",IF(SUMPRODUCT(--(B270&lt;&gt;""))+SUMPRODUCT(--(D270:F270&lt;&gt;""))+SUMPRODUCT(--(H270:K270&lt;&gt;""))&gt;0,"Missing ID",""),IF(COUNTIF($A$7:$A$307,A270)&gt;1,"Duplicate ID",IF(AND(D270="Complete",E270=""),"Evidence missing",IF(AND(D270&lt;&gt;"Not started",D270&lt;&gt;"In progress",D270&lt;&gt;"In review",D270&lt;&gt;"Complete"),"Choose a status",""))))</f>
        <v/>
      </c>
      <c r="H270" s="29"/>
      <c r="I270" s="29"/>
      <c r="J270" s="29"/>
      <c r="K270" s="29"/>
    </row>
    <row r="271" customFormat="false" ht="44" hidden="false" customHeight="true" outlineLevel="0" collapsed="false">
      <c r="A271" s="29"/>
      <c r="B271" s="29"/>
      <c r="C271" s="29"/>
      <c r="D271" s="34"/>
      <c r="E271" s="34"/>
      <c r="F271" s="29"/>
      <c r="G271" s="35" t="str">
        <f aca="false">IF(A271="",IF(SUMPRODUCT(--(B271&lt;&gt;""))+SUMPRODUCT(--(D271:F271&lt;&gt;""))+SUMPRODUCT(--(H271:K271&lt;&gt;""))&gt;0,"Missing ID",""),IF(COUNTIF($A$7:$A$307,A271)&gt;1,"Duplicate ID",IF(AND(D271="Complete",E271=""),"Evidence missing",IF(AND(D271&lt;&gt;"Not started",D271&lt;&gt;"In progress",D271&lt;&gt;"In review",D271&lt;&gt;"Complete"),"Choose a status",""))))</f>
        <v/>
      </c>
      <c r="H271" s="29"/>
      <c r="I271" s="29"/>
      <c r="J271" s="29"/>
      <c r="K271" s="29"/>
    </row>
    <row r="272" customFormat="false" ht="44" hidden="false" customHeight="true" outlineLevel="0" collapsed="false">
      <c r="A272" s="29"/>
      <c r="B272" s="29"/>
      <c r="C272" s="29"/>
      <c r="D272" s="34"/>
      <c r="E272" s="34"/>
      <c r="F272" s="29"/>
      <c r="G272" s="35" t="str">
        <f aca="false">IF(A272="",IF(SUMPRODUCT(--(B272&lt;&gt;""))+SUMPRODUCT(--(D272:F272&lt;&gt;""))+SUMPRODUCT(--(H272:K272&lt;&gt;""))&gt;0,"Missing ID",""),IF(COUNTIF($A$7:$A$307,A272)&gt;1,"Duplicate ID",IF(AND(D272="Complete",E272=""),"Evidence missing",IF(AND(D272&lt;&gt;"Not started",D272&lt;&gt;"In progress",D272&lt;&gt;"In review",D272&lt;&gt;"Complete"),"Choose a status",""))))</f>
        <v/>
      </c>
      <c r="H272" s="29"/>
      <c r="I272" s="29"/>
      <c r="J272" s="29"/>
      <c r="K272" s="29"/>
    </row>
    <row r="273" customFormat="false" ht="44" hidden="false" customHeight="true" outlineLevel="0" collapsed="false">
      <c r="A273" s="29"/>
      <c r="B273" s="29"/>
      <c r="C273" s="29"/>
      <c r="D273" s="34"/>
      <c r="E273" s="34"/>
      <c r="F273" s="29"/>
      <c r="G273" s="35" t="str">
        <f aca="false">IF(A273="",IF(SUMPRODUCT(--(B273&lt;&gt;""))+SUMPRODUCT(--(D273:F273&lt;&gt;""))+SUMPRODUCT(--(H273:K273&lt;&gt;""))&gt;0,"Missing ID",""),IF(COUNTIF($A$7:$A$307,A273)&gt;1,"Duplicate ID",IF(AND(D273="Complete",E273=""),"Evidence missing",IF(AND(D273&lt;&gt;"Not started",D273&lt;&gt;"In progress",D273&lt;&gt;"In review",D273&lt;&gt;"Complete"),"Choose a status",""))))</f>
        <v/>
      </c>
      <c r="H273" s="29"/>
      <c r="I273" s="29"/>
      <c r="J273" s="29"/>
      <c r="K273" s="29"/>
    </row>
    <row r="274" customFormat="false" ht="44" hidden="false" customHeight="true" outlineLevel="0" collapsed="false">
      <c r="A274" s="29"/>
      <c r="B274" s="29"/>
      <c r="C274" s="29"/>
      <c r="D274" s="34"/>
      <c r="E274" s="34"/>
      <c r="F274" s="29"/>
      <c r="G274" s="35" t="str">
        <f aca="false">IF(A274="",IF(SUMPRODUCT(--(B274&lt;&gt;""))+SUMPRODUCT(--(D274:F274&lt;&gt;""))+SUMPRODUCT(--(H274:K274&lt;&gt;""))&gt;0,"Missing ID",""),IF(COUNTIF($A$7:$A$307,A274)&gt;1,"Duplicate ID",IF(AND(D274="Complete",E274=""),"Evidence missing",IF(AND(D274&lt;&gt;"Not started",D274&lt;&gt;"In progress",D274&lt;&gt;"In review",D274&lt;&gt;"Complete"),"Choose a status",""))))</f>
        <v/>
      </c>
      <c r="H274" s="29"/>
      <c r="I274" s="29"/>
      <c r="J274" s="29"/>
      <c r="K274" s="29"/>
    </row>
    <row r="275" customFormat="false" ht="44" hidden="false" customHeight="true" outlineLevel="0" collapsed="false">
      <c r="A275" s="29"/>
      <c r="B275" s="29"/>
      <c r="C275" s="29"/>
      <c r="D275" s="34"/>
      <c r="E275" s="34"/>
      <c r="F275" s="29"/>
      <c r="G275" s="35" t="str">
        <f aca="false">IF(A275="",IF(SUMPRODUCT(--(B275&lt;&gt;""))+SUMPRODUCT(--(D275:F275&lt;&gt;""))+SUMPRODUCT(--(H275:K275&lt;&gt;""))&gt;0,"Missing ID",""),IF(COUNTIF($A$7:$A$307,A275)&gt;1,"Duplicate ID",IF(AND(D275="Complete",E275=""),"Evidence missing",IF(AND(D275&lt;&gt;"Not started",D275&lt;&gt;"In progress",D275&lt;&gt;"In review",D275&lt;&gt;"Complete"),"Choose a status",""))))</f>
        <v/>
      </c>
      <c r="H275" s="29"/>
      <c r="I275" s="29"/>
      <c r="J275" s="29"/>
      <c r="K275" s="29"/>
    </row>
    <row r="276" customFormat="false" ht="44" hidden="false" customHeight="true" outlineLevel="0" collapsed="false">
      <c r="A276" s="29"/>
      <c r="B276" s="29"/>
      <c r="C276" s="29"/>
      <c r="D276" s="34"/>
      <c r="E276" s="34"/>
      <c r="F276" s="29"/>
      <c r="G276" s="35" t="str">
        <f aca="false">IF(A276="",IF(SUMPRODUCT(--(B276&lt;&gt;""))+SUMPRODUCT(--(D276:F276&lt;&gt;""))+SUMPRODUCT(--(H276:K276&lt;&gt;""))&gt;0,"Missing ID",""),IF(COUNTIF($A$7:$A$307,A276)&gt;1,"Duplicate ID",IF(AND(D276="Complete",E276=""),"Evidence missing",IF(AND(D276&lt;&gt;"Not started",D276&lt;&gt;"In progress",D276&lt;&gt;"In review",D276&lt;&gt;"Complete"),"Choose a status",""))))</f>
        <v/>
      </c>
      <c r="H276" s="29"/>
      <c r="I276" s="29"/>
      <c r="J276" s="29"/>
      <c r="K276" s="29"/>
    </row>
    <row r="277" customFormat="false" ht="44" hidden="false" customHeight="true" outlineLevel="0" collapsed="false">
      <c r="A277" s="29"/>
      <c r="B277" s="29"/>
      <c r="C277" s="29"/>
      <c r="D277" s="34"/>
      <c r="E277" s="34"/>
      <c r="F277" s="29"/>
      <c r="G277" s="35" t="str">
        <f aca="false">IF(A277="",IF(SUMPRODUCT(--(B277&lt;&gt;""))+SUMPRODUCT(--(D277:F277&lt;&gt;""))+SUMPRODUCT(--(H277:K277&lt;&gt;""))&gt;0,"Missing ID",""),IF(COUNTIF($A$7:$A$307,A277)&gt;1,"Duplicate ID",IF(AND(D277="Complete",E277=""),"Evidence missing",IF(AND(D277&lt;&gt;"Not started",D277&lt;&gt;"In progress",D277&lt;&gt;"In review",D277&lt;&gt;"Complete"),"Choose a status",""))))</f>
        <v/>
      </c>
      <c r="H277" s="29"/>
      <c r="I277" s="29"/>
      <c r="J277" s="29"/>
      <c r="K277" s="29"/>
    </row>
    <row r="278" customFormat="false" ht="44" hidden="false" customHeight="true" outlineLevel="0" collapsed="false">
      <c r="A278" s="29"/>
      <c r="B278" s="29"/>
      <c r="C278" s="29"/>
      <c r="D278" s="34"/>
      <c r="E278" s="34"/>
      <c r="F278" s="29"/>
      <c r="G278" s="35" t="str">
        <f aca="false">IF(A278="",IF(SUMPRODUCT(--(B278&lt;&gt;""))+SUMPRODUCT(--(D278:F278&lt;&gt;""))+SUMPRODUCT(--(H278:K278&lt;&gt;""))&gt;0,"Missing ID",""),IF(COUNTIF($A$7:$A$307,A278)&gt;1,"Duplicate ID",IF(AND(D278="Complete",E278=""),"Evidence missing",IF(AND(D278&lt;&gt;"Not started",D278&lt;&gt;"In progress",D278&lt;&gt;"In review",D278&lt;&gt;"Complete"),"Choose a status",""))))</f>
        <v/>
      </c>
      <c r="H278" s="29"/>
      <c r="I278" s="29"/>
      <c r="J278" s="29"/>
      <c r="K278" s="29"/>
    </row>
    <row r="279" customFormat="false" ht="44" hidden="false" customHeight="true" outlineLevel="0" collapsed="false">
      <c r="A279" s="29"/>
      <c r="B279" s="29"/>
      <c r="C279" s="29"/>
      <c r="D279" s="34"/>
      <c r="E279" s="34"/>
      <c r="F279" s="29"/>
      <c r="G279" s="35" t="str">
        <f aca="false">IF(A279="",IF(SUMPRODUCT(--(B279&lt;&gt;""))+SUMPRODUCT(--(D279:F279&lt;&gt;""))+SUMPRODUCT(--(H279:K279&lt;&gt;""))&gt;0,"Missing ID",""),IF(COUNTIF($A$7:$A$307,A279)&gt;1,"Duplicate ID",IF(AND(D279="Complete",E279=""),"Evidence missing",IF(AND(D279&lt;&gt;"Not started",D279&lt;&gt;"In progress",D279&lt;&gt;"In review",D279&lt;&gt;"Complete"),"Choose a status",""))))</f>
        <v/>
      </c>
      <c r="H279" s="29"/>
      <c r="I279" s="29"/>
      <c r="J279" s="29"/>
      <c r="K279" s="29"/>
    </row>
    <row r="280" customFormat="false" ht="44" hidden="false" customHeight="true" outlineLevel="0" collapsed="false">
      <c r="A280" s="29"/>
      <c r="B280" s="29"/>
      <c r="C280" s="29"/>
      <c r="D280" s="34"/>
      <c r="E280" s="34"/>
      <c r="F280" s="29"/>
      <c r="G280" s="35" t="str">
        <f aca="false">IF(A280="",IF(SUMPRODUCT(--(B280&lt;&gt;""))+SUMPRODUCT(--(D280:F280&lt;&gt;""))+SUMPRODUCT(--(H280:K280&lt;&gt;""))&gt;0,"Missing ID",""),IF(COUNTIF($A$7:$A$307,A280)&gt;1,"Duplicate ID",IF(AND(D280="Complete",E280=""),"Evidence missing",IF(AND(D280&lt;&gt;"Not started",D280&lt;&gt;"In progress",D280&lt;&gt;"In review",D280&lt;&gt;"Complete"),"Choose a status",""))))</f>
        <v/>
      </c>
      <c r="H280" s="29"/>
      <c r="I280" s="29"/>
      <c r="J280" s="29"/>
      <c r="K280" s="29"/>
    </row>
    <row r="281" customFormat="false" ht="44" hidden="false" customHeight="true" outlineLevel="0" collapsed="false">
      <c r="A281" s="29"/>
      <c r="B281" s="29"/>
      <c r="C281" s="29"/>
      <c r="D281" s="34"/>
      <c r="E281" s="34"/>
      <c r="F281" s="29"/>
      <c r="G281" s="35" t="str">
        <f aca="false">IF(A281="",IF(SUMPRODUCT(--(B281&lt;&gt;""))+SUMPRODUCT(--(D281:F281&lt;&gt;""))+SUMPRODUCT(--(H281:K281&lt;&gt;""))&gt;0,"Missing ID",""),IF(COUNTIF($A$7:$A$307,A281)&gt;1,"Duplicate ID",IF(AND(D281="Complete",E281=""),"Evidence missing",IF(AND(D281&lt;&gt;"Not started",D281&lt;&gt;"In progress",D281&lt;&gt;"In review",D281&lt;&gt;"Complete"),"Choose a status",""))))</f>
        <v/>
      </c>
      <c r="H281" s="29"/>
      <c r="I281" s="29"/>
      <c r="J281" s="29"/>
      <c r="K281" s="29"/>
    </row>
    <row r="282" customFormat="false" ht="44" hidden="false" customHeight="true" outlineLevel="0" collapsed="false">
      <c r="A282" s="29"/>
      <c r="B282" s="29"/>
      <c r="C282" s="29"/>
      <c r="D282" s="34"/>
      <c r="E282" s="34"/>
      <c r="F282" s="29"/>
      <c r="G282" s="35" t="str">
        <f aca="false">IF(A282="",IF(SUMPRODUCT(--(B282&lt;&gt;""))+SUMPRODUCT(--(D282:F282&lt;&gt;""))+SUMPRODUCT(--(H282:K282&lt;&gt;""))&gt;0,"Missing ID",""),IF(COUNTIF($A$7:$A$307,A282)&gt;1,"Duplicate ID",IF(AND(D282="Complete",E282=""),"Evidence missing",IF(AND(D282&lt;&gt;"Not started",D282&lt;&gt;"In progress",D282&lt;&gt;"In review",D282&lt;&gt;"Complete"),"Choose a status",""))))</f>
        <v/>
      </c>
      <c r="H282" s="29"/>
      <c r="I282" s="29"/>
      <c r="J282" s="29"/>
      <c r="K282" s="29"/>
    </row>
    <row r="283" customFormat="false" ht="44" hidden="false" customHeight="true" outlineLevel="0" collapsed="false">
      <c r="A283" s="29"/>
      <c r="B283" s="29"/>
      <c r="C283" s="29"/>
      <c r="D283" s="34"/>
      <c r="E283" s="34"/>
      <c r="F283" s="29"/>
      <c r="G283" s="35" t="str">
        <f aca="false">IF(A283="",IF(SUMPRODUCT(--(B283&lt;&gt;""))+SUMPRODUCT(--(D283:F283&lt;&gt;""))+SUMPRODUCT(--(H283:K283&lt;&gt;""))&gt;0,"Missing ID",""),IF(COUNTIF($A$7:$A$307,A283)&gt;1,"Duplicate ID",IF(AND(D283="Complete",E283=""),"Evidence missing",IF(AND(D283&lt;&gt;"Not started",D283&lt;&gt;"In progress",D283&lt;&gt;"In review",D283&lt;&gt;"Complete"),"Choose a status",""))))</f>
        <v/>
      </c>
      <c r="H283" s="29"/>
      <c r="I283" s="29"/>
      <c r="J283" s="29"/>
      <c r="K283" s="29"/>
    </row>
    <row r="284" customFormat="false" ht="44" hidden="false" customHeight="true" outlineLevel="0" collapsed="false">
      <c r="A284" s="29"/>
      <c r="B284" s="29"/>
      <c r="C284" s="29"/>
      <c r="D284" s="34"/>
      <c r="E284" s="34"/>
      <c r="F284" s="29"/>
      <c r="G284" s="35" t="str">
        <f aca="false">IF(A284="",IF(SUMPRODUCT(--(B284&lt;&gt;""))+SUMPRODUCT(--(D284:F284&lt;&gt;""))+SUMPRODUCT(--(H284:K284&lt;&gt;""))&gt;0,"Missing ID",""),IF(COUNTIF($A$7:$A$307,A284)&gt;1,"Duplicate ID",IF(AND(D284="Complete",E284=""),"Evidence missing",IF(AND(D284&lt;&gt;"Not started",D284&lt;&gt;"In progress",D284&lt;&gt;"In review",D284&lt;&gt;"Complete"),"Choose a status",""))))</f>
        <v/>
      </c>
      <c r="H284" s="29"/>
      <c r="I284" s="29"/>
      <c r="J284" s="29"/>
      <c r="K284" s="29"/>
    </row>
    <row r="285" customFormat="false" ht="44" hidden="false" customHeight="true" outlineLevel="0" collapsed="false">
      <c r="A285" s="29"/>
      <c r="B285" s="29"/>
      <c r="C285" s="29"/>
      <c r="D285" s="34"/>
      <c r="E285" s="34"/>
      <c r="F285" s="29"/>
      <c r="G285" s="35" t="str">
        <f aca="false">IF(A285="",IF(SUMPRODUCT(--(B285&lt;&gt;""))+SUMPRODUCT(--(D285:F285&lt;&gt;""))+SUMPRODUCT(--(H285:K285&lt;&gt;""))&gt;0,"Missing ID",""),IF(COUNTIF($A$7:$A$307,A285)&gt;1,"Duplicate ID",IF(AND(D285="Complete",E285=""),"Evidence missing",IF(AND(D285&lt;&gt;"Not started",D285&lt;&gt;"In progress",D285&lt;&gt;"In review",D285&lt;&gt;"Complete"),"Choose a status",""))))</f>
        <v/>
      </c>
      <c r="H285" s="29"/>
      <c r="I285" s="29"/>
      <c r="J285" s="29"/>
      <c r="K285" s="29"/>
    </row>
    <row r="286" customFormat="false" ht="44" hidden="false" customHeight="true" outlineLevel="0" collapsed="false">
      <c r="A286" s="29"/>
      <c r="B286" s="29"/>
      <c r="C286" s="29"/>
      <c r="D286" s="34"/>
      <c r="E286" s="34"/>
      <c r="F286" s="29"/>
      <c r="G286" s="35" t="str">
        <f aca="false">IF(A286="",IF(SUMPRODUCT(--(B286&lt;&gt;""))+SUMPRODUCT(--(D286:F286&lt;&gt;""))+SUMPRODUCT(--(H286:K286&lt;&gt;""))&gt;0,"Missing ID",""),IF(COUNTIF($A$7:$A$307,A286)&gt;1,"Duplicate ID",IF(AND(D286="Complete",E286=""),"Evidence missing",IF(AND(D286&lt;&gt;"Not started",D286&lt;&gt;"In progress",D286&lt;&gt;"In review",D286&lt;&gt;"Complete"),"Choose a status",""))))</f>
        <v/>
      </c>
      <c r="H286" s="29"/>
      <c r="I286" s="29"/>
      <c r="J286" s="29"/>
      <c r="K286" s="29"/>
    </row>
    <row r="287" customFormat="false" ht="44" hidden="false" customHeight="true" outlineLevel="0" collapsed="false">
      <c r="A287" s="29"/>
      <c r="B287" s="29"/>
      <c r="C287" s="29"/>
      <c r="D287" s="34"/>
      <c r="E287" s="34"/>
      <c r="F287" s="29"/>
      <c r="G287" s="35" t="str">
        <f aca="false">IF(A287="",IF(SUMPRODUCT(--(B287&lt;&gt;""))+SUMPRODUCT(--(D287:F287&lt;&gt;""))+SUMPRODUCT(--(H287:K287&lt;&gt;""))&gt;0,"Missing ID",""),IF(COUNTIF($A$7:$A$307,A287)&gt;1,"Duplicate ID",IF(AND(D287="Complete",E287=""),"Evidence missing",IF(AND(D287&lt;&gt;"Not started",D287&lt;&gt;"In progress",D287&lt;&gt;"In review",D287&lt;&gt;"Complete"),"Choose a status",""))))</f>
        <v/>
      </c>
      <c r="H287" s="29"/>
      <c r="I287" s="29"/>
      <c r="J287" s="29"/>
      <c r="K287" s="29"/>
    </row>
    <row r="288" customFormat="false" ht="44" hidden="false" customHeight="true" outlineLevel="0" collapsed="false">
      <c r="A288" s="29"/>
      <c r="B288" s="29"/>
      <c r="C288" s="29"/>
      <c r="D288" s="34"/>
      <c r="E288" s="34"/>
      <c r="F288" s="29"/>
      <c r="G288" s="35" t="str">
        <f aca="false">IF(A288="",IF(SUMPRODUCT(--(B288&lt;&gt;""))+SUMPRODUCT(--(D288:F288&lt;&gt;""))+SUMPRODUCT(--(H288:K288&lt;&gt;""))&gt;0,"Missing ID",""),IF(COUNTIF($A$7:$A$307,A288)&gt;1,"Duplicate ID",IF(AND(D288="Complete",E288=""),"Evidence missing",IF(AND(D288&lt;&gt;"Not started",D288&lt;&gt;"In progress",D288&lt;&gt;"In review",D288&lt;&gt;"Complete"),"Choose a status",""))))</f>
        <v/>
      </c>
      <c r="H288" s="29"/>
      <c r="I288" s="29"/>
      <c r="J288" s="29"/>
      <c r="K288" s="29"/>
    </row>
    <row r="289" customFormat="false" ht="44" hidden="false" customHeight="true" outlineLevel="0" collapsed="false">
      <c r="A289" s="29"/>
      <c r="B289" s="29"/>
      <c r="C289" s="29"/>
      <c r="D289" s="34"/>
      <c r="E289" s="34"/>
      <c r="F289" s="29"/>
      <c r="G289" s="35" t="str">
        <f aca="false">IF(A289="",IF(SUMPRODUCT(--(B289&lt;&gt;""))+SUMPRODUCT(--(D289:F289&lt;&gt;""))+SUMPRODUCT(--(H289:K289&lt;&gt;""))&gt;0,"Missing ID",""),IF(COUNTIF($A$7:$A$307,A289)&gt;1,"Duplicate ID",IF(AND(D289="Complete",E289=""),"Evidence missing",IF(AND(D289&lt;&gt;"Not started",D289&lt;&gt;"In progress",D289&lt;&gt;"In review",D289&lt;&gt;"Complete"),"Choose a status",""))))</f>
        <v/>
      </c>
      <c r="H289" s="29"/>
      <c r="I289" s="29"/>
      <c r="J289" s="29"/>
      <c r="K289" s="29"/>
    </row>
    <row r="290" customFormat="false" ht="44" hidden="false" customHeight="true" outlineLevel="0" collapsed="false">
      <c r="A290" s="29"/>
      <c r="B290" s="29"/>
      <c r="C290" s="29"/>
      <c r="D290" s="34"/>
      <c r="E290" s="34"/>
      <c r="F290" s="29"/>
      <c r="G290" s="35" t="str">
        <f aca="false">IF(A290="",IF(SUMPRODUCT(--(B290&lt;&gt;""))+SUMPRODUCT(--(D290:F290&lt;&gt;""))+SUMPRODUCT(--(H290:K290&lt;&gt;""))&gt;0,"Missing ID",""),IF(COUNTIF($A$7:$A$307,A290)&gt;1,"Duplicate ID",IF(AND(D290="Complete",E290=""),"Evidence missing",IF(AND(D290&lt;&gt;"Not started",D290&lt;&gt;"In progress",D290&lt;&gt;"In review",D290&lt;&gt;"Complete"),"Choose a status",""))))</f>
        <v/>
      </c>
      <c r="H290" s="29"/>
      <c r="I290" s="29"/>
      <c r="J290" s="29"/>
      <c r="K290" s="29"/>
    </row>
    <row r="291" customFormat="false" ht="44" hidden="false" customHeight="true" outlineLevel="0" collapsed="false">
      <c r="A291" s="29"/>
      <c r="B291" s="29"/>
      <c r="C291" s="29"/>
      <c r="D291" s="34"/>
      <c r="E291" s="34"/>
      <c r="F291" s="29"/>
      <c r="G291" s="35" t="str">
        <f aca="false">IF(A291="",IF(SUMPRODUCT(--(B291&lt;&gt;""))+SUMPRODUCT(--(D291:F291&lt;&gt;""))+SUMPRODUCT(--(H291:K291&lt;&gt;""))&gt;0,"Missing ID",""),IF(COUNTIF($A$7:$A$307,A291)&gt;1,"Duplicate ID",IF(AND(D291="Complete",E291=""),"Evidence missing",IF(AND(D291&lt;&gt;"Not started",D291&lt;&gt;"In progress",D291&lt;&gt;"In review",D291&lt;&gt;"Complete"),"Choose a status",""))))</f>
        <v/>
      </c>
      <c r="H291" s="29"/>
      <c r="I291" s="29"/>
      <c r="J291" s="29"/>
      <c r="K291" s="29"/>
    </row>
    <row r="292" customFormat="false" ht="44" hidden="false" customHeight="true" outlineLevel="0" collapsed="false">
      <c r="A292" s="29"/>
      <c r="B292" s="29"/>
      <c r="C292" s="29"/>
      <c r="D292" s="34"/>
      <c r="E292" s="34"/>
      <c r="F292" s="29"/>
      <c r="G292" s="35" t="str">
        <f aca="false">IF(A292="",IF(SUMPRODUCT(--(B292&lt;&gt;""))+SUMPRODUCT(--(D292:F292&lt;&gt;""))+SUMPRODUCT(--(H292:K292&lt;&gt;""))&gt;0,"Missing ID",""),IF(COUNTIF($A$7:$A$307,A292)&gt;1,"Duplicate ID",IF(AND(D292="Complete",E292=""),"Evidence missing",IF(AND(D292&lt;&gt;"Not started",D292&lt;&gt;"In progress",D292&lt;&gt;"In review",D292&lt;&gt;"Complete"),"Choose a status",""))))</f>
        <v/>
      </c>
      <c r="H292" s="29"/>
      <c r="I292" s="29"/>
      <c r="J292" s="29"/>
      <c r="K292" s="29"/>
    </row>
    <row r="293" customFormat="false" ht="44" hidden="false" customHeight="true" outlineLevel="0" collapsed="false">
      <c r="A293" s="29"/>
      <c r="B293" s="29"/>
      <c r="C293" s="29"/>
      <c r="D293" s="34"/>
      <c r="E293" s="34"/>
      <c r="F293" s="29"/>
      <c r="G293" s="35" t="str">
        <f aca="false">IF(A293="",IF(SUMPRODUCT(--(B293&lt;&gt;""))+SUMPRODUCT(--(D293:F293&lt;&gt;""))+SUMPRODUCT(--(H293:K293&lt;&gt;""))&gt;0,"Missing ID",""),IF(COUNTIF($A$7:$A$307,A293)&gt;1,"Duplicate ID",IF(AND(D293="Complete",E293=""),"Evidence missing",IF(AND(D293&lt;&gt;"Not started",D293&lt;&gt;"In progress",D293&lt;&gt;"In review",D293&lt;&gt;"Complete"),"Choose a status",""))))</f>
        <v/>
      </c>
      <c r="H293" s="29"/>
      <c r="I293" s="29"/>
      <c r="J293" s="29"/>
      <c r="K293" s="29"/>
    </row>
    <row r="294" customFormat="false" ht="44" hidden="false" customHeight="true" outlineLevel="0" collapsed="false">
      <c r="A294" s="29"/>
      <c r="B294" s="29"/>
      <c r="C294" s="29"/>
      <c r="D294" s="34"/>
      <c r="E294" s="34"/>
      <c r="F294" s="29"/>
      <c r="G294" s="35" t="str">
        <f aca="false">IF(A294="",IF(SUMPRODUCT(--(B294&lt;&gt;""))+SUMPRODUCT(--(D294:F294&lt;&gt;""))+SUMPRODUCT(--(H294:K294&lt;&gt;""))&gt;0,"Missing ID",""),IF(COUNTIF($A$7:$A$307,A294)&gt;1,"Duplicate ID",IF(AND(D294="Complete",E294=""),"Evidence missing",IF(AND(D294&lt;&gt;"Not started",D294&lt;&gt;"In progress",D294&lt;&gt;"In review",D294&lt;&gt;"Complete"),"Choose a status",""))))</f>
        <v/>
      </c>
      <c r="H294" s="29"/>
      <c r="I294" s="29"/>
      <c r="J294" s="29"/>
      <c r="K294" s="29"/>
    </row>
    <row r="295" customFormat="false" ht="44" hidden="false" customHeight="true" outlineLevel="0" collapsed="false">
      <c r="A295" s="29"/>
      <c r="B295" s="29"/>
      <c r="C295" s="29"/>
      <c r="D295" s="34"/>
      <c r="E295" s="34"/>
      <c r="F295" s="29"/>
      <c r="G295" s="35" t="str">
        <f aca="false">IF(A295="",IF(SUMPRODUCT(--(B295&lt;&gt;""))+SUMPRODUCT(--(D295:F295&lt;&gt;""))+SUMPRODUCT(--(H295:K295&lt;&gt;""))&gt;0,"Missing ID",""),IF(COUNTIF($A$7:$A$307,A295)&gt;1,"Duplicate ID",IF(AND(D295="Complete",E295=""),"Evidence missing",IF(AND(D295&lt;&gt;"Not started",D295&lt;&gt;"In progress",D295&lt;&gt;"In review",D295&lt;&gt;"Complete"),"Choose a status",""))))</f>
        <v/>
      </c>
      <c r="H295" s="29"/>
      <c r="I295" s="29"/>
      <c r="J295" s="29"/>
      <c r="K295" s="29"/>
    </row>
    <row r="296" customFormat="false" ht="44" hidden="false" customHeight="true" outlineLevel="0" collapsed="false">
      <c r="A296" s="29"/>
      <c r="B296" s="29"/>
      <c r="C296" s="29"/>
      <c r="D296" s="34"/>
      <c r="E296" s="34"/>
      <c r="F296" s="29"/>
      <c r="G296" s="35" t="str">
        <f aca="false">IF(A296="",IF(SUMPRODUCT(--(B296&lt;&gt;""))+SUMPRODUCT(--(D296:F296&lt;&gt;""))+SUMPRODUCT(--(H296:K296&lt;&gt;""))&gt;0,"Missing ID",""),IF(COUNTIF($A$7:$A$307,A296)&gt;1,"Duplicate ID",IF(AND(D296="Complete",E296=""),"Evidence missing",IF(AND(D296&lt;&gt;"Not started",D296&lt;&gt;"In progress",D296&lt;&gt;"In review",D296&lt;&gt;"Complete"),"Choose a status",""))))</f>
        <v/>
      </c>
      <c r="H296" s="29"/>
      <c r="I296" s="29"/>
      <c r="J296" s="29"/>
      <c r="K296" s="29"/>
    </row>
    <row r="297" customFormat="false" ht="44" hidden="false" customHeight="true" outlineLevel="0" collapsed="false">
      <c r="A297" s="29"/>
      <c r="B297" s="29"/>
      <c r="C297" s="29"/>
      <c r="D297" s="34"/>
      <c r="E297" s="34"/>
      <c r="F297" s="29"/>
      <c r="G297" s="35" t="str">
        <f aca="false">IF(A297="",IF(SUMPRODUCT(--(B297&lt;&gt;""))+SUMPRODUCT(--(D297:F297&lt;&gt;""))+SUMPRODUCT(--(H297:K297&lt;&gt;""))&gt;0,"Missing ID",""),IF(COUNTIF($A$7:$A$307,A297)&gt;1,"Duplicate ID",IF(AND(D297="Complete",E297=""),"Evidence missing",IF(AND(D297&lt;&gt;"Not started",D297&lt;&gt;"In progress",D297&lt;&gt;"In review",D297&lt;&gt;"Complete"),"Choose a status",""))))</f>
        <v/>
      </c>
      <c r="H297" s="29"/>
      <c r="I297" s="29"/>
      <c r="J297" s="29"/>
      <c r="K297" s="29"/>
    </row>
    <row r="298" customFormat="false" ht="44" hidden="false" customHeight="true" outlineLevel="0" collapsed="false">
      <c r="A298" s="29"/>
      <c r="B298" s="29"/>
      <c r="C298" s="29"/>
      <c r="D298" s="34"/>
      <c r="E298" s="34"/>
      <c r="F298" s="29"/>
      <c r="G298" s="35" t="str">
        <f aca="false">IF(A298="",IF(SUMPRODUCT(--(B298&lt;&gt;""))+SUMPRODUCT(--(D298:F298&lt;&gt;""))+SUMPRODUCT(--(H298:K298&lt;&gt;""))&gt;0,"Missing ID",""),IF(COUNTIF($A$7:$A$307,A298)&gt;1,"Duplicate ID",IF(AND(D298="Complete",E298=""),"Evidence missing",IF(AND(D298&lt;&gt;"Not started",D298&lt;&gt;"In progress",D298&lt;&gt;"In review",D298&lt;&gt;"Complete"),"Choose a status",""))))</f>
        <v/>
      </c>
      <c r="H298" s="29"/>
      <c r="I298" s="29"/>
      <c r="J298" s="29"/>
      <c r="K298" s="29"/>
    </row>
    <row r="299" customFormat="false" ht="44" hidden="false" customHeight="true" outlineLevel="0" collapsed="false">
      <c r="A299" s="29"/>
      <c r="B299" s="29"/>
      <c r="C299" s="29"/>
      <c r="D299" s="34"/>
      <c r="E299" s="34"/>
      <c r="F299" s="29"/>
      <c r="G299" s="35" t="str">
        <f aca="false">IF(A299="",IF(SUMPRODUCT(--(B299&lt;&gt;""))+SUMPRODUCT(--(D299:F299&lt;&gt;""))+SUMPRODUCT(--(H299:K299&lt;&gt;""))&gt;0,"Missing ID",""),IF(COUNTIF($A$7:$A$307,A299)&gt;1,"Duplicate ID",IF(AND(D299="Complete",E299=""),"Evidence missing",IF(AND(D299&lt;&gt;"Not started",D299&lt;&gt;"In progress",D299&lt;&gt;"In review",D299&lt;&gt;"Complete"),"Choose a status",""))))</f>
        <v/>
      </c>
      <c r="H299" s="29"/>
      <c r="I299" s="29"/>
      <c r="J299" s="29"/>
      <c r="K299" s="29"/>
    </row>
    <row r="300" customFormat="false" ht="44" hidden="false" customHeight="true" outlineLevel="0" collapsed="false">
      <c r="A300" s="29"/>
      <c r="B300" s="29"/>
      <c r="C300" s="29"/>
      <c r="D300" s="34"/>
      <c r="E300" s="34"/>
      <c r="F300" s="29"/>
      <c r="G300" s="35" t="str">
        <f aca="false">IF(A300="",IF(SUMPRODUCT(--(B300&lt;&gt;""))+SUMPRODUCT(--(D300:F300&lt;&gt;""))+SUMPRODUCT(--(H300:K300&lt;&gt;""))&gt;0,"Missing ID",""),IF(COUNTIF($A$7:$A$307,A300)&gt;1,"Duplicate ID",IF(AND(D300="Complete",E300=""),"Evidence missing",IF(AND(D300&lt;&gt;"Not started",D300&lt;&gt;"In progress",D300&lt;&gt;"In review",D300&lt;&gt;"Complete"),"Choose a status",""))))</f>
        <v/>
      </c>
      <c r="H300" s="29"/>
      <c r="I300" s="29"/>
      <c r="J300" s="29"/>
      <c r="K300" s="29"/>
    </row>
    <row r="301" customFormat="false" ht="44" hidden="false" customHeight="true" outlineLevel="0" collapsed="false">
      <c r="A301" s="29"/>
      <c r="B301" s="29"/>
      <c r="C301" s="29"/>
      <c r="D301" s="34"/>
      <c r="E301" s="34"/>
      <c r="F301" s="29"/>
      <c r="G301" s="35" t="str">
        <f aca="false">IF(A301="",IF(SUMPRODUCT(--(B301&lt;&gt;""))+SUMPRODUCT(--(D301:F301&lt;&gt;""))+SUMPRODUCT(--(H301:K301&lt;&gt;""))&gt;0,"Missing ID",""),IF(COUNTIF($A$7:$A$307,A301)&gt;1,"Duplicate ID",IF(AND(D301="Complete",E301=""),"Evidence missing",IF(AND(D301&lt;&gt;"Not started",D301&lt;&gt;"In progress",D301&lt;&gt;"In review",D301&lt;&gt;"Complete"),"Choose a status",""))))</f>
        <v/>
      </c>
      <c r="H301" s="29"/>
      <c r="I301" s="29"/>
      <c r="J301" s="29"/>
      <c r="K301" s="29"/>
    </row>
    <row r="302" customFormat="false" ht="44" hidden="false" customHeight="true" outlineLevel="0" collapsed="false">
      <c r="A302" s="29"/>
      <c r="B302" s="29"/>
      <c r="C302" s="29"/>
      <c r="D302" s="34"/>
      <c r="E302" s="34"/>
      <c r="F302" s="29"/>
      <c r="G302" s="35" t="str">
        <f aca="false">IF(A302="",IF(SUMPRODUCT(--(B302&lt;&gt;""))+SUMPRODUCT(--(D302:F302&lt;&gt;""))+SUMPRODUCT(--(H302:K302&lt;&gt;""))&gt;0,"Missing ID",""),IF(COUNTIF($A$7:$A$307,A302)&gt;1,"Duplicate ID",IF(AND(D302="Complete",E302=""),"Evidence missing",IF(AND(D302&lt;&gt;"Not started",D302&lt;&gt;"In progress",D302&lt;&gt;"In review",D302&lt;&gt;"Complete"),"Choose a status",""))))</f>
        <v/>
      </c>
      <c r="H302" s="29"/>
      <c r="I302" s="29"/>
      <c r="J302" s="29"/>
      <c r="K302" s="29"/>
    </row>
    <row r="303" customFormat="false" ht="44" hidden="false" customHeight="true" outlineLevel="0" collapsed="false">
      <c r="A303" s="29"/>
      <c r="B303" s="29"/>
      <c r="C303" s="29"/>
      <c r="D303" s="34"/>
      <c r="E303" s="34"/>
      <c r="F303" s="29"/>
      <c r="G303" s="35" t="str">
        <f aca="false">IF(A303="",IF(SUMPRODUCT(--(B303&lt;&gt;""))+SUMPRODUCT(--(D303:F303&lt;&gt;""))+SUMPRODUCT(--(H303:K303&lt;&gt;""))&gt;0,"Missing ID",""),IF(COUNTIF($A$7:$A$307,A303)&gt;1,"Duplicate ID",IF(AND(D303="Complete",E303=""),"Evidence missing",IF(AND(D303&lt;&gt;"Not started",D303&lt;&gt;"In progress",D303&lt;&gt;"In review",D303&lt;&gt;"Complete"),"Choose a status",""))))</f>
        <v/>
      </c>
      <c r="H303" s="29"/>
      <c r="I303" s="29"/>
      <c r="J303" s="29"/>
      <c r="K303" s="29"/>
    </row>
    <row r="304" customFormat="false" ht="44" hidden="false" customHeight="true" outlineLevel="0" collapsed="false">
      <c r="A304" s="29"/>
      <c r="B304" s="29"/>
      <c r="C304" s="29"/>
      <c r="D304" s="34"/>
      <c r="E304" s="34"/>
      <c r="F304" s="29"/>
      <c r="G304" s="35" t="str">
        <f aca="false">IF(A304="",IF(SUMPRODUCT(--(B304&lt;&gt;""))+SUMPRODUCT(--(D304:F304&lt;&gt;""))+SUMPRODUCT(--(H304:K304&lt;&gt;""))&gt;0,"Missing ID",""),IF(COUNTIF($A$7:$A$307,A304)&gt;1,"Duplicate ID",IF(AND(D304="Complete",E304=""),"Evidence missing",IF(AND(D304&lt;&gt;"Not started",D304&lt;&gt;"In progress",D304&lt;&gt;"In review",D304&lt;&gt;"Complete"),"Choose a status",""))))</f>
        <v/>
      </c>
      <c r="H304" s="29"/>
      <c r="I304" s="29"/>
      <c r="J304" s="29"/>
      <c r="K304" s="29"/>
    </row>
    <row r="305" customFormat="false" ht="44" hidden="false" customHeight="true" outlineLevel="0" collapsed="false">
      <c r="A305" s="29"/>
      <c r="B305" s="29"/>
      <c r="C305" s="29"/>
      <c r="D305" s="34"/>
      <c r="E305" s="34"/>
      <c r="F305" s="29"/>
      <c r="G305" s="35" t="str">
        <f aca="false">IF(A305="",IF(SUMPRODUCT(--(B305&lt;&gt;""))+SUMPRODUCT(--(D305:F305&lt;&gt;""))+SUMPRODUCT(--(H305:K305&lt;&gt;""))&gt;0,"Missing ID",""),IF(COUNTIF($A$7:$A$307,A305)&gt;1,"Duplicate ID",IF(AND(D305="Complete",E305=""),"Evidence missing",IF(AND(D305&lt;&gt;"Not started",D305&lt;&gt;"In progress",D305&lt;&gt;"In review",D305&lt;&gt;"Complete"),"Choose a status",""))))</f>
        <v/>
      </c>
      <c r="H305" s="29"/>
      <c r="I305" s="29"/>
      <c r="J305" s="29"/>
      <c r="K305" s="29"/>
    </row>
    <row r="306" customFormat="false" ht="44" hidden="false" customHeight="true" outlineLevel="0" collapsed="false">
      <c r="A306" s="29"/>
      <c r="B306" s="29"/>
      <c r="C306" s="29"/>
      <c r="D306" s="34"/>
      <c r="E306" s="34"/>
      <c r="F306" s="29"/>
      <c r="G306" s="35" t="str">
        <f aca="false">IF(A306="",IF(SUMPRODUCT(--(B306&lt;&gt;""))+SUMPRODUCT(--(D306:F306&lt;&gt;""))+SUMPRODUCT(--(H306:K306&lt;&gt;""))&gt;0,"Missing ID",""),IF(COUNTIF($A$7:$A$307,A306)&gt;1,"Duplicate ID",IF(AND(D306="Complete",E306=""),"Evidence missing",IF(AND(D306&lt;&gt;"Not started",D306&lt;&gt;"In progress",D306&lt;&gt;"In review",D306&lt;&gt;"Complete"),"Choose a status",""))))</f>
        <v/>
      </c>
      <c r="H306" s="29"/>
      <c r="I306" s="29"/>
      <c r="J306" s="29"/>
      <c r="K306" s="29"/>
    </row>
    <row r="307" customFormat="false" ht="44" hidden="false" customHeight="true" outlineLevel="0" collapsed="false">
      <c r="A307" s="29"/>
      <c r="B307" s="29"/>
      <c r="C307" s="29"/>
      <c r="D307" s="34"/>
      <c r="E307" s="34"/>
      <c r="F307" s="29"/>
      <c r="G307" s="35" t="str">
        <f aca="false">IF(A307="",IF(SUMPRODUCT(--(B307&lt;&gt;""))+SUMPRODUCT(--(D307:F307&lt;&gt;""))+SUMPRODUCT(--(H307:K307&lt;&gt;""))&gt;0,"Missing ID",""),IF(COUNTIF($A$7:$A$307,A307)&gt;1,"Duplicate ID",IF(AND(D307="Complete",E307=""),"Evidence missing",IF(AND(D307&lt;&gt;"Not started",D307&lt;&gt;"In progress",D307&lt;&gt;"In review",D307&lt;&gt;"Complete"),"Choose a status",""))))</f>
        <v/>
      </c>
      <c r="H307" s="29"/>
      <c r="I307" s="29"/>
      <c r="J307" s="29"/>
      <c r="K307" s="29"/>
    </row>
  </sheetData>
  <mergeCells count="2">
    <mergeCell ref="A1:C2"/>
    <mergeCell ref="A3:C4"/>
  </mergeCells>
  <conditionalFormatting sqref="G7:G32">
    <cfRule type="expression" priority="2" aboveAverage="0" equalAverage="0" bottom="0" percent="0" rank="0" text="" dxfId="31">
      <formula>$G7="Not Started"</formula>
    </cfRule>
    <cfRule type="expression" priority="3" aboveAverage="0" equalAverage="0" bottom="0" percent="0" rank="0" text="" dxfId="32">
      <formula>$G7="In Progress"</formula>
    </cfRule>
    <cfRule type="expression" priority="4" aboveAverage="0" equalAverage="0" bottom="0" percent="0" rank="0" text="" dxfId="29">
      <formula>$G7="Ready"</formula>
    </cfRule>
    <cfRule type="expression" priority="5" aboveAverage="0" equalAverage="0" bottom="0" percent="0" rank="0" text="" dxfId="1">
      <formula>$G7="Complete"</formula>
    </cfRule>
    <cfRule type="expression" priority="6" aboveAverage="0" equalAverage="0" bottom="0" percent="0" rank="0" text="" dxfId="31">
      <formula>$G7="N/A"</formula>
    </cfRule>
  </conditionalFormatting>
  <conditionalFormatting sqref="K7:K32">
    <cfRule type="expression" priority="7" aboveAverage="0" equalAverage="0" bottom="0" percent="0" rank="0" text="" dxfId="0">
      <formula>$K7="Open"</formula>
    </cfRule>
    <cfRule type="expression" priority="8" aboveAverage="0" equalAverage="0" bottom="0" percent="0" rank="0" text="" dxfId="1">
      <formula>$K7="Closed"</formula>
    </cfRule>
  </conditionalFormatting>
  <conditionalFormatting sqref="D7:D307">
    <cfRule type="cellIs" priority="9" operator="equal" aboveAverage="0" equalAverage="0" bottom="0" percent="0" rank="0" text="" dxfId="45">
      <formula>"Unresolved"</formula>
    </cfRule>
    <cfRule type="cellIs" priority="10" operator="equal" aboveAverage="0" equalAverage="0" bottom="0" percent="0" rank="0" text="" dxfId="46">
      <formula>"Fail"</formula>
    </cfRule>
    <cfRule type="cellIs" priority="11" operator="equal" aboveAverage="0" equalAverage="0" bottom="0" percent="0" rank="0" text="" dxfId="47">
      <formula>"Pass"</formula>
    </cfRule>
    <cfRule type="cellIs" priority="12" operator="equal" aboveAverage="0" equalAverage="0" bottom="0" percent="0" rank="0" text="" dxfId="48">
      <formula>"In progress"</formula>
    </cfRule>
    <cfRule type="cellIs" priority="13" operator="equal" aboveAverage="0" equalAverage="0" bottom="0" percent="0" rank="0" text="" dxfId="49">
      <formula>"In review"</formula>
    </cfRule>
    <cfRule type="cellIs" priority="14" operator="equal" aboveAverage="0" equalAverage="0" bottom="0" percent="0" rank="0" text="" dxfId="50">
      <formula>"Complete"</formula>
    </cfRule>
  </conditionalFormatting>
  <dataValidations count="1">
    <dataValidation allowBlank="true" error="Use the dropdown values." errorStyle="stop" errorTitle="Choose a listed value" operator="between" showDropDown="false" showErrorMessage="true" showInputMessage="false" sqref="D7:D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&amp;L&amp;"Arial,Bold"&amp;12&amp;K000000Submission Checklist</oddHeader>
    <oddFooter>&amp;L&amp;"Calibri"&amp;11&amp;K000000Submission Checklist&amp;R&amp;"Calibri"&amp;11&amp;K000000Page &amp;P of &amp;N</oddFooter>
  </headerFooter>
  <tableParts>
    <tablePart r:id="rId1"/>
  </tableParts>
</worksheet>
</file>

<file path=xl/worksheets/sheet7.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2.22"/>
    <col collapsed="false" customWidth="true" hidden="false" outlineLevel="0" max="2" min="2" style="0" width="33.33"/>
    <col collapsed="false" customWidth="true" hidden="false" outlineLevel="0" max="3" min="3" style="0" width="18.89"/>
    <col collapsed="false" customWidth="true" hidden="false" outlineLevel="0" max="4" min="4" style="0" width="25.56"/>
    <col collapsed="false" customWidth="true" hidden="false" outlineLevel="0" max="5" min="5" style="0" width="12.78"/>
    <col collapsed="false" customWidth="true" hidden="false" outlineLevel="0" max="6" min="6" style="0" width="34.44"/>
    <col collapsed="false" customWidth="true" hidden="false" outlineLevel="0" max="7" min="7" style="0" width="17.78"/>
    <col collapsed="false" customWidth="true" hidden="true" outlineLevel="1" max="8" min="8" style="0" width="13.34"/>
    <col collapsed="false" customWidth="true" hidden="true" outlineLevel="1" max="9" min="9" style="0" width="11.67"/>
    <col collapsed="false" customWidth="true" hidden="true" outlineLevel="1" max="10" min="10" style="0" width="33.33"/>
    <col collapsed="false" customWidth="true" hidden="false" outlineLevel="0" max="11" min="11" style="0" width="24.44"/>
    <col collapsed="false" customWidth="true" hidden="false" outlineLevel="0" max="12" min="12" style="0" width="20"/>
  </cols>
  <sheetData>
    <row r="1" customFormat="false" ht="23" hidden="false" customHeight="true" outlineLevel="0" collapsed="false">
      <c r="A1" s="28" t="s">
        <v>113</v>
      </c>
      <c r="B1" s="28" t="s">
        <v>113</v>
      </c>
      <c r="C1" s="28" t="s">
        <v>113</v>
      </c>
      <c r="D1" s="29"/>
      <c r="E1" s="29"/>
      <c r="F1" s="29"/>
      <c r="G1" s="29"/>
      <c r="H1" s="29"/>
      <c r="I1" s="29"/>
      <c r="J1" s="29"/>
      <c r="K1" s="29"/>
      <c r="L1" s="29"/>
    </row>
    <row r="2" customFormat="false" ht="23" hidden="false" customHeight="true" outlineLevel="0" collapsed="false">
      <c r="A2" s="28" t="s">
        <v>113</v>
      </c>
      <c r="B2" s="28" t="s">
        <v>113</v>
      </c>
      <c r="C2" s="28" t="s">
        <v>113</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44" hidden="false" customHeight="true" outlineLevel="0" collapsed="false">
      <c r="A5" s="29"/>
      <c r="B5" s="29"/>
      <c r="C5" s="29"/>
      <c r="D5" s="29"/>
      <c r="E5" s="29"/>
      <c r="F5" s="29"/>
      <c r="G5" s="29"/>
      <c r="H5" s="29"/>
      <c r="I5" s="29"/>
      <c r="J5" s="29"/>
      <c r="K5" s="29"/>
      <c r="L5" s="29"/>
    </row>
    <row r="6" customFormat="false" ht="42" hidden="false" customHeight="true" outlineLevel="0" collapsed="false">
      <c r="A6" s="30" t="s">
        <v>114</v>
      </c>
      <c r="B6" s="30" t="s">
        <v>115</v>
      </c>
      <c r="C6" s="30" t="s">
        <v>116</v>
      </c>
      <c r="D6" s="30" t="s">
        <v>117</v>
      </c>
      <c r="E6" s="30" t="s">
        <v>108</v>
      </c>
      <c r="F6" s="30" t="s">
        <v>112</v>
      </c>
      <c r="G6" s="30" t="s">
        <v>72</v>
      </c>
      <c r="H6" s="30" t="s">
        <v>118</v>
      </c>
      <c r="I6" s="30" t="s">
        <v>86</v>
      </c>
      <c r="J6" s="30" t="s">
        <v>91</v>
      </c>
      <c r="K6" s="30" t="s">
        <v>79</v>
      </c>
      <c r="L6" s="30" t="s">
        <v>82</v>
      </c>
    </row>
    <row r="7" customFormat="false" ht="44" hidden="false" customHeight="true" outlineLevel="0" collapsed="false">
      <c r="A7" s="31"/>
      <c r="B7" s="33"/>
      <c r="C7" s="33"/>
      <c r="D7" s="33"/>
      <c r="E7" s="34"/>
      <c r="F7" s="33"/>
      <c r="G7" s="33"/>
      <c r="H7" s="33"/>
      <c r="I7" s="33"/>
      <c r="J7" s="33"/>
      <c r="K7" s="34"/>
      <c r="L7" s="35" t="str">
        <f aca="false">IF(A7="",IF(SUMPRODUCT(--(B7:K7&lt;&gt;""))&gt;0,"Missing ID",""),IF(COUNTIF($A$7:$A$307,A7)&gt;1,"Duplicate ID",IF(AND(E7="Complete",K7=""),"Evidence missing",IF(AND(E7&lt;&gt;"Not started",E7&lt;&gt;"In progress",E7&lt;&gt;"In review",E7&lt;&gt;"Complete"),"Choose a status",""))))</f>
        <v/>
      </c>
    </row>
    <row r="8" customFormat="false" ht="44" hidden="false" customHeight="true" outlineLevel="0" collapsed="false">
      <c r="A8" s="36"/>
      <c r="B8" s="38"/>
      <c r="C8" s="38"/>
      <c r="D8" s="38"/>
      <c r="E8" s="34"/>
      <c r="F8" s="38"/>
      <c r="G8" s="38"/>
      <c r="H8" s="38"/>
      <c r="I8" s="38"/>
      <c r="J8" s="38"/>
      <c r="K8" s="34"/>
      <c r="L8" s="35" t="str">
        <f aca="false">IF(A8="",IF(SUMPRODUCT(--(B8:K8&lt;&gt;""))&gt;0,"Missing ID",""),IF(COUNTIF($A$7:$A$307,A8)&gt;1,"Duplicate ID",IF(AND(E8="Complete",K8=""),"Evidence missing",IF(AND(E8&lt;&gt;"Not started",E8&lt;&gt;"In progress",E8&lt;&gt;"In review",E8&lt;&gt;"Complete"),"Choose a status",""))))</f>
        <v/>
      </c>
    </row>
    <row r="9" customFormat="false" ht="44" hidden="false" customHeight="true" outlineLevel="0" collapsed="false">
      <c r="A9" s="31"/>
      <c r="B9" s="33"/>
      <c r="C9" s="33"/>
      <c r="D9" s="33"/>
      <c r="E9" s="34"/>
      <c r="F9" s="33"/>
      <c r="G9" s="33"/>
      <c r="H9" s="33"/>
      <c r="I9" s="33"/>
      <c r="J9" s="33"/>
      <c r="K9" s="34"/>
      <c r="L9" s="35" t="str">
        <f aca="false">IF(A9="",IF(SUMPRODUCT(--(B9:K9&lt;&gt;""))&gt;0,"Missing ID",""),IF(COUNTIF($A$7:$A$307,A9)&gt;1,"Duplicate ID",IF(AND(E9="Complete",K9=""),"Evidence missing",IF(AND(E9&lt;&gt;"Not started",E9&lt;&gt;"In progress",E9&lt;&gt;"In review",E9&lt;&gt;"Complete"),"Choose a status",""))))</f>
        <v/>
      </c>
    </row>
    <row r="10" customFormat="false" ht="44" hidden="false" customHeight="true" outlineLevel="0" collapsed="false">
      <c r="A10" s="36"/>
      <c r="B10" s="38"/>
      <c r="C10" s="38"/>
      <c r="D10" s="38"/>
      <c r="E10" s="34"/>
      <c r="F10" s="38"/>
      <c r="G10" s="38"/>
      <c r="H10" s="38"/>
      <c r="I10" s="38"/>
      <c r="J10" s="38"/>
      <c r="K10" s="34"/>
      <c r="L10" s="35" t="str">
        <f aca="false">IF(A10="",IF(SUMPRODUCT(--(B10:K10&lt;&gt;""))&gt;0,"Missing ID",""),IF(COUNTIF($A$7:$A$307,A10)&gt;1,"Duplicate ID",IF(AND(E10="Complete",K10=""),"Evidence missing",IF(AND(E10&lt;&gt;"Not started",E10&lt;&gt;"In progress",E10&lt;&gt;"In review",E10&lt;&gt;"Complete"),"Choose a status",""))))</f>
        <v/>
      </c>
    </row>
    <row r="11" customFormat="false" ht="44" hidden="false" customHeight="true" outlineLevel="0" collapsed="false">
      <c r="A11" s="31"/>
      <c r="B11" s="33"/>
      <c r="C11" s="33"/>
      <c r="D11" s="33"/>
      <c r="E11" s="34"/>
      <c r="F11" s="33"/>
      <c r="G11" s="33"/>
      <c r="H11" s="33"/>
      <c r="I11" s="33"/>
      <c r="J11" s="33"/>
      <c r="K11" s="34"/>
      <c r="L11" s="35" t="str">
        <f aca="false">IF(A11="",IF(SUMPRODUCT(--(B11:K11&lt;&gt;""))&gt;0,"Missing ID",""),IF(COUNTIF($A$7:$A$307,A11)&gt;1,"Duplicate ID",IF(AND(E11="Complete",K11=""),"Evidence missing",IF(AND(E11&lt;&gt;"Not started",E11&lt;&gt;"In progress",E11&lt;&gt;"In review",E11&lt;&gt;"Complete"),"Choose a status",""))))</f>
        <v/>
      </c>
    </row>
    <row r="12" customFormat="false" ht="44" hidden="false" customHeight="true" outlineLevel="0" collapsed="false">
      <c r="A12" s="36"/>
      <c r="B12" s="38"/>
      <c r="C12" s="38"/>
      <c r="D12" s="38"/>
      <c r="E12" s="34"/>
      <c r="F12" s="38"/>
      <c r="G12" s="38"/>
      <c r="H12" s="38"/>
      <c r="I12" s="38"/>
      <c r="J12" s="38"/>
      <c r="K12" s="34"/>
      <c r="L12" s="35" t="str">
        <f aca="false">IF(A12="",IF(SUMPRODUCT(--(B12:K12&lt;&gt;""))&gt;0,"Missing ID",""),IF(COUNTIF($A$7:$A$307,A12)&gt;1,"Duplicate ID",IF(AND(E12="Complete",K12=""),"Evidence missing",IF(AND(E12&lt;&gt;"Not started",E12&lt;&gt;"In progress",E12&lt;&gt;"In review",E12&lt;&gt;"Complete"),"Choose a status",""))))</f>
        <v/>
      </c>
    </row>
    <row r="13" customFormat="false" ht="44" hidden="false" customHeight="true" outlineLevel="0" collapsed="false">
      <c r="A13" s="31"/>
      <c r="B13" s="33"/>
      <c r="C13" s="33"/>
      <c r="D13" s="33"/>
      <c r="E13" s="34"/>
      <c r="F13" s="33"/>
      <c r="G13" s="33"/>
      <c r="H13" s="33"/>
      <c r="I13" s="33"/>
      <c r="J13" s="33"/>
      <c r="K13" s="34"/>
      <c r="L13" s="35" t="str">
        <f aca="false">IF(A13="",IF(SUMPRODUCT(--(B13:K13&lt;&gt;""))&gt;0,"Missing ID",""),IF(COUNTIF($A$7:$A$307,A13)&gt;1,"Duplicate ID",IF(AND(E13="Complete",K13=""),"Evidence missing",IF(AND(E13&lt;&gt;"Not started",E13&lt;&gt;"In progress",E13&lt;&gt;"In review",E13&lt;&gt;"Complete"),"Choose a status",""))))</f>
        <v/>
      </c>
    </row>
    <row r="14" customFormat="false" ht="44" hidden="false" customHeight="true" outlineLevel="0" collapsed="false">
      <c r="A14" s="36"/>
      <c r="B14" s="38"/>
      <c r="C14" s="38"/>
      <c r="D14" s="38"/>
      <c r="E14" s="34"/>
      <c r="F14" s="38"/>
      <c r="G14" s="38"/>
      <c r="H14" s="38"/>
      <c r="I14" s="38"/>
      <c r="J14" s="38"/>
      <c r="K14" s="34"/>
      <c r="L14" s="35" t="str">
        <f aca="false">IF(A14="",IF(SUMPRODUCT(--(B14:K14&lt;&gt;""))&gt;0,"Missing ID",""),IF(COUNTIF($A$7:$A$307,A14)&gt;1,"Duplicate ID",IF(AND(E14="Complete",K14=""),"Evidence missing",IF(AND(E14&lt;&gt;"Not started",E14&lt;&gt;"In progress",E14&lt;&gt;"In review",E14&lt;&gt;"Complete"),"Choose a status",""))))</f>
        <v/>
      </c>
    </row>
    <row r="15" customFormat="false" ht="44" hidden="false" customHeight="true" outlineLevel="0" collapsed="false">
      <c r="A15" s="29"/>
      <c r="B15" s="29"/>
      <c r="C15" s="29"/>
      <c r="D15" s="29"/>
      <c r="E15" s="34"/>
      <c r="F15" s="29"/>
      <c r="G15" s="29"/>
      <c r="H15" s="29"/>
      <c r="I15" s="29"/>
      <c r="J15" s="29"/>
      <c r="K15" s="34"/>
      <c r="L15" s="35" t="str">
        <f aca="false">IF(A15="",IF(SUMPRODUCT(--(B15:K15&lt;&gt;""))&gt;0,"Missing ID",""),IF(COUNTIF($A$7:$A$307,A15)&gt;1,"Duplicate ID",IF(AND(E15="Complete",K15=""),"Evidence missing",IF(AND(E15&lt;&gt;"Not started",E15&lt;&gt;"In progress",E15&lt;&gt;"In review",E15&lt;&gt;"Complete"),"Choose a status",""))))</f>
        <v/>
      </c>
    </row>
    <row r="16" customFormat="false" ht="44" hidden="false" customHeight="true" outlineLevel="0" collapsed="false">
      <c r="A16" s="29"/>
      <c r="B16" s="29"/>
      <c r="C16" s="29"/>
      <c r="D16" s="29"/>
      <c r="E16" s="34"/>
      <c r="F16" s="29"/>
      <c r="G16" s="29"/>
      <c r="H16" s="29"/>
      <c r="I16" s="29"/>
      <c r="J16" s="29"/>
      <c r="K16" s="34"/>
      <c r="L16" s="35" t="str">
        <f aca="false">IF(A16="",IF(SUMPRODUCT(--(B16:K16&lt;&gt;""))&gt;0,"Missing ID",""),IF(COUNTIF($A$7:$A$307,A16)&gt;1,"Duplicate ID",IF(AND(E16="Complete",K16=""),"Evidence missing",IF(AND(E16&lt;&gt;"Not started",E16&lt;&gt;"In progress",E16&lt;&gt;"In review",E16&lt;&gt;"Complete"),"Choose a status",""))))</f>
        <v/>
      </c>
    </row>
    <row r="17" customFormat="false" ht="44" hidden="false" customHeight="true" outlineLevel="0" collapsed="false">
      <c r="A17" s="29"/>
      <c r="B17" s="29"/>
      <c r="C17" s="29"/>
      <c r="D17" s="29"/>
      <c r="E17" s="34"/>
      <c r="F17" s="29"/>
      <c r="G17" s="29"/>
      <c r="H17" s="29"/>
      <c r="I17" s="29"/>
      <c r="J17" s="29"/>
      <c r="K17" s="34"/>
      <c r="L17" s="35" t="str">
        <f aca="false">IF(A17="",IF(SUMPRODUCT(--(B17:K17&lt;&gt;""))&gt;0,"Missing ID",""),IF(COUNTIF($A$7:$A$307,A17)&gt;1,"Duplicate ID",IF(AND(E17="Complete",K17=""),"Evidence missing",IF(AND(E17&lt;&gt;"Not started",E17&lt;&gt;"In progress",E17&lt;&gt;"In review",E17&lt;&gt;"Complete"),"Choose a status",""))))</f>
        <v/>
      </c>
    </row>
    <row r="18" customFormat="false" ht="44" hidden="false" customHeight="true" outlineLevel="0" collapsed="false">
      <c r="A18" s="29"/>
      <c r="B18" s="29"/>
      <c r="C18" s="29"/>
      <c r="D18" s="29"/>
      <c r="E18" s="34"/>
      <c r="F18" s="29"/>
      <c r="G18" s="29"/>
      <c r="H18" s="29"/>
      <c r="I18" s="29"/>
      <c r="J18" s="29"/>
      <c r="K18" s="34"/>
      <c r="L18" s="35" t="str">
        <f aca="false">IF(A18="",IF(SUMPRODUCT(--(B18:K18&lt;&gt;""))&gt;0,"Missing ID",""),IF(COUNTIF($A$7:$A$307,A18)&gt;1,"Duplicate ID",IF(AND(E18="Complete",K18=""),"Evidence missing",IF(AND(E18&lt;&gt;"Not started",E18&lt;&gt;"In progress",E18&lt;&gt;"In review",E18&lt;&gt;"Complete"),"Choose a status",""))))</f>
        <v/>
      </c>
    </row>
    <row r="19" customFormat="false" ht="44" hidden="false" customHeight="true" outlineLevel="0" collapsed="false">
      <c r="A19" s="29"/>
      <c r="B19" s="29"/>
      <c r="C19" s="29"/>
      <c r="D19" s="29"/>
      <c r="E19" s="34"/>
      <c r="F19" s="29"/>
      <c r="G19" s="29"/>
      <c r="H19" s="29"/>
      <c r="I19" s="29"/>
      <c r="J19" s="29"/>
      <c r="K19" s="34"/>
      <c r="L19" s="35" t="str">
        <f aca="false">IF(A19="",IF(SUMPRODUCT(--(B19:K19&lt;&gt;""))&gt;0,"Missing ID",""),IF(COUNTIF($A$7:$A$307,A19)&gt;1,"Duplicate ID",IF(AND(E19="Complete",K19=""),"Evidence missing",IF(AND(E19&lt;&gt;"Not started",E19&lt;&gt;"In progress",E19&lt;&gt;"In review",E19&lt;&gt;"Complete"),"Choose a status",""))))</f>
        <v/>
      </c>
    </row>
    <row r="20" customFormat="false" ht="44" hidden="false" customHeight="true" outlineLevel="0" collapsed="false">
      <c r="A20" s="29"/>
      <c r="B20" s="29"/>
      <c r="C20" s="29"/>
      <c r="D20" s="29"/>
      <c r="E20" s="34"/>
      <c r="F20" s="29"/>
      <c r="G20" s="29"/>
      <c r="H20" s="29"/>
      <c r="I20" s="29"/>
      <c r="J20" s="29"/>
      <c r="K20" s="34"/>
      <c r="L20" s="35" t="str">
        <f aca="false">IF(A20="",IF(SUMPRODUCT(--(B20:K20&lt;&gt;""))&gt;0,"Missing ID",""),IF(COUNTIF($A$7:$A$307,A20)&gt;1,"Duplicate ID",IF(AND(E20="Complete",K20=""),"Evidence missing",IF(AND(E20&lt;&gt;"Not started",E20&lt;&gt;"In progress",E20&lt;&gt;"In review",E20&lt;&gt;"Complete"),"Choose a status",""))))</f>
        <v/>
      </c>
    </row>
    <row r="21" customFormat="false" ht="44" hidden="false" customHeight="true" outlineLevel="0" collapsed="false">
      <c r="A21" s="29"/>
      <c r="B21" s="29"/>
      <c r="C21" s="29"/>
      <c r="D21" s="29"/>
      <c r="E21" s="34"/>
      <c r="F21" s="29"/>
      <c r="G21" s="29"/>
      <c r="H21" s="29"/>
      <c r="I21" s="29"/>
      <c r="J21" s="29"/>
      <c r="K21" s="34"/>
      <c r="L21" s="35" t="str">
        <f aca="false">IF(A21="",IF(SUMPRODUCT(--(B21:K21&lt;&gt;""))&gt;0,"Missing ID",""),IF(COUNTIF($A$7:$A$307,A21)&gt;1,"Duplicate ID",IF(AND(E21="Complete",K21=""),"Evidence missing",IF(AND(E21&lt;&gt;"Not started",E21&lt;&gt;"In progress",E21&lt;&gt;"In review",E21&lt;&gt;"Complete"),"Choose a status",""))))</f>
        <v/>
      </c>
    </row>
    <row r="22" customFormat="false" ht="44" hidden="false" customHeight="true" outlineLevel="0" collapsed="false">
      <c r="A22" s="29"/>
      <c r="B22" s="29"/>
      <c r="C22" s="29"/>
      <c r="D22" s="29"/>
      <c r="E22" s="34"/>
      <c r="F22" s="29"/>
      <c r="G22" s="29"/>
      <c r="H22" s="29"/>
      <c r="I22" s="29"/>
      <c r="J22" s="29"/>
      <c r="K22" s="34"/>
      <c r="L22" s="35" t="str">
        <f aca="false">IF(A22="",IF(SUMPRODUCT(--(B22:K22&lt;&gt;""))&gt;0,"Missing ID",""),IF(COUNTIF($A$7:$A$307,A22)&gt;1,"Duplicate ID",IF(AND(E22="Complete",K22=""),"Evidence missing",IF(AND(E22&lt;&gt;"Not started",E22&lt;&gt;"In progress",E22&lt;&gt;"In review",E22&lt;&gt;"Complete"),"Choose a status",""))))</f>
        <v/>
      </c>
    </row>
    <row r="23" customFormat="false" ht="44" hidden="false" customHeight="true" outlineLevel="0" collapsed="false">
      <c r="A23" s="29"/>
      <c r="B23" s="29"/>
      <c r="C23" s="29"/>
      <c r="D23" s="29"/>
      <c r="E23" s="34"/>
      <c r="F23" s="29"/>
      <c r="G23" s="29"/>
      <c r="H23" s="29"/>
      <c r="I23" s="29"/>
      <c r="J23" s="29"/>
      <c r="K23" s="34"/>
      <c r="L23" s="35" t="str">
        <f aca="false">IF(A23="",IF(SUMPRODUCT(--(B23:K23&lt;&gt;""))&gt;0,"Missing ID",""),IF(COUNTIF($A$7:$A$307,A23)&gt;1,"Duplicate ID",IF(AND(E23="Complete",K23=""),"Evidence missing",IF(AND(E23&lt;&gt;"Not started",E23&lt;&gt;"In progress",E23&lt;&gt;"In review",E23&lt;&gt;"Complete"),"Choose a status",""))))</f>
        <v/>
      </c>
    </row>
    <row r="24" customFormat="false" ht="44" hidden="false" customHeight="true" outlineLevel="0" collapsed="false">
      <c r="A24" s="29"/>
      <c r="B24" s="29"/>
      <c r="C24" s="29"/>
      <c r="D24" s="29"/>
      <c r="E24" s="34"/>
      <c r="F24" s="29"/>
      <c r="G24" s="29"/>
      <c r="H24" s="29"/>
      <c r="I24" s="29"/>
      <c r="J24" s="29"/>
      <c r="K24" s="34"/>
      <c r="L24" s="35" t="str">
        <f aca="false">IF(A24="",IF(SUMPRODUCT(--(B24:K24&lt;&gt;""))&gt;0,"Missing ID",""),IF(COUNTIF($A$7:$A$307,A24)&gt;1,"Duplicate ID",IF(AND(E24="Complete",K24=""),"Evidence missing",IF(AND(E24&lt;&gt;"Not started",E24&lt;&gt;"In progress",E24&lt;&gt;"In review",E24&lt;&gt;"Complete"),"Choose a status",""))))</f>
        <v/>
      </c>
    </row>
    <row r="25" customFormat="false" ht="44" hidden="false" customHeight="true" outlineLevel="0" collapsed="false">
      <c r="A25" s="29"/>
      <c r="B25" s="29"/>
      <c r="C25" s="29"/>
      <c r="D25" s="29"/>
      <c r="E25" s="34"/>
      <c r="F25" s="29"/>
      <c r="G25" s="29"/>
      <c r="H25" s="29"/>
      <c r="I25" s="29"/>
      <c r="J25" s="29"/>
      <c r="K25" s="34"/>
      <c r="L25" s="35" t="str">
        <f aca="false">IF(A25="",IF(SUMPRODUCT(--(B25:K25&lt;&gt;""))&gt;0,"Missing ID",""),IF(COUNTIF($A$7:$A$307,A25)&gt;1,"Duplicate ID",IF(AND(E25="Complete",K25=""),"Evidence missing",IF(AND(E25&lt;&gt;"Not started",E25&lt;&gt;"In progress",E25&lt;&gt;"In review",E25&lt;&gt;"Complete"),"Choose a status",""))))</f>
        <v/>
      </c>
    </row>
    <row r="26" customFormat="false" ht="44" hidden="false" customHeight="true" outlineLevel="0" collapsed="false">
      <c r="A26" s="29"/>
      <c r="B26" s="29"/>
      <c r="C26" s="29"/>
      <c r="D26" s="29"/>
      <c r="E26" s="34"/>
      <c r="F26" s="29"/>
      <c r="G26" s="29"/>
      <c r="H26" s="29"/>
      <c r="I26" s="29"/>
      <c r="J26" s="29"/>
      <c r="K26" s="34"/>
      <c r="L26" s="35" t="str">
        <f aca="false">IF(A26="",IF(SUMPRODUCT(--(B26:K26&lt;&gt;""))&gt;0,"Missing ID",""),IF(COUNTIF($A$7:$A$307,A26)&gt;1,"Duplicate ID",IF(AND(E26="Complete",K26=""),"Evidence missing",IF(AND(E26&lt;&gt;"Not started",E26&lt;&gt;"In progress",E26&lt;&gt;"In review",E26&lt;&gt;"Complete"),"Choose a status",""))))</f>
        <v/>
      </c>
    </row>
    <row r="27" customFormat="false" ht="44" hidden="false" customHeight="true" outlineLevel="0" collapsed="false">
      <c r="A27" s="29"/>
      <c r="B27" s="29"/>
      <c r="C27" s="29"/>
      <c r="D27" s="29"/>
      <c r="E27" s="34"/>
      <c r="F27" s="29"/>
      <c r="G27" s="29"/>
      <c r="H27" s="29"/>
      <c r="I27" s="29"/>
      <c r="J27" s="29"/>
      <c r="K27" s="34"/>
      <c r="L27" s="35" t="str">
        <f aca="false">IF(A27="",IF(SUMPRODUCT(--(B27:K27&lt;&gt;""))&gt;0,"Missing ID",""),IF(COUNTIF($A$7:$A$307,A27)&gt;1,"Duplicate ID",IF(AND(E27="Complete",K27=""),"Evidence missing",IF(AND(E27&lt;&gt;"Not started",E27&lt;&gt;"In progress",E27&lt;&gt;"In review",E27&lt;&gt;"Complete"),"Choose a status",""))))</f>
        <v/>
      </c>
    </row>
    <row r="28" customFormat="false" ht="44" hidden="false" customHeight="true" outlineLevel="0" collapsed="false">
      <c r="A28" s="29"/>
      <c r="B28" s="29"/>
      <c r="C28" s="29"/>
      <c r="D28" s="29"/>
      <c r="E28" s="34"/>
      <c r="F28" s="29"/>
      <c r="G28" s="29"/>
      <c r="H28" s="29"/>
      <c r="I28" s="29"/>
      <c r="J28" s="29"/>
      <c r="K28" s="34"/>
      <c r="L28" s="35" t="str">
        <f aca="false">IF(A28="",IF(SUMPRODUCT(--(B28:K28&lt;&gt;""))&gt;0,"Missing ID",""),IF(COUNTIF($A$7:$A$307,A28)&gt;1,"Duplicate ID",IF(AND(E28="Complete",K28=""),"Evidence missing",IF(AND(E28&lt;&gt;"Not started",E28&lt;&gt;"In progress",E28&lt;&gt;"In review",E28&lt;&gt;"Complete"),"Choose a status",""))))</f>
        <v/>
      </c>
    </row>
    <row r="29" customFormat="false" ht="44" hidden="false" customHeight="true" outlineLevel="0" collapsed="false">
      <c r="A29" s="29"/>
      <c r="B29" s="29"/>
      <c r="C29" s="29"/>
      <c r="D29" s="29"/>
      <c r="E29" s="34"/>
      <c r="F29" s="29"/>
      <c r="G29" s="29"/>
      <c r="H29" s="29"/>
      <c r="I29" s="29"/>
      <c r="J29" s="29"/>
      <c r="K29" s="34"/>
      <c r="L29" s="35" t="str">
        <f aca="false">IF(A29="",IF(SUMPRODUCT(--(B29:K29&lt;&gt;""))&gt;0,"Missing ID",""),IF(COUNTIF($A$7:$A$307,A29)&gt;1,"Duplicate ID",IF(AND(E29="Complete",K29=""),"Evidence missing",IF(AND(E29&lt;&gt;"Not started",E29&lt;&gt;"In progress",E29&lt;&gt;"In review",E29&lt;&gt;"Complete"),"Choose a status",""))))</f>
        <v/>
      </c>
    </row>
    <row r="30" customFormat="false" ht="44" hidden="false" customHeight="true" outlineLevel="0" collapsed="false">
      <c r="A30" s="29"/>
      <c r="B30" s="29"/>
      <c r="C30" s="29"/>
      <c r="D30" s="29"/>
      <c r="E30" s="34"/>
      <c r="F30" s="29"/>
      <c r="G30" s="29"/>
      <c r="H30" s="29"/>
      <c r="I30" s="29"/>
      <c r="J30" s="29"/>
      <c r="K30" s="34"/>
      <c r="L30" s="35" t="str">
        <f aca="false">IF(A30="",IF(SUMPRODUCT(--(B30:K30&lt;&gt;""))&gt;0,"Missing ID",""),IF(COUNTIF($A$7:$A$307,A30)&gt;1,"Duplicate ID",IF(AND(E30="Complete",K30=""),"Evidence missing",IF(AND(E30&lt;&gt;"Not started",E30&lt;&gt;"In progress",E30&lt;&gt;"In review",E30&lt;&gt;"Complete"),"Choose a status",""))))</f>
        <v/>
      </c>
    </row>
    <row r="31" customFormat="false" ht="44" hidden="false" customHeight="true" outlineLevel="0" collapsed="false">
      <c r="A31" s="29"/>
      <c r="B31" s="29"/>
      <c r="C31" s="29"/>
      <c r="D31" s="29"/>
      <c r="E31" s="34"/>
      <c r="F31" s="29"/>
      <c r="G31" s="29"/>
      <c r="H31" s="29"/>
      <c r="I31" s="29"/>
      <c r="J31" s="29"/>
      <c r="K31" s="34"/>
      <c r="L31" s="35" t="str">
        <f aca="false">IF(A31="",IF(SUMPRODUCT(--(B31:K31&lt;&gt;""))&gt;0,"Missing ID",""),IF(COUNTIF($A$7:$A$307,A31)&gt;1,"Duplicate ID",IF(AND(E31="Complete",K31=""),"Evidence missing",IF(AND(E31&lt;&gt;"Not started",E31&lt;&gt;"In progress",E31&lt;&gt;"In review",E31&lt;&gt;"Complete"),"Choose a status",""))))</f>
        <v/>
      </c>
    </row>
    <row r="32" customFormat="false" ht="44" hidden="false" customHeight="true" outlineLevel="0" collapsed="false">
      <c r="A32" s="29"/>
      <c r="B32" s="29"/>
      <c r="C32" s="29"/>
      <c r="D32" s="29"/>
      <c r="E32" s="34"/>
      <c r="F32" s="29"/>
      <c r="G32" s="29"/>
      <c r="H32" s="29"/>
      <c r="I32" s="29"/>
      <c r="J32" s="29"/>
      <c r="K32" s="34"/>
      <c r="L32" s="35" t="str">
        <f aca="false">IF(A32="",IF(SUMPRODUCT(--(B32:K32&lt;&gt;""))&gt;0,"Missing ID",""),IF(COUNTIF($A$7:$A$307,A32)&gt;1,"Duplicate ID",IF(AND(E32="Complete",K32=""),"Evidence missing",IF(AND(E32&lt;&gt;"Not started",E32&lt;&gt;"In progress",E32&lt;&gt;"In review",E32&lt;&gt;"Complete"),"Choose a status",""))))</f>
        <v/>
      </c>
    </row>
    <row r="33" customFormat="false" ht="44" hidden="false" customHeight="true" outlineLevel="0" collapsed="false">
      <c r="A33" s="29"/>
      <c r="B33" s="29"/>
      <c r="C33" s="29"/>
      <c r="D33" s="29"/>
      <c r="E33" s="34"/>
      <c r="F33" s="29"/>
      <c r="G33" s="29"/>
      <c r="H33" s="29"/>
      <c r="I33" s="29"/>
      <c r="J33" s="29"/>
      <c r="K33" s="34"/>
      <c r="L33" s="35" t="str">
        <f aca="false">IF(A33="",IF(SUMPRODUCT(--(B33:K33&lt;&gt;""))&gt;0,"Missing ID",""),IF(COUNTIF($A$7:$A$307,A33)&gt;1,"Duplicate ID",IF(AND(E33="Complete",K33=""),"Evidence missing",IF(AND(E33&lt;&gt;"Not started",E33&lt;&gt;"In progress",E33&lt;&gt;"In review",E33&lt;&gt;"Complete"),"Choose a status",""))))</f>
        <v/>
      </c>
    </row>
    <row r="34" customFormat="false" ht="44" hidden="false" customHeight="true" outlineLevel="0" collapsed="false">
      <c r="A34" s="29"/>
      <c r="B34" s="29"/>
      <c r="C34" s="29"/>
      <c r="D34" s="29"/>
      <c r="E34" s="34"/>
      <c r="F34" s="29"/>
      <c r="G34" s="29"/>
      <c r="H34" s="29"/>
      <c r="I34" s="29"/>
      <c r="J34" s="29"/>
      <c r="K34" s="34"/>
      <c r="L34" s="35" t="str">
        <f aca="false">IF(A34="",IF(SUMPRODUCT(--(B34:K34&lt;&gt;""))&gt;0,"Missing ID",""),IF(COUNTIF($A$7:$A$307,A34)&gt;1,"Duplicate ID",IF(AND(E34="Complete",K34=""),"Evidence missing",IF(AND(E34&lt;&gt;"Not started",E34&lt;&gt;"In progress",E34&lt;&gt;"In review",E34&lt;&gt;"Complete"),"Choose a status",""))))</f>
        <v/>
      </c>
    </row>
    <row r="35" customFormat="false" ht="44" hidden="false" customHeight="true" outlineLevel="0" collapsed="false">
      <c r="A35" s="29"/>
      <c r="B35" s="29"/>
      <c r="C35" s="29"/>
      <c r="D35" s="29"/>
      <c r="E35" s="34"/>
      <c r="F35" s="29"/>
      <c r="G35" s="29"/>
      <c r="H35" s="29"/>
      <c r="I35" s="29"/>
      <c r="J35" s="29"/>
      <c r="K35" s="34"/>
      <c r="L35" s="35" t="str">
        <f aca="false">IF(A35="",IF(SUMPRODUCT(--(B35:K35&lt;&gt;""))&gt;0,"Missing ID",""),IF(COUNTIF($A$7:$A$307,A35)&gt;1,"Duplicate ID",IF(AND(E35="Complete",K35=""),"Evidence missing",IF(AND(E35&lt;&gt;"Not started",E35&lt;&gt;"In progress",E35&lt;&gt;"In review",E35&lt;&gt;"Complete"),"Choose a status",""))))</f>
        <v/>
      </c>
    </row>
    <row r="36" customFormat="false" ht="44" hidden="false" customHeight="true" outlineLevel="0" collapsed="false">
      <c r="A36" s="29"/>
      <c r="B36" s="29"/>
      <c r="C36" s="29"/>
      <c r="D36" s="29"/>
      <c r="E36" s="34"/>
      <c r="F36" s="29"/>
      <c r="G36" s="29"/>
      <c r="H36" s="29"/>
      <c r="I36" s="29"/>
      <c r="J36" s="29"/>
      <c r="K36" s="34"/>
      <c r="L36" s="35" t="str">
        <f aca="false">IF(A36="",IF(SUMPRODUCT(--(B36:K36&lt;&gt;""))&gt;0,"Missing ID",""),IF(COUNTIF($A$7:$A$307,A36)&gt;1,"Duplicate ID",IF(AND(E36="Complete",K36=""),"Evidence missing",IF(AND(E36&lt;&gt;"Not started",E36&lt;&gt;"In progress",E36&lt;&gt;"In review",E36&lt;&gt;"Complete"),"Choose a status",""))))</f>
        <v/>
      </c>
    </row>
    <row r="37" customFormat="false" ht="44" hidden="false" customHeight="true" outlineLevel="0" collapsed="false">
      <c r="A37" s="29"/>
      <c r="B37" s="29"/>
      <c r="C37" s="29"/>
      <c r="D37" s="29"/>
      <c r="E37" s="34"/>
      <c r="F37" s="29"/>
      <c r="G37" s="29"/>
      <c r="H37" s="29"/>
      <c r="I37" s="29"/>
      <c r="J37" s="29"/>
      <c r="K37" s="34"/>
      <c r="L37" s="35" t="str">
        <f aca="false">IF(A37="",IF(SUMPRODUCT(--(B37:K37&lt;&gt;""))&gt;0,"Missing ID",""),IF(COUNTIF($A$7:$A$307,A37)&gt;1,"Duplicate ID",IF(AND(E37="Complete",K37=""),"Evidence missing",IF(AND(E37&lt;&gt;"Not started",E37&lt;&gt;"In progress",E37&lt;&gt;"In review",E37&lt;&gt;"Complete"),"Choose a status",""))))</f>
        <v/>
      </c>
    </row>
    <row r="38" customFormat="false" ht="44" hidden="false" customHeight="true" outlineLevel="0" collapsed="false">
      <c r="A38" s="29"/>
      <c r="B38" s="29"/>
      <c r="C38" s="29"/>
      <c r="D38" s="29"/>
      <c r="E38" s="34"/>
      <c r="F38" s="29"/>
      <c r="G38" s="29"/>
      <c r="H38" s="29"/>
      <c r="I38" s="29"/>
      <c r="J38" s="29"/>
      <c r="K38" s="34"/>
      <c r="L38" s="35" t="str">
        <f aca="false">IF(A38="",IF(SUMPRODUCT(--(B38:K38&lt;&gt;""))&gt;0,"Missing ID",""),IF(COUNTIF($A$7:$A$307,A38)&gt;1,"Duplicate ID",IF(AND(E38="Complete",K38=""),"Evidence missing",IF(AND(E38&lt;&gt;"Not started",E38&lt;&gt;"In progress",E38&lt;&gt;"In review",E38&lt;&gt;"Complete"),"Choose a status",""))))</f>
        <v/>
      </c>
    </row>
    <row r="39" customFormat="false" ht="44" hidden="false" customHeight="true" outlineLevel="0" collapsed="false">
      <c r="A39" s="29"/>
      <c r="B39" s="29"/>
      <c r="C39" s="29"/>
      <c r="D39" s="29"/>
      <c r="E39" s="34"/>
      <c r="F39" s="29"/>
      <c r="G39" s="29"/>
      <c r="H39" s="29"/>
      <c r="I39" s="29"/>
      <c r="J39" s="29"/>
      <c r="K39" s="34"/>
      <c r="L39" s="35" t="str">
        <f aca="false">IF(A39="",IF(SUMPRODUCT(--(B39:K39&lt;&gt;""))&gt;0,"Missing ID",""),IF(COUNTIF($A$7:$A$307,A39)&gt;1,"Duplicate ID",IF(AND(E39="Complete",K39=""),"Evidence missing",IF(AND(E39&lt;&gt;"Not started",E39&lt;&gt;"In progress",E39&lt;&gt;"In review",E39&lt;&gt;"Complete"),"Choose a status",""))))</f>
        <v/>
      </c>
    </row>
    <row r="40" customFormat="false" ht="44" hidden="false" customHeight="true" outlineLevel="0" collapsed="false">
      <c r="A40" s="29"/>
      <c r="B40" s="29"/>
      <c r="C40" s="29"/>
      <c r="D40" s="29"/>
      <c r="E40" s="34"/>
      <c r="F40" s="29"/>
      <c r="G40" s="29"/>
      <c r="H40" s="29"/>
      <c r="I40" s="29"/>
      <c r="J40" s="29"/>
      <c r="K40" s="34"/>
      <c r="L40" s="35" t="str">
        <f aca="false">IF(A40="",IF(SUMPRODUCT(--(B40:K40&lt;&gt;""))&gt;0,"Missing ID",""),IF(COUNTIF($A$7:$A$307,A40)&gt;1,"Duplicate ID",IF(AND(E40="Complete",K40=""),"Evidence missing",IF(AND(E40&lt;&gt;"Not started",E40&lt;&gt;"In progress",E40&lt;&gt;"In review",E40&lt;&gt;"Complete"),"Choose a status",""))))</f>
        <v/>
      </c>
    </row>
    <row r="41" customFormat="false" ht="44" hidden="false" customHeight="true" outlineLevel="0" collapsed="false">
      <c r="A41" s="29"/>
      <c r="B41" s="29"/>
      <c r="C41" s="29"/>
      <c r="D41" s="29"/>
      <c r="E41" s="34"/>
      <c r="F41" s="29"/>
      <c r="G41" s="29"/>
      <c r="H41" s="29"/>
      <c r="I41" s="29"/>
      <c r="J41" s="29"/>
      <c r="K41" s="34"/>
      <c r="L41" s="35" t="str">
        <f aca="false">IF(A41="",IF(SUMPRODUCT(--(B41:K41&lt;&gt;""))&gt;0,"Missing ID",""),IF(COUNTIF($A$7:$A$307,A41)&gt;1,"Duplicate ID",IF(AND(E41="Complete",K41=""),"Evidence missing",IF(AND(E41&lt;&gt;"Not started",E41&lt;&gt;"In progress",E41&lt;&gt;"In review",E41&lt;&gt;"Complete"),"Choose a status",""))))</f>
        <v/>
      </c>
    </row>
    <row r="42" customFormat="false" ht="44" hidden="false" customHeight="true" outlineLevel="0" collapsed="false">
      <c r="A42" s="29"/>
      <c r="B42" s="29"/>
      <c r="C42" s="29"/>
      <c r="D42" s="29"/>
      <c r="E42" s="34"/>
      <c r="F42" s="29"/>
      <c r="G42" s="29"/>
      <c r="H42" s="29"/>
      <c r="I42" s="29"/>
      <c r="J42" s="29"/>
      <c r="K42" s="34"/>
      <c r="L42" s="35" t="str">
        <f aca="false">IF(A42="",IF(SUMPRODUCT(--(B42:K42&lt;&gt;""))&gt;0,"Missing ID",""),IF(COUNTIF($A$7:$A$307,A42)&gt;1,"Duplicate ID",IF(AND(E42="Complete",K42=""),"Evidence missing",IF(AND(E42&lt;&gt;"Not started",E42&lt;&gt;"In progress",E42&lt;&gt;"In review",E42&lt;&gt;"Complete"),"Choose a status",""))))</f>
        <v/>
      </c>
    </row>
    <row r="43" customFormat="false" ht="44" hidden="false" customHeight="true" outlineLevel="0" collapsed="false">
      <c r="A43" s="29"/>
      <c r="B43" s="29"/>
      <c r="C43" s="29"/>
      <c r="D43" s="29"/>
      <c r="E43" s="34"/>
      <c r="F43" s="29"/>
      <c r="G43" s="29"/>
      <c r="H43" s="29"/>
      <c r="I43" s="29"/>
      <c r="J43" s="29"/>
      <c r="K43" s="34"/>
      <c r="L43" s="35" t="str">
        <f aca="false">IF(A43="",IF(SUMPRODUCT(--(B43:K43&lt;&gt;""))&gt;0,"Missing ID",""),IF(COUNTIF($A$7:$A$307,A43)&gt;1,"Duplicate ID",IF(AND(E43="Complete",K43=""),"Evidence missing",IF(AND(E43&lt;&gt;"Not started",E43&lt;&gt;"In progress",E43&lt;&gt;"In review",E43&lt;&gt;"Complete"),"Choose a status",""))))</f>
        <v/>
      </c>
    </row>
    <row r="44" customFormat="false" ht="44" hidden="false" customHeight="true" outlineLevel="0" collapsed="false">
      <c r="A44" s="29"/>
      <c r="B44" s="29"/>
      <c r="C44" s="29"/>
      <c r="D44" s="29"/>
      <c r="E44" s="34"/>
      <c r="F44" s="29"/>
      <c r="G44" s="29"/>
      <c r="H44" s="29"/>
      <c r="I44" s="29"/>
      <c r="J44" s="29"/>
      <c r="K44" s="34"/>
      <c r="L44" s="35" t="str">
        <f aca="false">IF(A44="",IF(SUMPRODUCT(--(B44:K44&lt;&gt;""))&gt;0,"Missing ID",""),IF(COUNTIF($A$7:$A$307,A44)&gt;1,"Duplicate ID",IF(AND(E44="Complete",K44=""),"Evidence missing",IF(AND(E44&lt;&gt;"Not started",E44&lt;&gt;"In progress",E44&lt;&gt;"In review",E44&lt;&gt;"Complete"),"Choose a status",""))))</f>
        <v/>
      </c>
    </row>
    <row r="45" customFormat="false" ht="44" hidden="false" customHeight="true" outlineLevel="0" collapsed="false">
      <c r="A45" s="29"/>
      <c r="B45" s="29"/>
      <c r="C45" s="29"/>
      <c r="D45" s="29"/>
      <c r="E45" s="34"/>
      <c r="F45" s="29"/>
      <c r="G45" s="29"/>
      <c r="H45" s="29"/>
      <c r="I45" s="29"/>
      <c r="J45" s="29"/>
      <c r="K45" s="34"/>
      <c r="L45" s="35" t="str">
        <f aca="false">IF(A45="",IF(SUMPRODUCT(--(B45:K45&lt;&gt;""))&gt;0,"Missing ID",""),IF(COUNTIF($A$7:$A$307,A45)&gt;1,"Duplicate ID",IF(AND(E45="Complete",K45=""),"Evidence missing",IF(AND(E45&lt;&gt;"Not started",E45&lt;&gt;"In progress",E45&lt;&gt;"In review",E45&lt;&gt;"Complete"),"Choose a status",""))))</f>
        <v/>
      </c>
    </row>
    <row r="46" customFormat="false" ht="44" hidden="false" customHeight="true" outlineLevel="0" collapsed="false">
      <c r="A46" s="29"/>
      <c r="B46" s="29"/>
      <c r="C46" s="29"/>
      <c r="D46" s="29"/>
      <c r="E46" s="34"/>
      <c r="F46" s="29"/>
      <c r="G46" s="29"/>
      <c r="H46" s="29"/>
      <c r="I46" s="29"/>
      <c r="J46" s="29"/>
      <c r="K46" s="34"/>
      <c r="L46" s="35" t="str">
        <f aca="false">IF(A46="",IF(SUMPRODUCT(--(B46:K46&lt;&gt;""))&gt;0,"Missing ID",""),IF(COUNTIF($A$7:$A$307,A46)&gt;1,"Duplicate ID",IF(AND(E46="Complete",K46=""),"Evidence missing",IF(AND(E46&lt;&gt;"Not started",E46&lt;&gt;"In progress",E46&lt;&gt;"In review",E46&lt;&gt;"Complete"),"Choose a status",""))))</f>
        <v/>
      </c>
    </row>
    <row r="47" customFormat="false" ht="44" hidden="false" customHeight="true" outlineLevel="0" collapsed="false">
      <c r="A47" s="29"/>
      <c r="B47" s="29"/>
      <c r="C47" s="29"/>
      <c r="D47" s="29"/>
      <c r="E47" s="34"/>
      <c r="F47" s="29"/>
      <c r="G47" s="29"/>
      <c r="H47" s="29"/>
      <c r="I47" s="29"/>
      <c r="J47" s="29"/>
      <c r="K47" s="34"/>
      <c r="L47" s="35" t="str">
        <f aca="false">IF(A47="",IF(SUMPRODUCT(--(B47:K47&lt;&gt;""))&gt;0,"Missing ID",""),IF(COUNTIF($A$7:$A$307,A47)&gt;1,"Duplicate ID",IF(AND(E47="Complete",K47=""),"Evidence missing",IF(AND(E47&lt;&gt;"Not started",E47&lt;&gt;"In progress",E47&lt;&gt;"In review",E47&lt;&gt;"Complete"),"Choose a status",""))))</f>
        <v/>
      </c>
    </row>
    <row r="48" customFormat="false" ht="44" hidden="false" customHeight="true" outlineLevel="0" collapsed="false">
      <c r="A48" s="29"/>
      <c r="B48" s="29"/>
      <c r="C48" s="29"/>
      <c r="D48" s="29"/>
      <c r="E48" s="34"/>
      <c r="F48" s="29"/>
      <c r="G48" s="29"/>
      <c r="H48" s="29"/>
      <c r="I48" s="29"/>
      <c r="J48" s="29"/>
      <c r="K48" s="34"/>
      <c r="L48" s="35" t="str">
        <f aca="false">IF(A48="",IF(SUMPRODUCT(--(B48:K48&lt;&gt;""))&gt;0,"Missing ID",""),IF(COUNTIF($A$7:$A$307,A48)&gt;1,"Duplicate ID",IF(AND(E48="Complete",K48=""),"Evidence missing",IF(AND(E48&lt;&gt;"Not started",E48&lt;&gt;"In progress",E48&lt;&gt;"In review",E48&lt;&gt;"Complete"),"Choose a status",""))))</f>
        <v/>
      </c>
    </row>
    <row r="49" customFormat="false" ht="44" hidden="false" customHeight="true" outlineLevel="0" collapsed="false">
      <c r="A49" s="29"/>
      <c r="B49" s="29"/>
      <c r="C49" s="29"/>
      <c r="D49" s="29"/>
      <c r="E49" s="34"/>
      <c r="F49" s="29"/>
      <c r="G49" s="29"/>
      <c r="H49" s="29"/>
      <c r="I49" s="29"/>
      <c r="J49" s="29"/>
      <c r="K49" s="34"/>
      <c r="L49" s="35" t="str">
        <f aca="false">IF(A49="",IF(SUMPRODUCT(--(B49:K49&lt;&gt;""))&gt;0,"Missing ID",""),IF(COUNTIF($A$7:$A$307,A49)&gt;1,"Duplicate ID",IF(AND(E49="Complete",K49=""),"Evidence missing",IF(AND(E49&lt;&gt;"Not started",E49&lt;&gt;"In progress",E49&lt;&gt;"In review",E49&lt;&gt;"Complete"),"Choose a status",""))))</f>
        <v/>
      </c>
    </row>
    <row r="50" customFormat="false" ht="44" hidden="false" customHeight="true" outlineLevel="0" collapsed="false">
      <c r="A50" s="29"/>
      <c r="B50" s="29"/>
      <c r="C50" s="29"/>
      <c r="D50" s="29"/>
      <c r="E50" s="34"/>
      <c r="F50" s="29"/>
      <c r="G50" s="29"/>
      <c r="H50" s="29"/>
      <c r="I50" s="29"/>
      <c r="J50" s="29"/>
      <c r="K50" s="34"/>
      <c r="L50" s="35" t="str">
        <f aca="false">IF(A50="",IF(SUMPRODUCT(--(B50:K50&lt;&gt;""))&gt;0,"Missing ID",""),IF(COUNTIF($A$7:$A$307,A50)&gt;1,"Duplicate ID",IF(AND(E50="Complete",K50=""),"Evidence missing",IF(AND(E50&lt;&gt;"Not started",E50&lt;&gt;"In progress",E50&lt;&gt;"In review",E50&lt;&gt;"Complete"),"Choose a status",""))))</f>
        <v/>
      </c>
    </row>
    <row r="51" customFormat="false" ht="44" hidden="false" customHeight="true" outlineLevel="0" collapsed="false">
      <c r="A51" s="29"/>
      <c r="B51" s="29"/>
      <c r="C51" s="29"/>
      <c r="D51" s="29"/>
      <c r="E51" s="34"/>
      <c r="F51" s="29"/>
      <c r="G51" s="29"/>
      <c r="H51" s="29"/>
      <c r="I51" s="29"/>
      <c r="J51" s="29"/>
      <c r="K51" s="34"/>
      <c r="L51" s="35" t="str">
        <f aca="false">IF(A51="",IF(SUMPRODUCT(--(B51:K51&lt;&gt;""))&gt;0,"Missing ID",""),IF(COUNTIF($A$7:$A$307,A51)&gt;1,"Duplicate ID",IF(AND(E51="Complete",K51=""),"Evidence missing",IF(AND(E51&lt;&gt;"Not started",E51&lt;&gt;"In progress",E51&lt;&gt;"In review",E51&lt;&gt;"Complete"),"Choose a status",""))))</f>
        <v/>
      </c>
    </row>
    <row r="52" customFormat="false" ht="44" hidden="false" customHeight="true" outlineLevel="0" collapsed="false">
      <c r="A52" s="29"/>
      <c r="B52" s="29"/>
      <c r="C52" s="29"/>
      <c r="D52" s="29"/>
      <c r="E52" s="34"/>
      <c r="F52" s="29"/>
      <c r="G52" s="29"/>
      <c r="H52" s="29"/>
      <c r="I52" s="29"/>
      <c r="J52" s="29"/>
      <c r="K52" s="34"/>
      <c r="L52" s="35" t="str">
        <f aca="false">IF(A52="",IF(SUMPRODUCT(--(B52:K52&lt;&gt;""))&gt;0,"Missing ID",""),IF(COUNTIF($A$7:$A$307,A52)&gt;1,"Duplicate ID",IF(AND(E52="Complete",K52=""),"Evidence missing",IF(AND(E52&lt;&gt;"Not started",E52&lt;&gt;"In progress",E52&lt;&gt;"In review",E52&lt;&gt;"Complete"),"Choose a status",""))))</f>
        <v/>
      </c>
    </row>
    <row r="53" customFormat="false" ht="44" hidden="false" customHeight="true" outlineLevel="0" collapsed="false">
      <c r="A53" s="29"/>
      <c r="B53" s="29"/>
      <c r="C53" s="29"/>
      <c r="D53" s="29"/>
      <c r="E53" s="34"/>
      <c r="F53" s="29"/>
      <c r="G53" s="29"/>
      <c r="H53" s="29"/>
      <c r="I53" s="29"/>
      <c r="J53" s="29"/>
      <c r="K53" s="34"/>
      <c r="L53" s="35" t="str">
        <f aca="false">IF(A53="",IF(SUMPRODUCT(--(B53:K53&lt;&gt;""))&gt;0,"Missing ID",""),IF(COUNTIF($A$7:$A$307,A53)&gt;1,"Duplicate ID",IF(AND(E53="Complete",K53=""),"Evidence missing",IF(AND(E53&lt;&gt;"Not started",E53&lt;&gt;"In progress",E53&lt;&gt;"In review",E53&lt;&gt;"Complete"),"Choose a status",""))))</f>
        <v/>
      </c>
    </row>
    <row r="54" customFormat="false" ht="44" hidden="false" customHeight="true" outlineLevel="0" collapsed="false">
      <c r="A54" s="29"/>
      <c r="B54" s="29"/>
      <c r="C54" s="29"/>
      <c r="D54" s="29"/>
      <c r="E54" s="34"/>
      <c r="F54" s="29"/>
      <c r="G54" s="29"/>
      <c r="H54" s="29"/>
      <c r="I54" s="29"/>
      <c r="J54" s="29"/>
      <c r="K54" s="34"/>
      <c r="L54" s="35" t="str">
        <f aca="false">IF(A54="",IF(SUMPRODUCT(--(B54:K54&lt;&gt;""))&gt;0,"Missing ID",""),IF(COUNTIF($A$7:$A$307,A54)&gt;1,"Duplicate ID",IF(AND(E54="Complete",K54=""),"Evidence missing",IF(AND(E54&lt;&gt;"Not started",E54&lt;&gt;"In progress",E54&lt;&gt;"In review",E54&lt;&gt;"Complete"),"Choose a status",""))))</f>
        <v/>
      </c>
    </row>
    <row r="55" customFormat="false" ht="44" hidden="false" customHeight="true" outlineLevel="0" collapsed="false">
      <c r="A55" s="29"/>
      <c r="B55" s="29"/>
      <c r="C55" s="29"/>
      <c r="D55" s="29"/>
      <c r="E55" s="34"/>
      <c r="F55" s="29"/>
      <c r="G55" s="29"/>
      <c r="H55" s="29"/>
      <c r="I55" s="29"/>
      <c r="J55" s="29"/>
      <c r="K55" s="34"/>
      <c r="L55" s="35" t="str">
        <f aca="false">IF(A55="",IF(SUMPRODUCT(--(B55:K55&lt;&gt;""))&gt;0,"Missing ID",""),IF(COUNTIF($A$7:$A$307,A55)&gt;1,"Duplicate ID",IF(AND(E55="Complete",K55=""),"Evidence missing",IF(AND(E55&lt;&gt;"Not started",E55&lt;&gt;"In progress",E55&lt;&gt;"In review",E55&lt;&gt;"Complete"),"Choose a status",""))))</f>
        <v/>
      </c>
    </row>
    <row r="56" customFormat="false" ht="44" hidden="false" customHeight="true" outlineLevel="0" collapsed="false">
      <c r="A56" s="29"/>
      <c r="B56" s="29"/>
      <c r="C56" s="29"/>
      <c r="D56" s="29"/>
      <c r="E56" s="34"/>
      <c r="F56" s="29"/>
      <c r="G56" s="29"/>
      <c r="H56" s="29"/>
      <c r="I56" s="29"/>
      <c r="J56" s="29"/>
      <c r="K56" s="34"/>
      <c r="L56" s="35" t="str">
        <f aca="false">IF(A56="",IF(SUMPRODUCT(--(B56:K56&lt;&gt;""))&gt;0,"Missing ID",""),IF(COUNTIF($A$7:$A$307,A56)&gt;1,"Duplicate ID",IF(AND(E56="Complete",K56=""),"Evidence missing",IF(AND(E56&lt;&gt;"Not started",E56&lt;&gt;"In progress",E56&lt;&gt;"In review",E56&lt;&gt;"Complete"),"Choose a status",""))))</f>
        <v/>
      </c>
    </row>
    <row r="57" customFormat="false" ht="44" hidden="false" customHeight="true" outlineLevel="0" collapsed="false">
      <c r="A57" s="29"/>
      <c r="B57" s="29"/>
      <c r="C57" s="29"/>
      <c r="D57" s="29"/>
      <c r="E57" s="34"/>
      <c r="F57" s="29"/>
      <c r="G57" s="29"/>
      <c r="H57" s="29"/>
      <c r="I57" s="29"/>
      <c r="J57" s="29"/>
      <c r="K57" s="34"/>
      <c r="L57" s="35" t="str">
        <f aca="false">IF(A57="",IF(SUMPRODUCT(--(B57:K57&lt;&gt;""))&gt;0,"Missing ID",""),IF(COUNTIF($A$7:$A$307,A57)&gt;1,"Duplicate ID",IF(AND(E57="Complete",K57=""),"Evidence missing",IF(AND(E57&lt;&gt;"Not started",E57&lt;&gt;"In progress",E57&lt;&gt;"In review",E57&lt;&gt;"Complete"),"Choose a status",""))))</f>
        <v/>
      </c>
    </row>
    <row r="58" customFormat="false" ht="44" hidden="false" customHeight="true" outlineLevel="0" collapsed="false">
      <c r="A58" s="29"/>
      <c r="B58" s="29"/>
      <c r="C58" s="29"/>
      <c r="D58" s="29"/>
      <c r="E58" s="34"/>
      <c r="F58" s="29"/>
      <c r="G58" s="29"/>
      <c r="H58" s="29"/>
      <c r="I58" s="29"/>
      <c r="J58" s="29"/>
      <c r="K58" s="34"/>
      <c r="L58" s="35" t="str">
        <f aca="false">IF(A58="",IF(SUMPRODUCT(--(B58:K58&lt;&gt;""))&gt;0,"Missing ID",""),IF(COUNTIF($A$7:$A$307,A58)&gt;1,"Duplicate ID",IF(AND(E58="Complete",K58=""),"Evidence missing",IF(AND(E58&lt;&gt;"Not started",E58&lt;&gt;"In progress",E58&lt;&gt;"In review",E58&lt;&gt;"Complete"),"Choose a status",""))))</f>
        <v/>
      </c>
    </row>
    <row r="59" customFormat="false" ht="44" hidden="false" customHeight="true" outlineLevel="0" collapsed="false">
      <c r="A59" s="29"/>
      <c r="B59" s="29"/>
      <c r="C59" s="29"/>
      <c r="D59" s="29"/>
      <c r="E59" s="34"/>
      <c r="F59" s="29"/>
      <c r="G59" s="29"/>
      <c r="H59" s="29"/>
      <c r="I59" s="29"/>
      <c r="J59" s="29"/>
      <c r="K59" s="34"/>
      <c r="L59" s="35" t="str">
        <f aca="false">IF(A59="",IF(SUMPRODUCT(--(B59:K59&lt;&gt;""))&gt;0,"Missing ID",""),IF(COUNTIF($A$7:$A$307,A59)&gt;1,"Duplicate ID",IF(AND(E59="Complete",K59=""),"Evidence missing",IF(AND(E59&lt;&gt;"Not started",E59&lt;&gt;"In progress",E59&lt;&gt;"In review",E59&lt;&gt;"Complete"),"Choose a status",""))))</f>
        <v/>
      </c>
    </row>
    <row r="60" customFormat="false" ht="44" hidden="false" customHeight="true" outlineLevel="0" collapsed="false">
      <c r="A60" s="29"/>
      <c r="B60" s="29"/>
      <c r="C60" s="29"/>
      <c r="D60" s="29"/>
      <c r="E60" s="34"/>
      <c r="F60" s="29"/>
      <c r="G60" s="29"/>
      <c r="H60" s="29"/>
      <c r="I60" s="29"/>
      <c r="J60" s="29"/>
      <c r="K60" s="34"/>
      <c r="L60" s="35" t="str">
        <f aca="false">IF(A60="",IF(SUMPRODUCT(--(B60:K60&lt;&gt;""))&gt;0,"Missing ID",""),IF(COUNTIF($A$7:$A$307,A60)&gt;1,"Duplicate ID",IF(AND(E60="Complete",K60=""),"Evidence missing",IF(AND(E60&lt;&gt;"Not started",E60&lt;&gt;"In progress",E60&lt;&gt;"In review",E60&lt;&gt;"Complete"),"Choose a status",""))))</f>
        <v/>
      </c>
    </row>
    <row r="61" customFormat="false" ht="44" hidden="false" customHeight="true" outlineLevel="0" collapsed="false">
      <c r="A61" s="29"/>
      <c r="B61" s="29"/>
      <c r="C61" s="29"/>
      <c r="D61" s="29"/>
      <c r="E61" s="34"/>
      <c r="F61" s="29"/>
      <c r="G61" s="29"/>
      <c r="H61" s="29"/>
      <c r="I61" s="29"/>
      <c r="J61" s="29"/>
      <c r="K61" s="34"/>
      <c r="L61" s="35" t="str">
        <f aca="false">IF(A61="",IF(SUMPRODUCT(--(B61:K61&lt;&gt;""))&gt;0,"Missing ID",""),IF(COUNTIF($A$7:$A$307,A61)&gt;1,"Duplicate ID",IF(AND(E61="Complete",K61=""),"Evidence missing",IF(AND(E61&lt;&gt;"Not started",E61&lt;&gt;"In progress",E61&lt;&gt;"In review",E61&lt;&gt;"Complete"),"Choose a status",""))))</f>
        <v/>
      </c>
    </row>
    <row r="62" customFormat="false" ht="44" hidden="false" customHeight="true" outlineLevel="0" collapsed="false">
      <c r="A62" s="29"/>
      <c r="B62" s="29"/>
      <c r="C62" s="29"/>
      <c r="D62" s="29"/>
      <c r="E62" s="34"/>
      <c r="F62" s="29"/>
      <c r="G62" s="29"/>
      <c r="H62" s="29"/>
      <c r="I62" s="29"/>
      <c r="J62" s="29"/>
      <c r="K62" s="34"/>
      <c r="L62" s="35" t="str">
        <f aca="false">IF(A62="",IF(SUMPRODUCT(--(B62:K62&lt;&gt;""))&gt;0,"Missing ID",""),IF(COUNTIF($A$7:$A$307,A62)&gt;1,"Duplicate ID",IF(AND(E62="Complete",K62=""),"Evidence missing",IF(AND(E62&lt;&gt;"Not started",E62&lt;&gt;"In progress",E62&lt;&gt;"In review",E62&lt;&gt;"Complete"),"Choose a status",""))))</f>
        <v/>
      </c>
    </row>
    <row r="63" customFormat="false" ht="44" hidden="false" customHeight="true" outlineLevel="0" collapsed="false">
      <c r="A63" s="29"/>
      <c r="B63" s="29"/>
      <c r="C63" s="29"/>
      <c r="D63" s="29"/>
      <c r="E63" s="34"/>
      <c r="F63" s="29"/>
      <c r="G63" s="29"/>
      <c r="H63" s="29"/>
      <c r="I63" s="29"/>
      <c r="J63" s="29"/>
      <c r="K63" s="34"/>
      <c r="L63" s="35" t="str">
        <f aca="false">IF(A63="",IF(SUMPRODUCT(--(B63:K63&lt;&gt;""))&gt;0,"Missing ID",""),IF(COUNTIF($A$7:$A$307,A63)&gt;1,"Duplicate ID",IF(AND(E63="Complete",K63=""),"Evidence missing",IF(AND(E63&lt;&gt;"Not started",E63&lt;&gt;"In progress",E63&lt;&gt;"In review",E63&lt;&gt;"Complete"),"Choose a status",""))))</f>
        <v/>
      </c>
    </row>
    <row r="64" customFormat="false" ht="44" hidden="false" customHeight="true" outlineLevel="0" collapsed="false">
      <c r="A64" s="29"/>
      <c r="B64" s="29"/>
      <c r="C64" s="29"/>
      <c r="D64" s="29"/>
      <c r="E64" s="34"/>
      <c r="F64" s="29"/>
      <c r="G64" s="29"/>
      <c r="H64" s="29"/>
      <c r="I64" s="29"/>
      <c r="J64" s="29"/>
      <c r="K64" s="34"/>
      <c r="L64" s="35" t="str">
        <f aca="false">IF(A64="",IF(SUMPRODUCT(--(B64:K64&lt;&gt;""))&gt;0,"Missing ID",""),IF(COUNTIF($A$7:$A$307,A64)&gt;1,"Duplicate ID",IF(AND(E64="Complete",K64=""),"Evidence missing",IF(AND(E64&lt;&gt;"Not started",E64&lt;&gt;"In progress",E64&lt;&gt;"In review",E64&lt;&gt;"Complete"),"Choose a status",""))))</f>
        <v/>
      </c>
    </row>
    <row r="65" customFormat="false" ht="44" hidden="false" customHeight="true" outlineLevel="0" collapsed="false">
      <c r="A65" s="29"/>
      <c r="B65" s="29"/>
      <c r="C65" s="29"/>
      <c r="D65" s="29"/>
      <c r="E65" s="34"/>
      <c r="F65" s="29"/>
      <c r="G65" s="29"/>
      <c r="H65" s="29"/>
      <c r="I65" s="29"/>
      <c r="J65" s="29"/>
      <c r="K65" s="34"/>
      <c r="L65" s="35" t="str">
        <f aca="false">IF(A65="",IF(SUMPRODUCT(--(B65:K65&lt;&gt;""))&gt;0,"Missing ID",""),IF(COUNTIF($A$7:$A$307,A65)&gt;1,"Duplicate ID",IF(AND(E65="Complete",K65=""),"Evidence missing",IF(AND(E65&lt;&gt;"Not started",E65&lt;&gt;"In progress",E65&lt;&gt;"In review",E65&lt;&gt;"Complete"),"Choose a status",""))))</f>
        <v/>
      </c>
    </row>
    <row r="66" customFormat="false" ht="44" hidden="false" customHeight="true" outlineLevel="0" collapsed="false">
      <c r="A66" s="29"/>
      <c r="B66" s="29"/>
      <c r="C66" s="29"/>
      <c r="D66" s="29"/>
      <c r="E66" s="34"/>
      <c r="F66" s="29"/>
      <c r="G66" s="29"/>
      <c r="H66" s="29"/>
      <c r="I66" s="29"/>
      <c r="J66" s="29"/>
      <c r="K66" s="34"/>
      <c r="L66" s="35" t="str">
        <f aca="false">IF(A66="",IF(SUMPRODUCT(--(B66:K66&lt;&gt;""))&gt;0,"Missing ID",""),IF(COUNTIF($A$7:$A$307,A66)&gt;1,"Duplicate ID",IF(AND(E66="Complete",K66=""),"Evidence missing",IF(AND(E66&lt;&gt;"Not started",E66&lt;&gt;"In progress",E66&lt;&gt;"In review",E66&lt;&gt;"Complete"),"Choose a status",""))))</f>
        <v/>
      </c>
    </row>
    <row r="67" customFormat="false" ht="44" hidden="false" customHeight="true" outlineLevel="0" collapsed="false">
      <c r="A67" s="29"/>
      <c r="B67" s="29"/>
      <c r="C67" s="29"/>
      <c r="D67" s="29"/>
      <c r="E67" s="34"/>
      <c r="F67" s="29"/>
      <c r="G67" s="29"/>
      <c r="H67" s="29"/>
      <c r="I67" s="29"/>
      <c r="J67" s="29"/>
      <c r="K67" s="34"/>
      <c r="L67" s="35" t="str">
        <f aca="false">IF(A67="",IF(SUMPRODUCT(--(B67:K67&lt;&gt;""))&gt;0,"Missing ID",""),IF(COUNTIF($A$7:$A$307,A67)&gt;1,"Duplicate ID",IF(AND(E67="Complete",K67=""),"Evidence missing",IF(AND(E67&lt;&gt;"Not started",E67&lt;&gt;"In progress",E67&lt;&gt;"In review",E67&lt;&gt;"Complete"),"Choose a status",""))))</f>
        <v/>
      </c>
    </row>
    <row r="68" customFormat="false" ht="44" hidden="false" customHeight="true" outlineLevel="0" collapsed="false">
      <c r="A68" s="29"/>
      <c r="B68" s="29"/>
      <c r="C68" s="29"/>
      <c r="D68" s="29"/>
      <c r="E68" s="34"/>
      <c r="F68" s="29"/>
      <c r="G68" s="29"/>
      <c r="H68" s="29"/>
      <c r="I68" s="29"/>
      <c r="J68" s="29"/>
      <c r="K68" s="34"/>
      <c r="L68" s="35" t="str">
        <f aca="false">IF(A68="",IF(SUMPRODUCT(--(B68:K68&lt;&gt;""))&gt;0,"Missing ID",""),IF(COUNTIF($A$7:$A$307,A68)&gt;1,"Duplicate ID",IF(AND(E68="Complete",K68=""),"Evidence missing",IF(AND(E68&lt;&gt;"Not started",E68&lt;&gt;"In progress",E68&lt;&gt;"In review",E68&lt;&gt;"Complete"),"Choose a status",""))))</f>
        <v/>
      </c>
    </row>
    <row r="69" customFormat="false" ht="44" hidden="false" customHeight="true" outlineLevel="0" collapsed="false">
      <c r="A69" s="29"/>
      <c r="B69" s="29"/>
      <c r="C69" s="29"/>
      <c r="D69" s="29"/>
      <c r="E69" s="34"/>
      <c r="F69" s="29"/>
      <c r="G69" s="29"/>
      <c r="H69" s="29"/>
      <c r="I69" s="29"/>
      <c r="J69" s="29"/>
      <c r="K69" s="34"/>
      <c r="L69" s="35" t="str">
        <f aca="false">IF(A69="",IF(SUMPRODUCT(--(B69:K69&lt;&gt;""))&gt;0,"Missing ID",""),IF(COUNTIF($A$7:$A$307,A69)&gt;1,"Duplicate ID",IF(AND(E69="Complete",K69=""),"Evidence missing",IF(AND(E69&lt;&gt;"Not started",E69&lt;&gt;"In progress",E69&lt;&gt;"In review",E69&lt;&gt;"Complete"),"Choose a status",""))))</f>
        <v/>
      </c>
    </row>
    <row r="70" customFormat="false" ht="44" hidden="false" customHeight="true" outlineLevel="0" collapsed="false">
      <c r="A70" s="29"/>
      <c r="B70" s="29"/>
      <c r="C70" s="29"/>
      <c r="D70" s="29"/>
      <c r="E70" s="34"/>
      <c r="F70" s="29"/>
      <c r="G70" s="29"/>
      <c r="H70" s="29"/>
      <c r="I70" s="29"/>
      <c r="J70" s="29"/>
      <c r="K70" s="34"/>
      <c r="L70" s="35" t="str">
        <f aca="false">IF(A70="",IF(SUMPRODUCT(--(B70:K70&lt;&gt;""))&gt;0,"Missing ID",""),IF(COUNTIF($A$7:$A$307,A70)&gt;1,"Duplicate ID",IF(AND(E70="Complete",K70=""),"Evidence missing",IF(AND(E70&lt;&gt;"Not started",E70&lt;&gt;"In progress",E70&lt;&gt;"In review",E70&lt;&gt;"Complete"),"Choose a status",""))))</f>
        <v/>
      </c>
    </row>
    <row r="71" customFormat="false" ht="44" hidden="false" customHeight="true" outlineLevel="0" collapsed="false">
      <c r="A71" s="29"/>
      <c r="B71" s="29"/>
      <c r="C71" s="29"/>
      <c r="D71" s="29"/>
      <c r="E71" s="34"/>
      <c r="F71" s="29"/>
      <c r="G71" s="29"/>
      <c r="H71" s="29"/>
      <c r="I71" s="29"/>
      <c r="J71" s="29"/>
      <c r="K71" s="34"/>
      <c r="L71" s="35" t="str">
        <f aca="false">IF(A71="",IF(SUMPRODUCT(--(B71:K71&lt;&gt;""))&gt;0,"Missing ID",""),IF(COUNTIF($A$7:$A$307,A71)&gt;1,"Duplicate ID",IF(AND(E71="Complete",K71=""),"Evidence missing",IF(AND(E71&lt;&gt;"Not started",E71&lt;&gt;"In progress",E71&lt;&gt;"In review",E71&lt;&gt;"Complete"),"Choose a status",""))))</f>
        <v/>
      </c>
    </row>
    <row r="72" customFormat="false" ht="44" hidden="false" customHeight="true" outlineLevel="0" collapsed="false">
      <c r="A72" s="29"/>
      <c r="B72" s="29"/>
      <c r="C72" s="29"/>
      <c r="D72" s="29"/>
      <c r="E72" s="34"/>
      <c r="F72" s="29"/>
      <c r="G72" s="29"/>
      <c r="H72" s="29"/>
      <c r="I72" s="29"/>
      <c r="J72" s="29"/>
      <c r="K72" s="34"/>
      <c r="L72" s="35" t="str">
        <f aca="false">IF(A72="",IF(SUMPRODUCT(--(B72:K72&lt;&gt;""))&gt;0,"Missing ID",""),IF(COUNTIF($A$7:$A$307,A72)&gt;1,"Duplicate ID",IF(AND(E72="Complete",K72=""),"Evidence missing",IF(AND(E72&lt;&gt;"Not started",E72&lt;&gt;"In progress",E72&lt;&gt;"In review",E72&lt;&gt;"Complete"),"Choose a status",""))))</f>
        <v/>
      </c>
    </row>
    <row r="73" customFormat="false" ht="44" hidden="false" customHeight="true" outlineLevel="0" collapsed="false">
      <c r="A73" s="29"/>
      <c r="B73" s="29"/>
      <c r="C73" s="29"/>
      <c r="D73" s="29"/>
      <c r="E73" s="34"/>
      <c r="F73" s="29"/>
      <c r="G73" s="29"/>
      <c r="H73" s="29"/>
      <c r="I73" s="29"/>
      <c r="J73" s="29"/>
      <c r="K73" s="34"/>
      <c r="L73" s="35" t="str">
        <f aca="false">IF(A73="",IF(SUMPRODUCT(--(B73:K73&lt;&gt;""))&gt;0,"Missing ID",""),IF(COUNTIF($A$7:$A$307,A73)&gt;1,"Duplicate ID",IF(AND(E73="Complete",K73=""),"Evidence missing",IF(AND(E73&lt;&gt;"Not started",E73&lt;&gt;"In progress",E73&lt;&gt;"In review",E73&lt;&gt;"Complete"),"Choose a status",""))))</f>
        <v/>
      </c>
    </row>
    <row r="74" customFormat="false" ht="44" hidden="false" customHeight="true" outlineLevel="0" collapsed="false">
      <c r="A74" s="29"/>
      <c r="B74" s="29"/>
      <c r="C74" s="29"/>
      <c r="D74" s="29"/>
      <c r="E74" s="34"/>
      <c r="F74" s="29"/>
      <c r="G74" s="29"/>
      <c r="H74" s="29"/>
      <c r="I74" s="29"/>
      <c r="J74" s="29"/>
      <c r="K74" s="34"/>
      <c r="L74" s="35" t="str">
        <f aca="false">IF(A74="",IF(SUMPRODUCT(--(B74:K74&lt;&gt;""))&gt;0,"Missing ID",""),IF(COUNTIF($A$7:$A$307,A74)&gt;1,"Duplicate ID",IF(AND(E74="Complete",K74=""),"Evidence missing",IF(AND(E74&lt;&gt;"Not started",E74&lt;&gt;"In progress",E74&lt;&gt;"In review",E74&lt;&gt;"Complete"),"Choose a status",""))))</f>
        <v/>
      </c>
    </row>
    <row r="75" customFormat="false" ht="44" hidden="false" customHeight="true" outlineLevel="0" collapsed="false">
      <c r="A75" s="29"/>
      <c r="B75" s="29"/>
      <c r="C75" s="29"/>
      <c r="D75" s="29"/>
      <c r="E75" s="34"/>
      <c r="F75" s="29"/>
      <c r="G75" s="29"/>
      <c r="H75" s="29"/>
      <c r="I75" s="29"/>
      <c r="J75" s="29"/>
      <c r="K75" s="34"/>
      <c r="L75" s="35" t="str">
        <f aca="false">IF(A75="",IF(SUMPRODUCT(--(B75:K75&lt;&gt;""))&gt;0,"Missing ID",""),IF(COUNTIF($A$7:$A$307,A75)&gt;1,"Duplicate ID",IF(AND(E75="Complete",K75=""),"Evidence missing",IF(AND(E75&lt;&gt;"Not started",E75&lt;&gt;"In progress",E75&lt;&gt;"In review",E75&lt;&gt;"Complete"),"Choose a status",""))))</f>
        <v/>
      </c>
    </row>
    <row r="76" customFormat="false" ht="44" hidden="false" customHeight="true" outlineLevel="0" collapsed="false">
      <c r="A76" s="29"/>
      <c r="B76" s="29"/>
      <c r="C76" s="29"/>
      <c r="D76" s="29"/>
      <c r="E76" s="34"/>
      <c r="F76" s="29"/>
      <c r="G76" s="29"/>
      <c r="H76" s="29"/>
      <c r="I76" s="29"/>
      <c r="J76" s="29"/>
      <c r="K76" s="34"/>
      <c r="L76" s="35" t="str">
        <f aca="false">IF(A76="",IF(SUMPRODUCT(--(B76:K76&lt;&gt;""))&gt;0,"Missing ID",""),IF(COUNTIF($A$7:$A$307,A76)&gt;1,"Duplicate ID",IF(AND(E76="Complete",K76=""),"Evidence missing",IF(AND(E76&lt;&gt;"Not started",E76&lt;&gt;"In progress",E76&lt;&gt;"In review",E76&lt;&gt;"Complete"),"Choose a status",""))))</f>
        <v/>
      </c>
    </row>
    <row r="77" customFormat="false" ht="44" hidden="false" customHeight="true" outlineLevel="0" collapsed="false">
      <c r="A77" s="29"/>
      <c r="B77" s="29"/>
      <c r="C77" s="29"/>
      <c r="D77" s="29"/>
      <c r="E77" s="34"/>
      <c r="F77" s="29"/>
      <c r="G77" s="29"/>
      <c r="H77" s="29"/>
      <c r="I77" s="29"/>
      <c r="J77" s="29"/>
      <c r="K77" s="34"/>
      <c r="L77" s="35" t="str">
        <f aca="false">IF(A77="",IF(SUMPRODUCT(--(B77:K77&lt;&gt;""))&gt;0,"Missing ID",""),IF(COUNTIF($A$7:$A$307,A77)&gt;1,"Duplicate ID",IF(AND(E77="Complete",K77=""),"Evidence missing",IF(AND(E77&lt;&gt;"Not started",E77&lt;&gt;"In progress",E77&lt;&gt;"In review",E77&lt;&gt;"Complete"),"Choose a status",""))))</f>
        <v/>
      </c>
    </row>
    <row r="78" customFormat="false" ht="44" hidden="false" customHeight="true" outlineLevel="0" collapsed="false">
      <c r="A78" s="29"/>
      <c r="B78" s="29"/>
      <c r="C78" s="29"/>
      <c r="D78" s="29"/>
      <c r="E78" s="34"/>
      <c r="F78" s="29"/>
      <c r="G78" s="29"/>
      <c r="H78" s="29"/>
      <c r="I78" s="29"/>
      <c r="J78" s="29"/>
      <c r="K78" s="34"/>
      <c r="L78" s="35" t="str">
        <f aca="false">IF(A78="",IF(SUMPRODUCT(--(B78:K78&lt;&gt;""))&gt;0,"Missing ID",""),IF(COUNTIF($A$7:$A$307,A78)&gt;1,"Duplicate ID",IF(AND(E78="Complete",K78=""),"Evidence missing",IF(AND(E78&lt;&gt;"Not started",E78&lt;&gt;"In progress",E78&lt;&gt;"In review",E78&lt;&gt;"Complete"),"Choose a status",""))))</f>
        <v/>
      </c>
    </row>
    <row r="79" customFormat="false" ht="44" hidden="false" customHeight="true" outlineLevel="0" collapsed="false">
      <c r="A79" s="29"/>
      <c r="B79" s="29"/>
      <c r="C79" s="29"/>
      <c r="D79" s="29"/>
      <c r="E79" s="34"/>
      <c r="F79" s="29"/>
      <c r="G79" s="29"/>
      <c r="H79" s="29"/>
      <c r="I79" s="29"/>
      <c r="J79" s="29"/>
      <c r="K79" s="34"/>
      <c r="L79" s="35" t="str">
        <f aca="false">IF(A79="",IF(SUMPRODUCT(--(B79:K79&lt;&gt;""))&gt;0,"Missing ID",""),IF(COUNTIF($A$7:$A$307,A79)&gt;1,"Duplicate ID",IF(AND(E79="Complete",K79=""),"Evidence missing",IF(AND(E79&lt;&gt;"Not started",E79&lt;&gt;"In progress",E79&lt;&gt;"In review",E79&lt;&gt;"Complete"),"Choose a status",""))))</f>
        <v/>
      </c>
    </row>
    <row r="80" customFormat="false" ht="44" hidden="false" customHeight="true" outlineLevel="0" collapsed="false">
      <c r="A80" s="29"/>
      <c r="B80" s="29"/>
      <c r="C80" s="29"/>
      <c r="D80" s="29"/>
      <c r="E80" s="34"/>
      <c r="F80" s="29"/>
      <c r="G80" s="29"/>
      <c r="H80" s="29"/>
      <c r="I80" s="29"/>
      <c r="J80" s="29"/>
      <c r="K80" s="34"/>
      <c r="L80" s="35" t="str">
        <f aca="false">IF(A80="",IF(SUMPRODUCT(--(B80:K80&lt;&gt;""))&gt;0,"Missing ID",""),IF(COUNTIF($A$7:$A$307,A80)&gt;1,"Duplicate ID",IF(AND(E80="Complete",K80=""),"Evidence missing",IF(AND(E80&lt;&gt;"Not started",E80&lt;&gt;"In progress",E80&lt;&gt;"In review",E80&lt;&gt;"Complete"),"Choose a status",""))))</f>
        <v/>
      </c>
    </row>
    <row r="81" customFormat="false" ht="44" hidden="false" customHeight="true" outlineLevel="0" collapsed="false">
      <c r="A81" s="29"/>
      <c r="B81" s="29"/>
      <c r="C81" s="29"/>
      <c r="D81" s="29"/>
      <c r="E81" s="34"/>
      <c r="F81" s="29"/>
      <c r="G81" s="29"/>
      <c r="H81" s="29"/>
      <c r="I81" s="29"/>
      <c r="J81" s="29"/>
      <c r="K81" s="34"/>
      <c r="L81" s="35" t="str">
        <f aca="false">IF(A81="",IF(SUMPRODUCT(--(B81:K81&lt;&gt;""))&gt;0,"Missing ID",""),IF(COUNTIF($A$7:$A$307,A81)&gt;1,"Duplicate ID",IF(AND(E81="Complete",K81=""),"Evidence missing",IF(AND(E81&lt;&gt;"Not started",E81&lt;&gt;"In progress",E81&lt;&gt;"In review",E81&lt;&gt;"Complete"),"Choose a status",""))))</f>
        <v/>
      </c>
    </row>
    <row r="82" customFormat="false" ht="44" hidden="false" customHeight="true" outlineLevel="0" collapsed="false">
      <c r="A82" s="29"/>
      <c r="B82" s="29"/>
      <c r="C82" s="29"/>
      <c r="D82" s="29"/>
      <c r="E82" s="34"/>
      <c r="F82" s="29"/>
      <c r="G82" s="29"/>
      <c r="H82" s="29"/>
      <c r="I82" s="29"/>
      <c r="J82" s="29"/>
      <c r="K82" s="34"/>
      <c r="L82" s="35" t="str">
        <f aca="false">IF(A82="",IF(SUMPRODUCT(--(B82:K82&lt;&gt;""))&gt;0,"Missing ID",""),IF(COUNTIF($A$7:$A$307,A82)&gt;1,"Duplicate ID",IF(AND(E82="Complete",K82=""),"Evidence missing",IF(AND(E82&lt;&gt;"Not started",E82&lt;&gt;"In progress",E82&lt;&gt;"In review",E82&lt;&gt;"Complete"),"Choose a status",""))))</f>
        <v/>
      </c>
    </row>
    <row r="83" customFormat="false" ht="44" hidden="false" customHeight="true" outlineLevel="0" collapsed="false">
      <c r="A83" s="29"/>
      <c r="B83" s="29"/>
      <c r="C83" s="29"/>
      <c r="D83" s="29"/>
      <c r="E83" s="34"/>
      <c r="F83" s="29"/>
      <c r="G83" s="29"/>
      <c r="H83" s="29"/>
      <c r="I83" s="29"/>
      <c r="J83" s="29"/>
      <c r="K83" s="34"/>
      <c r="L83" s="35" t="str">
        <f aca="false">IF(A83="",IF(SUMPRODUCT(--(B83:K83&lt;&gt;""))&gt;0,"Missing ID",""),IF(COUNTIF($A$7:$A$307,A83)&gt;1,"Duplicate ID",IF(AND(E83="Complete",K83=""),"Evidence missing",IF(AND(E83&lt;&gt;"Not started",E83&lt;&gt;"In progress",E83&lt;&gt;"In review",E83&lt;&gt;"Complete"),"Choose a status",""))))</f>
        <v/>
      </c>
    </row>
    <row r="84" customFormat="false" ht="44" hidden="false" customHeight="true" outlineLevel="0" collapsed="false">
      <c r="A84" s="29"/>
      <c r="B84" s="29"/>
      <c r="C84" s="29"/>
      <c r="D84" s="29"/>
      <c r="E84" s="34"/>
      <c r="F84" s="29"/>
      <c r="G84" s="29"/>
      <c r="H84" s="29"/>
      <c r="I84" s="29"/>
      <c r="J84" s="29"/>
      <c r="K84" s="34"/>
      <c r="L84" s="35" t="str">
        <f aca="false">IF(A84="",IF(SUMPRODUCT(--(B84:K84&lt;&gt;""))&gt;0,"Missing ID",""),IF(COUNTIF($A$7:$A$307,A84)&gt;1,"Duplicate ID",IF(AND(E84="Complete",K84=""),"Evidence missing",IF(AND(E84&lt;&gt;"Not started",E84&lt;&gt;"In progress",E84&lt;&gt;"In review",E84&lt;&gt;"Complete"),"Choose a status",""))))</f>
        <v/>
      </c>
    </row>
    <row r="85" customFormat="false" ht="44" hidden="false" customHeight="true" outlineLevel="0" collapsed="false">
      <c r="A85" s="29"/>
      <c r="B85" s="29"/>
      <c r="C85" s="29"/>
      <c r="D85" s="29"/>
      <c r="E85" s="34"/>
      <c r="F85" s="29"/>
      <c r="G85" s="29"/>
      <c r="H85" s="29"/>
      <c r="I85" s="29"/>
      <c r="J85" s="29"/>
      <c r="K85" s="34"/>
      <c r="L85" s="35" t="str">
        <f aca="false">IF(A85="",IF(SUMPRODUCT(--(B85:K85&lt;&gt;""))&gt;0,"Missing ID",""),IF(COUNTIF($A$7:$A$307,A85)&gt;1,"Duplicate ID",IF(AND(E85="Complete",K85=""),"Evidence missing",IF(AND(E85&lt;&gt;"Not started",E85&lt;&gt;"In progress",E85&lt;&gt;"In review",E85&lt;&gt;"Complete"),"Choose a status",""))))</f>
        <v/>
      </c>
    </row>
    <row r="86" customFormat="false" ht="44" hidden="false" customHeight="true" outlineLevel="0" collapsed="false">
      <c r="A86" s="29"/>
      <c r="B86" s="29"/>
      <c r="C86" s="29"/>
      <c r="D86" s="29"/>
      <c r="E86" s="34"/>
      <c r="F86" s="29"/>
      <c r="G86" s="29"/>
      <c r="H86" s="29"/>
      <c r="I86" s="29"/>
      <c r="J86" s="29"/>
      <c r="K86" s="34"/>
      <c r="L86" s="35" t="str">
        <f aca="false">IF(A86="",IF(SUMPRODUCT(--(B86:K86&lt;&gt;""))&gt;0,"Missing ID",""),IF(COUNTIF($A$7:$A$307,A86)&gt;1,"Duplicate ID",IF(AND(E86="Complete",K86=""),"Evidence missing",IF(AND(E86&lt;&gt;"Not started",E86&lt;&gt;"In progress",E86&lt;&gt;"In review",E86&lt;&gt;"Complete"),"Choose a status",""))))</f>
        <v/>
      </c>
    </row>
    <row r="87" customFormat="false" ht="44" hidden="false" customHeight="true" outlineLevel="0" collapsed="false">
      <c r="A87" s="29"/>
      <c r="B87" s="29"/>
      <c r="C87" s="29"/>
      <c r="D87" s="29"/>
      <c r="E87" s="34"/>
      <c r="F87" s="29"/>
      <c r="G87" s="29"/>
      <c r="H87" s="29"/>
      <c r="I87" s="29"/>
      <c r="J87" s="29"/>
      <c r="K87" s="34"/>
      <c r="L87" s="35" t="str">
        <f aca="false">IF(A87="",IF(SUMPRODUCT(--(B87:K87&lt;&gt;""))&gt;0,"Missing ID",""),IF(COUNTIF($A$7:$A$307,A87)&gt;1,"Duplicate ID",IF(AND(E87="Complete",K87=""),"Evidence missing",IF(AND(E87&lt;&gt;"Not started",E87&lt;&gt;"In progress",E87&lt;&gt;"In review",E87&lt;&gt;"Complete"),"Choose a status",""))))</f>
        <v/>
      </c>
    </row>
    <row r="88" customFormat="false" ht="44" hidden="false" customHeight="true" outlineLevel="0" collapsed="false">
      <c r="A88" s="29"/>
      <c r="B88" s="29"/>
      <c r="C88" s="29"/>
      <c r="D88" s="29"/>
      <c r="E88" s="34"/>
      <c r="F88" s="29"/>
      <c r="G88" s="29"/>
      <c r="H88" s="29"/>
      <c r="I88" s="29"/>
      <c r="J88" s="29"/>
      <c r="K88" s="34"/>
      <c r="L88" s="35" t="str">
        <f aca="false">IF(A88="",IF(SUMPRODUCT(--(B88:K88&lt;&gt;""))&gt;0,"Missing ID",""),IF(COUNTIF($A$7:$A$307,A88)&gt;1,"Duplicate ID",IF(AND(E88="Complete",K88=""),"Evidence missing",IF(AND(E88&lt;&gt;"Not started",E88&lt;&gt;"In progress",E88&lt;&gt;"In review",E88&lt;&gt;"Complete"),"Choose a status",""))))</f>
        <v/>
      </c>
    </row>
    <row r="89" customFormat="false" ht="44" hidden="false" customHeight="true" outlineLevel="0" collapsed="false">
      <c r="A89" s="29"/>
      <c r="B89" s="29"/>
      <c r="C89" s="29"/>
      <c r="D89" s="29"/>
      <c r="E89" s="34"/>
      <c r="F89" s="29"/>
      <c r="G89" s="29"/>
      <c r="H89" s="29"/>
      <c r="I89" s="29"/>
      <c r="J89" s="29"/>
      <c r="K89" s="34"/>
      <c r="L89" s="35" t="str">
        <f aca="false">IF(A89="",IF(SUMPRODUCT(--(B89:K89&lt;&gt;""))&gt;0,"Missing ID",""),IF(COUNTIF($A$7:$A$307,A89)&gt;1,"Duplicate ID",IF(AND(E89="Complete",K89=""),"Evidence missing",IF(AND(E89&lt;&gt;"Not started",E89&lt;&gt;"In progress",E89&lt;&gt;"In review",E89&lt;&gt;"Complete"),"Choose a status",""))))</f>
        <v/>
      </c>
    </row>
    <row r="90" customFormat="false" ht="44" hidden="false" customHeight="true" outlineLevel="0" collapsed="false">
      <c r="A90" s="29"/>
      <c r="B90" s="29"/>
      <c r="C90" s="29"/>
      <c r="D90" s="29"/>
      <c r="E90" s="34"/>
      <c r="F90" s="29"/>
      <c r="G90" s="29"/>
      <c r="H90" s="29"/>
      <c r="I90" s="29"/>
      <c r="J90" s="29"/>
      <c r="K90" s="34"/>
      <c r="L90" s="35" t="str">
        <f aca="false">IF(A90="",IF(SUMPRODUCT(--(B90:K90&lt;&gt;""))&gt;0,"Missing ID",""),IF(COUNTIF($A$7:$A$307,A90)&gt;1,"Duplicate ID",IF(AND(E90="Complete",K90=""),"Evidence missing",IF(AND(E90&lt;&gt;"Not started",E90&lt;&gt;"In progress",E90&lt;&gt;"In review",E90&lt;&gt;"Complete"),"Choose a status",""))))</f>
        <v/>
      </c>
    </row>
    <row r="91" customFormat="false" ht="44" hidden="false" customHeight="true" outlineLevel="0" collapsed="false">
      <c r="A91" s="29"/>
      <c r="B91" s="29"/>
      <c r="C91" s="29"/>
      <c r="D91" s="29"/>
      <c r="E91" s="34"/>
      <c r="F91" s="29"/>
      <c r="G91" s="29"/>
      <c r="H91" s="29"/>
      <c r="I91" s="29"/>
      <c r="J91" s="29"/>
      <c r="K91" s="34"/>
      <c r="L91" s="35" t="str">
        <f aca="false">IF(A91="",IF(SUMPRODUCT(--(B91:K91&lt;&gt;""))&gt;0,"Missing ID",""),IF(COUNTIF($A$7:$A$307,A91)&gt;1,"Duplicate ID",IF(AND(E91="Complete",K91=""),"Evidence missing",IF(AND(E91&lt;&gt;"Not started",E91&lt;&gt;"In progress",E91&lt;&gt;"In review",E91&lt;&gt;"Complete"),"Choose a status",""))))</f>
        <v/>
      </c>
    </row>
    <row r="92" customFormat="false" ht="44" hidden="false" customHeight="true" outlineLevel="0" collapsed="false">
      <c r="A92" s="29"/>
      <c r="B92" s="29"/>
      <c r="C92" s="29"/>
      <c r="D92" s="29"/>
      <c r="E92" s="34"/>
      <c r="F92" s="29"/>
      <c r="G92" s="29"/>
      <c r="H92" s="29"/>
      <c r="I92" s="29"/>
      <c r="J92" s="29"/>
      <c r="K92" s="34"/>
      <c r="L92" s="35" t="str">
        <f aca="false">IF(A92="",IF(SUMPRODUCT(--(B92:K92&lt;&gt;""))&gt;0,"Missing ID",""),IF(COUNTIF($A$7:$A$307,A92)&gt;1,"Duplicate ID",IF(AND(E92="Complete",K92=""),"Evidence missing",IF(AND(E92&lt;&gt;"Not started",E92&lt;&gt;"In progress",E92&lt;&gt;"In review",E92&lt;&gt;"Complete"),"Choose a status",""))))</f>
        <v/>
      </c>
    </row>
    <row r="93" customFormat="false" ht="44" hidden="false" customHeight="true" outlineLevel="0" collapsed="false">
      <c r="A93" s="29"/>
      <c r="B93" s="29"/>
      <c r="C93" s="29"/>
      <c r="D93" s="29"/>
      <c r="E93" s="34"/>
      <c r="F93" s="29"/>
      <c r="G93" s="29"/>
      <c r="H93" s="29"/>
      <c r="I93" s="29"/>
      <c r="J93" s="29"/>
      <c r="K93" s="34"/>
      <c r="L93" s="35" t="str">
        <f aca="false">IF(A93="",IF(SUMPRODUCT(--(B93:K93&lt;&gt;""))&gt;0,"Missing ID",""),IF(COUNTIF($A$7:$A$307,A93)&gt;1,"Duplicate ID",IF(AND(E93="Complete",K93=""),"Evidence missing",IF(AND(E93&lt;&gt;"Not started",E93&lt;&gt;"In progress",E93&lt;&gt;"In review",E93&lt;&gt;"Complete"),"Choose a status",""))))</f>
        <v/>
      </c>
    </row>
    <row r="94" customFormat="false" ht="44" hidden="false" customHeight="true" outlineLevel="0" collapsed="false">
      <c r="A94" s="29"/>
      <c r="B94" s="29"/>
      <c r="C94" s="29"/>
      <c r="D94" s="29"/>
      <c r="E94" s="34"/>
      <c r="F94" s="29"/>
      <c r="G94" s="29"/>
      <c r="H94" s="29"/>
      <c r="I94" s="29"/>
      <c r="J94" s="29"/>
      <c r="K94" s="34"/>
      <c r="L94" s="35" t="str">
        <f aca="false">IF(A94="",IF(SUMPRODUCT(--(B94:K94&lt;&gt;""))&gt;0,"Missing ID",""),IF(COUNTIF($A$7:$A$307,A94)&gt;1,"Duplicate ID",IF(AND(E94="Complete",K94=""),"Evidence missing",IF(AND(E94&lt;&gt;"Not started",E94&lt;&gt;"In progress",E94&lt;&gt;"In review",E94&lt;&gt;"Complete"),"Choose a status",""))))</f>
        <v/>
      </c>
    </row>
    <row r="95" customFormat="false" ht="44" hidden="false" customHeight="true" outlineLevel="0" collapsed="false">
      <c r="A95" s="29"/>
      <c r="B95" s="29"/>
      <c r="C95" s="29"/>
      <c r="D95" s="29"/>
      <c r="E95" s="34"/>
      <c r="F95" s="29"/>
      <c r="G95" s="29"/>
      <c r="H95" s="29"/>
      <c r="I95" s="29"/>
      <c r="J95" s="29"/>
      <c r="K95" s="34"/>
      <c r="L95" s="35" t="str">
        <f aca="false">IF(A95="",IF(SUMPRODUCT(--(B95:K95&lt;&gt;""))&gt;0,"Missing ID",""),IF(COUNTIF($A$7:$A$307,A95)&gt;1,"Duplicate ID",IF(AND(E95="Complete",K95=""),"Evidence missing",IF(AND(E95&lt;&gt;"Not started",E95&lt;&gt;"In progress",E95&lt;&gt;"In review",E95&lt;&gt;"Complete"),"Choose a status",""))))</f>
        <v/>
      </c>
    </row>
    <row r="96" customFormat="false" ht="44" hidden="false" customHeight="true" outlineLevel="0" collapsed="false">
      <c r="A96" s="29"/>
      <c r="B96" s="29"/>
      <c r="C96" s="29"/>
      <c r="D96" s="29"/>
      <c r="E96" s="34"/>
      <c r="F96" s="29"/>
      <c r="G96" s="29"/>
      <c r="H96" s="29"/>
      <c r="I96" s="29"/>
      <c r="J96" s="29"/>
      <c r="K96" s="34"/>
      <c r="L96" s="35" t="str">
        <f aca="false">IF(A96="",IF(SUMPRODUCT(--(B96:K96&lt;&gt;""))&gt;0,"Missing ID",""),IF(COUNTIF($A$7:$A$307,A96)&gt;1,"Duplicate ID",IF(AND(E96="Complete",K96=""),"Evidence missing",IF(AND(E96&lt;&gt;"Not started",E96&lt;&gt;"In progress",E96&lt;&gt;"In review",E96&lt;&gt;"Complete"),"Choose a status",""))))</f>
        <v/>
      </c>
    </row>
    <row r="97" customFormat="false" ht="44" hidden="false" customHeight="true" outlineLevel="0" collapsed="false">
      <c r="A97" s="29"/>
      <c r="B97" s="29"/>
      <c r="C97" s="29"/>
      <c r="D97" s="29"/>
      <c r="E97" s="34"/>
      <c r="F97" s="29"/>
      <c r="G97" s="29"/>
      <c r="H97" s="29"/>
      <c r="I97" s="29"/>
      <c r="J97" s="29"/>
      <c r="K97" s="34"/>
      <c r="L97" s="35" t="str">
        <f aca="false">IF(A97="",IF(SUMPRODUCT(--(B97:K97&lt;&gt;""))&gt;0,"Missing ID",""),IF(COUNTIF($A$7:$A$307,A97)&gt;1,"Duplicate ID",IF(AND(E97="Complete",K97=""),"Evidence missing",IF(AND(E97&lt;&gt;"Not started",E97&lt;&gt;"In progress",E97&lt;&gt;"In review",E97&lt;&gt;"Complete"),"Choose a status",""))))</f>
        <v/>
      </c>
    </row>
    <row r="98" customFormat="false" ht="44" hidden="false" customHeight="true" outlineLevel="0" collapsed="false">
      <c r="A98" s="29"/>
      <c r="B98" s="29"/>
      <c r="C98" s="29"/>
      <c r="D98" s="29"/>
      <c r="E98" s="34"/>
      <c r="F98" s="29"/>
      <c r="G98" s="29"/>
      <c r="H98" s="29"/>
      <c r="I98" s="29"/>
      <c r="J98" s="29"/>
      <c r="K98" s="34"/>
      <c r="L98" s="35" t="str">
        <f aca="false">IF(A98="",IF(SUMPRODUCT(--(B98:K98&lt;&gt;""))&gt;0,"Missing ID",""),IF(COUNTIF($A$7:$A$307,A98)&gt;1,"Duplicate ID",IF(AND(E98="Complete",K98=""),"Evidence missing",IF(AND(E98&lt;&gt;"Not started",E98&lt;&gt;"In progress",E98&lt;&gt;"In review",E98&lt;&gt;"Complete"),"Choose a status",""))))</f>
        <v/>
      </c>
    </row>
    <row r="99" customFormat="false" ht="44" hidden="false" customHeight="true" outlineLevel="0" collapsed="false">
      <c r="A99" s="29"/>
      <c r="B99" s="29"/>
      <c r="C99" s="29"/>
      <c r="D99" s="29"/>
      <c r="E99" s="34"/>
      <c r="F99" s="29"/>
      <c r="G99" s="29"/>
      <c r="H99" s="29"/>
      <c r="I99" s="29"/>
      <c r="J99" s="29"/>
      <c r="K99" s="34"/>
      <c r="L99" s="35" t="str">
        <f aca="false">IF(A99="",IF(SUMPRODUCT(--(B99:K99&lt;&gt;""))&gt;0,"Missing ID",""),IF(COUNTIF($A$7:$A$307,A99)&gt;1,"Duplicate ID",IF(AND(E99="Complete",K99=""),"Evidence missing",IF(AND(E99&lt;&gt;"Not started",E99&lt;&gt;"In progress",E99&lt;&gt;"In review",E99&lt;&gt;"Complete"),"Choose a status",""))))</f>
        <v/>
      </c>
    </row>
    <row r="100" customFormat="false" ht="44" hidden="false" customHeight="true" outlineLevel="0" collapsed="false">
      <c r="A100" s="29"/>
      <c r="B100" s="29"/>
      <c r="C100" s="29"/>
      <c r="D100" s="29"/>
      <c r="E100" s="34"/>
      <c r="F100" s="29"/>
      <c r="G100" s="29"/>
      <c r="H100" s="29"/>
      <c r="I100" s="29"/>
      <c r="J100" s="29"/>
      <c r="K100" s="34"/>
      <c r="L100" s="35" t="str">
        <f aca="false">IF(A100="",IF(SUMPRODUCT(--(B100:K100&lt;&gt;""))&gt;0,"Missing ID",""),IF(COUNTIF($A$7:$A$307,A100)&gt;1,"Duplicate ID",IF(AND(E100="Complete",K100=""),"Evidence missing",IF(AND(E100&lt;&gt;"Not started",E100&lt;&gt;"In progress",E100&lt;&gt;"In review",E100&lt;&gt;"Complete"),"Choose a status",""))))</f>
        <v/>
      </c>
    </row>
    <row r="101" customFormat="false" ht="44" hidden="false" customHeight="true" outlineLevel="0" collapsed="false">
      <c r="A101" s="29"/>
      <c r="B101" s="29"/>
      <c r="C101" s="29"/>
      <c r="D101" s="29"/>
      <c r="E101" s="34"/>
      <c r="F101" s="29"/>
      <c r="G101" s="29"/>
      <c r="H101" s="29"/>
      <c r="I101" s="29"/>
      <c r="J101" s="29"/>
      <c r="K101" s="34"/>
      <c r="L101" s="35" t="str">
        <f aca="false">IF(A101="",IF(SUMPRODUCT(--(B101:K101&lt;&gt;""))&gt;0,"Missing ID",""),IF(COUNTIF($A$7:$A$307,A101)&gt;1,"Duplicate ID",IF(AND(E101="Complete",K101=""),"Evidence missing",IF(AND(E101&lt;&gt;"Not started",E101&lt;&gt;"In progress",E101&lt;&gt;"In review",E101&lt;&gt;"Complete"),"Choose a status",""))))</f>
        <v/>
      </c>
    </row>
    <row r="102" customFormat="false" ht="44" hidden="false" customHeight="true" outlineLevel="0" collapsed="false">
      <c r="A102" s="29"/>
      <c r="B102" s="29"/>
      <c r="C102" s="29"/>
      <c r="D102" s="29"/>
      <c r="E102" s="34"/>
      <c r="F102" s="29"/>
      <c r="G102" s="29"/>
      <c r="H102" s="29"/>
      <c r="I102" s="29"/>
      <c r="J102" s="29"/>
      <c r="K102" s="34"/>
      <c r="L102" s="35" t="str">
        <f aca="false">IF(A102="",IF(SUMPRODUCT(--(B102:K102&lt;&gt;""))&gt;0,"Missing ID",""),IF(COUNTIF($A$7:$A$307,A102)&gt;1,"Duplicate ID",IF(AND(E102="Complete",K102=""),"Evidence missing",IF(AND(E102&lt;&gt;"Not started",E102&lt;&gt;"In progress",E102&lt;&gt;"In review",E102&lt;&gt;"Complete"),"Choose a status",""))))</f>
        <v/>
      </c>
    </row>
    <row r="103" customFormat="false" ht="44" hidden="false" customHeight="true" outlineLevel="0" collapsed="false">
      <c r="A103" s="29"/>
      <c r="B103" s="29"/>
      <c r="C103" s="29"/>
      <c r="D103" s="29"/>
      <c r="E103" s="34"/>
      <c r="F103" s="29"/>
      <c r="G103" s="29"/>
      <c r="H103" s="29"/>
      <c r="I103" s="29"/>
      <c r="J103" s="29"/>
      <c r="K103" s="34"/>
      <c r="L103" s="35" t="str">
        <f aca="false">IF(A103="",IF(SUMPRODUCT(--(B103:K103&lt;&gt;""))&gt;0,"Missing ID",""),IF(COUNTIF($A$7:$A$307,A103)&gt;1,"Duplicate ID",IF(AND(E103="Complete",K103=""),"Evidence missing",IF(AND(E103&lt;&gt;"Not started",E103&lt;&gt;"In progress",E103&lt;&gt;"In review",E103&lt;&gt;"Complete"),"Choose a status",""))))</f>
        <v/>
      </c>
    </row>
    <row r="104" customFormat="false" ht="44" hidden="false" customHeight="true" outlineLevel="0" collapsed="false">
      <c r="A104" s="29"/>
      <c r="B104" s="29"/>
      <c r="C104" s="29"/>
      <c r="D104" s="29"/>
      <c r="E104" s="34"/>
      <c r="F104" s="29"/>
      <c r="G104" s="29"/>
      <c r="H104" s="29"/>
      <c r="I104" s="29"/>
      <c r="J104" s="29"/>
      <c r="K104" s="34"/>
      <c r="L104" s="35" t="str">
        <f aca="false">IF(A104="",IF(SUMPRODUCT(--(B104:K104&lt;&gt;""))&gt;0,"Missing ID",""),IF(COUNTIF($A$7:$A$307,A104)&gt;1,"Duplicate ID",IF(AND(E104="Complete",K104=""),"Evidence missing",IF(AND(E104&lt;&gt;"Not started",E104&lt;&gt;"In progress",E104&lt;&gt;"In review",E104&lt;&gt;"Complete"),"Choose a status",""))))</f>
        <v/>
      </c>
    </row>
    <row r="105" customFormat="false" ht="44" hidden="false" customHeight="true" outlineLevel="0" collapsed="false">
      <c r="A105" s="29"/>
      <c r="B105" s="29"/>
      <c r="C105" s="29"/>
      <c r="D105" s="29"/>
      <c r="E105" s="34"/>
      <c r="F105" s="29"/>
      <c r="G105" s="29"/>
      <c r="H105" s="29"/>
      <c r="I105" s="29"/>
      <c r="J105" s="29"/>
      <c r="K105" s="34"/>
      <c r="L105" s="35" t="str">
        <f aca="false">IF(A105="",IF(SUMPRODUCT(--(B105:K105&lt;&gt;""))&gt;0,"Missing ID",""),IF(COUNTIF($A$7:$A$307,A105)&gt;1,"Duplicate ID",IF(AND(E105="Complete",K105=""),"Evidence missing",IF(AND(E105&lt;&gt;"Not started",E105&lt;&gt;"In progress",E105&lt;&gt;"In review",E105&lt;&gt;"Complete"),"Choose a status",""))))</f>
        <v/>
      </c>
    </row>
    <row r="106" customFormat="false" ht="44" hidden="false" customHeight="true" outlineLevel="0" collapsed="false">
      <c r="A106" s="29"/>
      <c r="B106" s="29"/>
      <c r="C106" s="29"/>
      <c r="D106" s="29"/>
      <c r="E106" s="34"/>
      <c r="F106" s="29"/>
      <c r="G106" s="29"/>
      <c r="H106" s="29"/>
      <c r="I106" s="29"/>
      <c r="J106" s="29"/>
      <c r="K106" s="34"/>
      <c r="L106" s="35" t="str">
        <f aca="false">IF(A106="",IF(SUMPRODUCT(--(B106:K106&lt;&gt;""))&gt;0,"Missing ID",""),IF(COUNTIF($A$7:$A$307,A106)&gt;1,"Duplicate ID",IF(AND(E106="Complete",K106=""),"Evidence missing",IF(AND(E106&lt;&gt;"Not started",E106&lt;&gt;"In progress",E106&lt;&gt;"In review",E106&lt;&gt;"Complete"),"Choose a status",""))))</f>
        <v/>
      </c>
    </row>
    <row r="107" customFormat="false" ht="44" hidden="false" customHeight="true" outlineLevel="0" collapsed="false">
      <c r="A107" s="29"/>
      <c r="B107" s="29"/>
      <c r="C107" s="29"/>
      <c r="D107" s="29"/>
      <c r="E107" s="34"/>
      <c r="F107" s="29"/>
      <c r="G107" s="29"/>
      <c r="H107" s="29"/>
      <c r="I107" s="29"/>
      <c r="J107" s="29"/>
      <c r="K107" s="34"/>
      <c r="L107" s="35" t="str">
        <f aca="false">IF(A107="",IF(SUMPRODUCT(--(B107:K107&lt;&gt;""))&gt;0,"Missing ID",""),IF(COUNTIF($A$7:$A$307,A107)&gt;1,"Duplicate ID",IF(AND(E107="Complete",K107=""),"Evidence missing",IF(AND(E107&lt;&gt;"Not started",E107&lt;&gt;"In progress",E107&lt;&gt;"In review",E107&lt;&gt;"Complete"),"Choose a status",""))))</f>
        <v/>
      </c>
    </row>
    <row r="108" customFormat="false" ht="44" hidden="false" customHeight="true" outlineLevel="0" collapsed="false">
      <c r="A108" s="29"/>
      <c r="B108" s="29"/>
      <c r="C108" s="29"/>
      <c r="D108" s="29"/>
      <c r="E108" s="34"/>
      <c r="F108" s="29"/>
      <c r="G108" s="29"/>
      <c r="H108" s="29"/>
      <c r="I108" s="29"/>
      <c r="J108" s="29"/>
      <c r="K108" s="34"/>
      <c r="L108" s="35" t="str">
        <f aca="false">IF(A108="",IF(SUMPRODUCT(--(B108:K108&lt;&gt;""))&gt;0,"Missing ID",""),IF(COUNTIF($A$7:$A$307,A108)&gt;1,"Duplicate ID",IF(AND(E108="Complete",K108=""),"Evidence missing",IF(AND(E108&lt;&gt;"Not started",E108&lt;&gt;"In progress",E108&lt;&gt;"In review",E108&lt;&gt;"Complete"),"Choose a status",""))))</f>
        <v/>
      </c>
    </row>
    <row r="109" customFormat="false" ht="44" hidden="false" customHeight="true" outlineLevel="0" collapsed="false">
      <c r="A109" s="29"/>
      <c r="B109" s="29"/>
      <c r="C109" s="29"/>
      <c r="D109" s="29"/>
      <c r="E109" s="34"/>
      <c r="F109" s="29"/>
      <c r="G109" s="29"/>
      <c r="H109" s="29"/>
      <c r="I109" s="29"/>
      <c r="J109" s="29"/>
      <c r="K109" s="34"/>
      <c r="L109" s="35" t="str">
        <f aca="false">IF(A109="",IF(SUMPRODUCT(--(B109:K109&lt;&gt;""))&gt;0,"Missing ID",""),IF(COUNTIF($A$7:$A$307,A109)&gt;1,"Duplicate ID",IF(AND(E109="Complete",K109=""),"Evidence missing",IF(AND(E109&lt;&gt;"Not started",E109&lt;&gt;"In progress",E109&lt;&gt;"In review",E109&lt;&gt;"Complete"),"Choose a status",""))))</f>
        <v/>
      </c>
    </row>
    <row r="110" customFormat="false" ht="44" hidden="false" customHeight="true" outlineLevel="0" collapsed="false">
      <c r="A110" s="29"/>
      <c r="B110" s="29"/>
      <c r="C110" s="29"/>
      <c r="D110" s="29"/>
      <c r="E110" s="34"/>
      <c r="F110" s="29"/>
      <c r="G110" s="29"/>
      <c r="H110" s="29"/>
      <c r="I110" s="29"/>
      <c r="J110" s="29"/>
      <c r="K110" s="34"/>
      <c r="L110" s="35" t="str">
        <f aca="false">IF(A110="",IF(SUMPRODUCT(--(B110:K110&lt;&gt;""))&gt;0,"Missing ID",""),IF(COUNTIF($A$7:$A$307,A110)&gt;1,"Duplicate ID",IF(AND(E110="Complete",K110=""),"Evidence missing",IF(AND(E110&lt;&gt;"Not started",E110&lt;&gt;"In progress",E110&lt;&gt;"In review",E110&lt;&gt;"Complete"),"Choose a status",""))))</f>
        <v/>
      </c>
    </row>
    <row r="111" customFormat="false" ht="44" hidden="false" customHeight="true" outlineLevel="0" collapsed="false">
      <c r="A111" s="29"/>
      <c r="B111" s="29"/>
      <c r="C111" s="29"/>
      <c r="D111" s="29"/>
      <c r="E111" s="34"/>
      <c r="F111" s="29"/>
      <c r="G111" s="29"/>
      <c r="H111" s="29"/>
      <c r="I111" s="29"/>
      <c r="J111" s="29"/>
      <c r="K111" s="34"/>
      <c r="L111" s="35" t="str">
        <f aca="false">IF(A111="",IF(SUMPRODUCT(--(B111:K111&lt;&gt;""))&gt;0,"Missing ID",""),IF(COUNTIF($A$7:$A$307,A111)&gt;1,"Duplicate ID",IF(AND(E111="Complete",K111=""),"Evidence missing",IF(AND(E111&lt;&gt;"Not started",E111&lt;&gt;"In progress",E111&lt;&gt;"In review",E111&lt;&gt;"Complete"),"Choose a status",""))))</f>
        <v/>
      </c>
    </row>
    <row r="112" customFormat="false" ht="44" hidden="false" customHeight="true" outlineLevel="0" collapsed="false">
      <c r="A112" s="29"/>
      <c r="B112" s="29"/>
      <c r="C112" s="29"/>
      <c r="D112" s="29"/>
      <c r="E112" s="34"/>
      <c r="F112" s="29"/>
      <c r="G112" s="29"/>
      <c r="H112" s="29"/>
      <c r="I112" s="29"/>
      <c r="J112" s="29"/>
      <c r="K112" s="34"/>
      <c r="L112" s="35" t="str">
        <f aca="false">IF(A112="",IF(SUMPRODUCT(--(B112:K112&lt;&gt;""))&gt;0,"Missing ID",""),IF(COUNTIF($A$7:$A$307,A112)&gt;1,"Duplicate ID",IF(AND(E112="Complete",K112=""),"Evidence missing",IF(AND(E112&lt;&gt;"Not started",E112&lt;&gt;"In progress",E112&lt;&gt;"In review",E112&lt;&gt;"Complete"),"Choose a status",""))))</f>
        <v/>
      </c>
    </row>
    <row r="113" customFormat="false" ht="44" hidden="false" customHeight="true" outlineLevel="0" collapsed="false">
      <c r="A113" s="29"/>
      <c r="B113" s="29"/>
      <c r="C113" s="29"/>
      <c r="D113" s="29"/>
      <c r="E113" s="34"/>
      <c r="F113" s="29"/>
      <c r="G113" s="29"/>
      <c r="H113" s="29"/>
      <c r="I113" s="29"/>
      <c r="J113" s="29"/>
      <c r="K113" s="34"/>
      <c r="L113" s="35" t="str">
        <f aca="false">IF(A113="",IF(SUMPRODUCT(--(B113:K113&lt;&gt;""))&gt;0,"Missing ID",""),IF(COUNTIF($A$7:$A$307,A113)&gt;1,"Duplicate ID",IF(AND(E113="Complete",K113=""),"Evidence missing",IF(AND(E113&lt;&gt;"Not started",E113&lt;&gt;"In progress",E113&lt;&gt;"In review",E113&lt;&gt;"Complete"),"Choose a status",""))))</f>
        <v/>
      </c>
    </row>
    <row r="114" customFormat="false" ht="44" hidden="false" customHeight="true" outlineLevel="0" collapsed="false">
      <c r="A114" s="29"/>
      <c r="B114" s="29"/>
      <c r="C114" s="29"/>
      <c r="D114" s="29"/>
      <c r="E114" s="34"/>
      <c r="F114" s="29"/>
      <c r="G114" s="29"/>
      <c r="H114" s="29"/>
      <c r="I114" s="29"/>
      <c r="J114" s="29"/>
      <c r="K114" s="34"/>
      <c r="L114" s="35" t="str">
        <f aca="false">IF(A114="",IF(SUMPRODUCT(--(B114:K114&lt;&gt;""))&gt;0,"Missing ID",""),IF(COUNTIF($A$7:$A$307,A114)&gt;1,"Duplicate ID",IF(AND(E114="Complete",K114=""),"Evidence missing",IF(AND(E114&lt;&gt;"Not started",E114&lt;&gt;"In progress",E114&lt;&gt;"In review",E114&lt;&gt;"Complete"),"Choose a status",""))))</f>
        <v/>
      </c>
    </row>
    <row r="115" customFormat="false" ht="44" hidden="false" customHeight="true" outlineLevel="0" collapsed="false">
      <c r="A115" s="29"/>
      <c r="B115" s="29"/>
      <c r="C115" s="29"/>
      <c r="D115" s="29"/>
      <c r="E115" s="34"/>
      <c r="F115" s="29"/>
      <c r="G115" s="29"/>
      <c r="H115" s="29"/>
      <c r="I115" s="29"/>
      <c r="J115" s="29"/>
      <c r="K115" s="34"/>
      <c r="L115" s="35" t="str">
        <f aca="false">IF(A115="",IF(SUMPRODUCT(--(B115:K115&lt;&gt;""))&gt;0,"Missing ID",""),IF(COUNTIF($A$7:$A$307,A115)&gt;1,"Duplicate ID",IF(AND(E115="Complete",K115=""),"Evidence missing",IF(AND(E115&lt;&gt;"Not started",E115&lt;&gt;"In progress",E115&lt;&gt;"In review",E115&lt;&gt;"Complete"),"Choose a status",""))))</f>
        <v/>
      </c>
    </row>
    <row r="116" customFormat="false" ht="44" hidden="false" customHeight="true" outlineLevel="0" collapsed="false">
      <c r="A116" s="29"/>
      <c r="B116" s="29"/>
      <c r="C116" s="29"/>
      <c r="D116" s="29"/>
      <c r="E116" s="34"/>
      <c r="F116" s="29"/>
      <c r="G116" s="29"/>
      <c r="H116" s="29"/>
      <c r="I116" s="29"/>
      <c r="J116" s="29"/>
      <c r="K116" s="34"/>
      <c r="L116" s="35" t="str">
        <f aca="false">IF(A116="",IF(SUMPRODUCT(--(B116:K116&lt;&gt;""))&gt;0,"Missing ID",""),IF(COUNTIF($A$7:$A$307,A116)&gt;1,"Duplicate ID",IF(AND(E116="Complete",K116=""),"Evidence missing",IF(AND(E116&lt;&gt;"Not started",E116&lt;&gt;"In progress",E116&lt;&gt;"In review",E116&lt;&gt;"Complete"),"Choose a status",""))))</f>
        <v/>
      </c>
    </row>
    <row r="117" customFormat="false" ht="44" hidden="false" customHeight="true" outlineLevel="0" collapsed="false">
      <c r="A117" s="29"/>
      <c r="B117" s="29"/>
      <c r="C117" s="29"/>
      <c r="D117" s="29"/>
      <c r="E117" s="34"/>
      <c r="F117" s="29"/>
      <c r="G117" s="29"/>
      <c r="H117" s="29"/>
      <c r="I117" s="29"/>
      <c r="J117" s="29"/>
      <c r="K117" s="34"/>
      <c r="L117" s="35" t="str">
        <f aca="false">IF(A117="",IF(SUMPRODUCT(--(B117:K117&lt;&gt;""))&gt;0,"Missing ID",""),IF(COUNTIF($A$7:$A$307,A117)&gt;1,"Duplicate ID",IF(AND(E117="Complete",K117=""),"Evidence missing",IF(AND(E117&lt;&gt;"Not started",E117&lt;&gt;"In progress",E117&lt;&gt;"In review",E117&lt;&gt;"Complete"),"Choose a status",""))))</f>
        <v/>
      </c>
    </row>
    <row r="118" customFormat="false" ht="44" hidden="false" customHeight="true" outlineLevel="0" collapsed="false">
      <c r="A118" s="29"/>
      <c r="B118" s="29"/>
      <c r="C118" s="29"/>
      <c r="D118" s="29"/>
      <c r="E118" s="34"/>
      <c r="F118" s="29"/>
      <c r="G118" s="29"/>
      <c r="H118" s="29"/>
      <c r="I118" s="29"/>
      <c r="J118" s="29"/>
      <c r="K118" s="34"/>
      <c r="L118" s="35" t="str">
        <f aca="false">IF(A118="",IF(SUMPRODUCT(--(B118:K118&lt;&gt;""))&gt;0,"Missing ID",""),IF(COUNTIF($A$7:$A$307,A118)&gt;1,"Duplicate ID",IF(AND(E118="Complete",K118=""),"Evidence missing",IF(AND(E118&lt;&gt;"Not started",E118&lt;&gt;"In progress",E118&lt;&gt;"In review",E118&lt;&gt;"Complete"),"Choose a status",""))))</f>
        <v/>
      </c>
    </row>
    <row r="119" customFormat="false" ht="44" hidden="false" customHeight="true" outlineLevel="0" collapsed="false">
      <c r="A119" s="29"/>
      <c r="B119" s="29"/>
      <c r="C119" s="29"/>
      <c r="D119" s="29"/>
      <c r="E119" s="34"/>
      <c r="F119" s="29"/>
      <c r="G119" s="29"/>
      <c r="H119" s="29"/>
      <c r="I119" s="29"/>
      <c r="J119" s="29"/>
      <c r="K119" s="34"/>
      <c r="L119" s="35" t="str">
        <f aca="false">IF(A119="",IF(SUMPRODUCT(--(B119:K119&lt;&gt;""))&gt;0,"Missing ID",""),IF(COUNTIF($A$7:$A$307,A119)&gt;1,"Duplicate ID",IF(AND(E119="Complete",K119=""),"Evidence missing",IF(AND(E119&lt;&gt;"Not started",E119&lt;&gt;"In progress",E119&lt;&gt;"In review",E119&lt;&gt;"Complete"),"Choose a status",""))))</f>
        <v/>
      </c>
    </row>
    <row r="120" customFormat="false" ht="44" hidden="false" customHeight="true" outlineLevel="0" collapsed="false">
      <c r="A120" s="29"/>
      <c r="B120" s="29"/>
      <c r="C120" s="29"/>
      <c r="D120" s="29"/>
      <c r="E120" s="34"/>
      <c r="F120" s="29"/>
      <c r="G120" s="29"/>
      <c r="H120" s="29"/>
      <c r="I120" s="29"/>
      <c r="J120" s="29"/>
      <c r="K120" s="34"/>
      <c r="L120" s="35" t="str">
        <f aca="false">IF(A120="",IF(SUMPRODUCT(--(B120:K120&lt;&gt;""))&gt;0,"Missing ID",""),IF(COUNTIF($A$7:$A$307,A120)&gt;1,"Duplicate ID",IF(AND(E120="Complete",K120=""),"Evidence missing",IF(AND(E120&lt;&gt;"Not started",E120&lt;&gt;"In progress",E120&lt;&gt;"In review",E120&lt;&gt;"Complete"),"Choose a status",""))))</f>
        <v/>
      </c>
    </row>
    <row r="121" customFormat="false" ht="44" hidden="false" customHeight="true" outlineLevel="0" collapsed="false">
      <c r="A121" s="29"/>
      <c r="B121" s="29"/>
      <c r="C121" s="29"/>
      <c r="D121" s="29"/>
      <c r="E121" s="34"/>
      <c r="F121" s="29"/>
      <c r="G121" s="29"/>
      <c r="H121" s="29"/>
      <c r="I121" s="29"/>
      <c r="J121" s="29"/>
      <c r="K121" s="34"/>
      <c r="L121" s="35" t="str">
        <f aca="false">IF(A121="",IF(SUMPRODUCT(--(B121:K121&lt;&gt;""))&gt;0,"Missing ID",""),IF(COUNTIF($A$7:$A$307,A121)&gt;1,"Duplicate ID",IF(AND(E121="Complete",K121=""),"Evidence missing",IF(AND(E121&lt;&gt;"Not started",E121&lt;&gt;"In progress",E121&lt;&gt;"In review",E121&lt;&gt;"Complete"),"Choose a status",""))))</f>
        <v/>
      </c>
    </row>
    <row r="122" customFormat="false" ht="44" hidden="false" customHeight="true" outlineLevel="0" collapsed="false">
      <c r="A122" s="29"/>
      <c r="B122" s="29"/>
      <c r="C122" s="29"/>
      <c r="D122" s="29"/>
      <c r="E122" s="34"/>
      <c r="F122" s="29"/>
      <c r="G122" s="29"/>
      <c r="H122" s="29"/>
      <c r="I122" s="29"/>
      <c r="J122" s="29"/>
      <c r="K122" s="34"/>
      <c r="L122" s="35" t="str">
        <f aca="false">IF(A122="",IF(SUMPRODUCT(--(B122:K122&lt;&gt;""))&gt;0,"Missing ID",""),IF(COUNTIF($A$7:$A$307,A122)&gt;1,"Duplicate ID",IF(AND(E122="Complete",K122=""),"Evidence missing",IF(AND(E122&lt;&gt;"Not started",E122&lt;&gt;"In progress",E122&lt;&gt;"In review",E122&lt;&gt;"Complete"),"Choose a status",""))))</f>
        <v/>
      </c>
    </row>
    <row r="123" customFormat="false" ht="44" hidden="false" customHeight="true" outlineLevel="0" collapsed="false">
      <c r="A123" s="29"/>
      <c r="B123" s="29"/>
      <c r="C123" s="29"/>
      <c r="D123" s="29"/>
      <c r="E123" s="34"/>
      <c r="F123" s="29"/>
      <c r="G123" s="29"/>
      <c r="H123" s="29"/>
      <c r="I123" s="29"/>
      <c r="J123" s="29"/>
      <c r="K123" s="34"/>
      <c r="L123" s="35" t="str">
        <f aca="false">IF(A123="",IF(SUMPRODUCT(--(B123:K123&lt;&gt;""))&gt;0,"Missing ID",""),IF(COUNTIF($A$7:$A$307,A123)&gt;1,"Duplicate ID",IF(AND(E123="Complete",K123=""),"Evidence missing",IF(AND(E123&lt;&gt;"Not started",E123&lt;&gt;"In progress",E123&lt;&gt;"In review",E123&lt;&gt;"Complete"),"Choose a status",""))))</f>
        <v/>
      </c>
    </row>
    <row r="124" customFormat="false" ht="44" hidden="false" customHeight="true" outlineLevel="0" collapsed="false">
      <c r="A124" s="29"/>
      <c r="B124" s="29"/>
      <c r="C124" s="29"/>
      <c r="D124" s="29"/>
      <c r="E124" s="34"/>
      <c r="F124" s="29"/>
      <c r="G124" s="29"/>
      <c r="H124" s="29"/>
      <c r="I124" s="29"/>
      <c r="J124" s="29"/>
      <c r="K124" s="34"/>
      <c r="L124" s="35" t="str">
        <f aca="false">IF(A124="",IF(SUMPRODUCT(--(B124:K124&lt;&gt;""))&gt;0,"Missing ID",""),IF(COUNTIF($A$7:$A$307,A124)&gt;1,"Duplicate ID",IF(AND(E124="Complete",K124=""),"Evidence missing",IF(AND(E124&lt;&gt;"Not started",E124&lt;&gt;"In progress",E124&lt;&gt;"In review",E124&lt;&gt;"Complete"),"Choose a status",""))))</f>
        <v/>
      </c>
    </row>
    <row r="125" customFormat="false" ht="44" hidden="false" customHeight="true" outlineLevel="0" collapsed="false">
      <c r="A125" s="29"/>
      <c r="B125" s="29"/>
      <c r="C125" s="29"/>
      <c r="D125" s="29"/>
      <c r="E125" s="34"/>
      <c r="F125" s="29"/>
      <c r="G125" s="29"/>
      <c r="H125" s="29"/>
      <c r="I125" s="29"/>
      <c r="J125" s="29"/>
      <c r="K125" s="34"/>
      <c r="L125" s="35" t="str">
        <f aca="false">IF(A125="",IF(SUMPRODUCT(--(B125:K125&lt;&gt;""))&gt;0,"Missing ID",""),IF(COUNTIF($A$7:$A$307,A125)&gt;1,"Duplicate ID",IF(AND(E125="Complete",K125=""),"Evidence missing",IF(AND(E125&lt;&gt;"Not started",E125&lt;&gt;"In progress",E125&lt;&gt;"In review",E125&lt;&gt;"Complete"),"Choose a status",""))))</f>
        <v/>
      </c>
    </row>
    <row r="126" customFormat="false" ht="44" hidden="false" customHeight="true" outlineLevel="0" collapsed="false">
      <c r="A126" s="29"/>
      <c r="B126" s="29"/>
      <c r="C126" s="29"/>
      <c r="D126" s="29"/>
      <c r="E126" s="34"/>
      <c r="F126" s="29"/>
      <c r="G126" s="29"/>
      <c r="H126" s="29"/>
      <c r="I126" s="29"/>
      <c r="J126" s="29"/>
      <c r="K126" s="34"/>
      <c r="L126" s="35" t="str">
        <f aca="false">IF(A126="",IF(SUMPRODUCT(--(B126:K126&lt;&gt;""))&gt;0,"Missing ID",""),IF(COUNTIF($A$7:$A$307,A126)&gt;1,"Duplicate ID",IF(AND(E126="Complete",K126=""),"Evidence missing",IF(AND(E126&lt;&gt;"Not started",E126&lt;&gt;"In progress",E126&lt;&gt;"In review",E126&lt;&gt;"Complete"),"Choose a status",""))))</f>
        <v/>
      </c>
    </row>
    <row r="127" customFormat="false" ht="44" hidden="false" customHeight="true" outlineLevel="0" collapsed="false">
      <c r="A127" s="29"/>
      <c r="B127" s="29"/>
      <c r="C127" s="29"/>
      <c r="D127" s="29"/>
      <c r="E127" s="34"/>
      <c r="F127" s="29"/>
      <c r="G127" s="29"/>
      <c r="H127" s="29"/>
      <c r="I127" s="29"/>
      <c r="J127" s="29"/>
      <c r="K127" s="34"/>
      <c r="L127" s="35" t="str">
        <f aca="false">IF(A127="",IF(SUMPRODUCT(--(B127:K127&lt;&gt;""))&gt;0,"Missing ID",""),IF(COUNTIF($A$7:$A$307,A127)&gt;1,"Duplicate ID",IF(AND(E127="Complete",K127=""),"Evidence missing",IF(AND(E127&lt;&gt;"Not started",E127&lt;&gt;"In progress",E127&lt;&gt;"In review",E127&lt;&gt;"Complete"),"Choose a status",""))))</f>
        <v/>
      </c>
    </row>
    <row r="128" customFormat="false" ht="44" hidden="false" customHeight="true" outlineLevel="0" collapsed="false">
      <c r="A128" s="29"/>
      <c r="B128" s="29"/>
      <c r="C128" s="29"/>
      <c r="D128" s="29"/>
      <c r="E128" s="34"/>
      <c r="F128" s="29"/>
      <c r="G128" s="29"/>
      <c r="H128" s="29"/>
      <c r="I128" s="29"/>
      <c r="J128" s="29"/>
      <c r="K128" s="34"/>
      <c r="L128" s="35" t="str">
        <f aca="false">IF(A128="",IF(SUMPRODUCT(--(B128:K128&lt;&gt;""))&gt;0,"Missing ID",""),IF(COUNTIF($A$7:$A$307,A128)&gt;1,"Duplicate ID",IF(AND(E128="Complete",K128=""),"Evidence missing",IF(AND(E128&lt;&gt;"Not started",E128&lt;&gt;"In progress",E128&lt;&gt;"In review",E128&lt;&gt;"Complete"),"Choose a status",""))))</f>
        <v/>
      </c>
    </row>
    <row r="129" customFormat="false" ht="44" hidden="false" customHeight="true" outlineLevel="0" collapsed="false">
      <c r="A129" s="29"/>
      <c r="B129" s="29"/>
      <c r="C129" s="29"/>
      <c r="D129" s="29"/>
      <c r="E129" s="34"/>
      <c r="F129" s="29"/>
      <c r="G129" s="29"/>
      <c r="H129" s="29"/>
      <c r="I129" s="29"/>
      <c r="J129" s="29"/>
      <c r="K129" s="34"/>
      <c r="L129" s="35" t="str">
        <f aca="false">IF(A129="",IF(SUMPRODUCT(--(B129:K129&lt;&gt;""))&gt;0,"Missing ID",""),IF(COUNTIF($A$7:$A$307,A129)&gt;1,"Duplicate ID",IF(AND(E129="Complete",K129=""),"Evidence missing",IF(AND(E129&lt;&gt;"Not started",E129&lt;&gt;"In progress",E129&lt;&gt;"In review",E129&lt;&gt;"Complete"),"Choose a status",""))))</f>
        <v/>
      </c>
    </row>
    <row r="130" customFormat="false" ht="44" hidden="false" customHeight="true" outlineLevel="0" collapsed="false">
      <c r="A130" s="29"/>
      <c r="B130" s="29"/>
      <c r="C130" s="29"/>
      <c r="D130" s="29"/>
      <c r="E130" s="34"/>
      <c r="F130" s="29"/>
      <c r="G130" s="29"/>
      <c r="H130" s="29"/>
      <c r="I130" s="29"/>
      <c r="J130" s="29"/>
      <c r="K130" s="34"/>
      <c r="L130" s="35" t="str">
        <f aca="false">IF(A130="",IF(SUMPRODUCT(--(B130:K130&lt;&gt;""))&gt;0,"Missing ID",""),IF(COUNTIF($A$7:$A$307,A130)&gt;1,"Duplicate ID",IF(AND(E130="Complete",K130=""),"Evidence missing",IF(AND(E130&lt;&gt;"Not started",E130&lt;&gt;"In progress",E130&lt;&gt;"In review",E130&lt;&gt;"Complete"),"Choose a status",""))))</f>
        <v/>
      </c>
    </row>
    <row r="131" customFormat="false" ht="44" hidden="false" customHeight="true" outlineLevel="0" collapsed="false">
      <c r="A131" s="29"/>
      <c r="B131" s="29"/>
      <c r="C131" s="29"/>
      <c r="D131" s="29"/>
      <c r="E131" s="34"/>
      <c r="F131" s="29"/>
      <c r="G131" s="29"/>
      <c r="H131" s="29"/>
      <c r="I131" s="29"/>
      <c r="J131" s="29"/>
      <c r="K131" s="34"/>
      <c r="L131" s="35" t="str">
        <f aca="false">IF(A131="",IF(SUMPRODUCT(--(B131:K131&lt;&gt;""))&gt;0,"Missing ID",""),IF(COUNTIF($A$7:$A$307,A131)&gt;1,"Duplicate ID",IF(AND(E131="Complete",K131=""),"Evidence missing",IF(AND(E131&lt;&gt;"Not started",E131&lt;&gt;"In progress",E131&lt;&gt;"In review",E131&lt;&gt;"Complete"),"Choose a status",""))))</f>
        <v/>
      </c>
    </row>
    <row r="132" customFormat="false" ht="44" hidden="false" customHeight="true" outlineLevel="0" collapsed="false">
      <c r="A132" s="29"/>
      <c r="B132" s="29"/>
      <c r="C132" s="29"/>
      <c r="D132" s="29"/>
      <c r="E132" s="34"/>
      <c r="F132" s="29"/>
      <c r="G132" s="29"/>
      <c r="H132" s="29"/>
      <c r="I132" s="29"/>
      <c r="J132" s="29"/>
      <c r="K132" s="34"/>
      <c r="L132" s="35" t="str">
        <f aca="false">IF(A132="",IF(SUMPRODUCT(--(B132:K132&lt;&gt;""))&gt;0,"Missing ID",""),IF(COUNTIF($A$7:$A$307,A132)&gt;1,"Duplicate ID",IF(AND(E132="Complete",K132=""),"Evidence missing",IF(AND(E132&lt;&gt;"Not started",E132&lt;&gt;"In progress",E132&lt;&gt;"In review",E132&lt;&gt;"Complete"),"Choose a status",""))))</f>
        <v/>
      </c>
    </row>
    <row r="133" customFormat="false" ht="44" hidden="false" customHeight="true" outlineLevel="0" collapsed="false">
      <c r="A133" s="29"/>
      <c r="B133" s="29"/>
      <c r="C133" s="29"/>
      <c r="D133" s="29"/>
      <c r="E133" s="34"/>
      <c r="F133" s="29"/>
      <c r="G133" s="29"/>
      <c r="H133" s="29"/>
      <c r="I133" s="29"/>
      <c r="J133" s="29"/>
      <c r="K133" s="34"/>
      <c r="L133" s="35" t="str">
        <f aca="false">IF(A133="",IF(SUMPRODUCT(--(B133:K133&lt;&gt;""))&gt;0,"Missing ID",""),IF(COUNTIF($A$7:$A$307,A133)&gt;1,"Duplicate ID",IF(AND(E133="Complete",K133=""),"Evidence missing",IF(AND(E133&lt;&gt;"Not started",E133&lt;&gt;"In progress",E133&lt;&gt;"In review",E133&lt;&gt;"Complete"),"Choose a status",""))))</f>
        <v/>
      </c>
    </row>
    <row r="134" customFormat="false" ht="44" hidden="false" customHeight="true" outlineLevel="0" collapsed="false">
      <c r="A134" s="29"/>
      <c r="B134" s="29"/>
      <c r="C134" s="29"/>
      <c r="D134" s="29"/>
      <c r="E134" s="34"/>
      <c r="F134" s="29"/>
      <c r="G134" s="29"/>
      <c r="H134" s="29"/>
      <c r="I134" s="29"/>
      <c r="J134" s="29"/>
      <c r="K134" s="34"/>
      <c r="L134" s="35" t="str">
        <f aca="false">IF(A134="",IF(SUMPRODUCT(--(B134:K134&lt;&gt;""))&gt;0,"Missing ID",""),IF(COUNTIF($A$7:$A$307,A134)&gt;1,"Duplicate ID",IF(AND(E134="Complete",K134=""),"Evidence missing",IF(AND(E134&lt;&gt;"Not started",E134&lt;&gt;"In progress",E134&lt;&gt;"In review",E134&lt;&gt;"Complete"),"Choose a status",""))))</f>
        <v/>
      </c>
    </row>
    <row r="135" customFormat="false" ht="44" hidden="false" customHeight="true" outlineLevel="0" collapsed="false">
      <c r="A135" s="29"/>
      <c r="B135" s="29"/>
      <c r="C135" s="29"/>
      <c r="D135" s="29"/>
      <c r="E135" s="34"/>
      <c r="F135" s="29"/>
      <c r="G135" s="29"/>
      <c r="H135" s="29"/>
      <c r="I135" s="29"/>
      <c r="J135" s="29"/>
      <c r="K135" s="34"/>
      <c r="L135" s="35" t="str">
        <f aca="false">IF(A135="",IF(SUMPRODUCT(--(B135:K135&lt;&gt;""))&gt;0,"Missing ID",""),IF(COUNTIF($A$7:$A$307,A135)&gt;1,"Duplicate ID",IF(AND(E135="Complete",K135=""),"Evidence missing",IF(AND(E135&lt;&gt;"Not started",E135&lt;&gt;"In progress",E135&lt;&gt;"In review",E135&lt;&gt;"Complete"),"Choose a status",""))))</f>
        <v/>
      </c>
    </row>
    <row r="136" customFormat="false" ht="44" hidden="false" customHeight="true" outlineLevel="0" collapsed="false">
      <c r="A136" s="29"/>
      <c r="B136" s="29"/>
      <c r="C136" s="29"/>
      <c r="D136" s="29"/>
      <c r="E136" s="34"/>
      <c r="F136" s="29"/>
      <c r="G136" s="29"/>
      <c r="H136" s="29"/>
      <c r="I136" s="29"/>
      <c r="J136" s="29"/>
      <c r="K136" s="34"/>
      <c r="L136" s="35" t="str">
        <f aca="false">IF(A136="",IF(SUMPRODUCT(--(B136:K136&lt;&gt;""))&gt;0,"Missing ID",""),IF(COUNTIF($A$7:$A$307,A136)&gt;1,"Duplicate ID",IF(AND(E136="Complete",K136=""),"Evidence missing",IF(AND(E136&lt;&gt;"Not started",E136&lt;&gt;"In progress",E136&lt;&gt;"In review",E136&lt;&gt;"Complete"),"Choose a status",""))))</f>
        <v/>
      </c>
    </row>
    <row r="137" customFormat="false" ht="44" hidden="false" customHeight="true" outlineLevel="0" collapsed="false">
      <c r="A137" s="29"/>
      <c r="B137" s="29"/>
      <c r="C137" s="29"/>
      <c r="D137" s="29"/>
      <c r="E137" s="34"/>
      <c r="F137" s="29"/>
      <c r="G137" s="29"/>
      <c r="H137" s="29"/>
      <c r="I137" s="29"/>
      <c r="J137" s="29"/>
      <c r="K137" s="34"/>
      <c r="L137" s="35" t="str">
        <f aca="false">IF(A137="",IF(SUMPRODUCT(--(B137:K137&lt;&gt;""))&gt;0,"Missing ID",""),IF(COUNTIF($A$7:$A$307,A137)&gt;1,"Duplicate ID",IF(AND(E137="Complete",K137=""),"Evidence missing",IF(AND(E137&lt;&gt;"Not started",E137&lt;&gt;"In progress",E137&lt;&gt;"In review",E137&lt;&gt;"Complete"),"Choose a status",""))))</f>
        <v/>
      </c>
    </row>
    <row r="138" customFormat="false" ht="44" hidden="false" customHeight="true" outlineLevel="0" collapsed="false">
      <c r="A138" s="29"/>
      <c r="B138" s="29"/>
      <c r="C138" s="29"/>
      <c r="D138" s="29"/>
      <c r="E138" s="34"/>
      <c r="F138" s="29"/>
      <c r="G138" s="29"/>
      <c r="H138" s="29"/>
      <c r="I138" s="29"/>
      <c r="J138" s="29"/>
      <c r="K138" s="34"/>
      <c r="L138" s="35" t="str">
        <f aca="false">IF(A138="",IF(SUMPRODUCT(--(B138:K138&lt;&gt;""))&gt;0,"Missing ID",""),IF(COUNTIF($A$7:$A$307,A138)&gt;1,"Duplicate ID",IF(AND(E138="Complete",K138=""),"Evidence missing",IF(AND(E138&lt;&gt;"Not started",E138&lt;&gt;"In progress",E138&lt;&gt;"In review",E138&lt;&gt;"Complete"),"Choose a status",""))))</f>
        <v/>
      </c>
    </row>
    <row r="139" customFormat="false" ht="44" hidden="false" customHeight="true" outlineLevel="0" collapsed="false">
      <c r="A139" s="29"/>
      <c r="B139" s="29"/>
      <c r="C139" s="29"/>
      <c r="D139" s="29"/>
      <c r="E139" s="34"/>
      <c r="F139" s="29"/>
      <c r="G139" s="29"/>
      <c r="H139" s="29"/>
      <c r="I139" s="29"/>
      <c r="J139" s="29"/>
      <c r="K139" s="34"/>
      <c r="L139" s="35" t="str">
        <f aca="false">IF(A139="",IF(SUMPRODUCT(--(B139:K139&lt;&gt;""))&gt;0,"Missing ID",""),IF(COUNTIF($A$7:$A$307,A139)&gt;1,"Duplicate ID",IF(AND(E139="Complete",K139=""),"Evidence missing",IF(AND(E139&lt;&gt;"Not started",E139&lt;&gt;"In progress",E139&lt;&gt;"In review",E139&lt;&gt;"Complete"),"Choose a status",""))))</f>
        <v/>
      </c>
    </row>
    <row r="140" customFormat="false" ht="44" hidden="false" customHeight="true" outlineLevel="0" collapsed="false">
      <c r="A140" s="29"/>
      <c r="B140" s="29"/>
      <c r="C140" s="29"/>
      <c r="D140" s="29"/>
      <c r="E140" s="34"/>
      <c r="F140" s="29"/>
      <c r="G140" s="29"/>
      <c r="H140" s="29"/>
      <c r="I140" s="29"/>
      <c r="J140" s="29"/>
      <c r="K140" s="34"/>
      <c r="L140" s="35" t="str">
        <f aca="false">IF(A140="",IF(SUMPRODUCT(--(B140:K140&lt;&gt;""))&gt;0,"Missing ID",""),IF(COUNTIF($A$7:$A$307,A140)&gt;1,"Duplicate ID",IF(AND(E140="Complete",K140=""),"Evidence missing",IF(AND(E140&lt;&gt;"Not started",E140&lt;&gt;"In progress",E140&lt;&gt;"In review",E140&lt;&gt;"Complete"),"Choose a status",""))))</f>
        <v/>
      </c>
    </row>
    <row r="141" customFormat="false" ht="44" hidden="false" customHeight="true" outlineLevel="0" collapsed="false">
      <c r="A141" s="29"/>
      <c r="B141" s="29"/>
      <c r="C141" s="29"/>
      <c r="D141" s="29"/>
      <c r="E141" s="34"/>
      <c r="F141" s="29"/>
      <c r="G141" s="29"/>
      <c r="H141" s="29"/>
      <c r="I141" s="29"/>
      <c r="J141" s="29"/>
      <c r="K141" s="34"/>
      <c r="L141" s="35" t="str">
        <f aca="false">IF(A141="",IF(SUMPRODUCT(--(B141:K141&lt;&gt;""))&gt;0,"Missing ID",""),IF(COUNTIF($A$7:$A$307,A141)&gt;1,"Duplicate ID",IF(AND(E141="Complete",K141=""),"Evidence missing",IF(AND(E141&lt;&gt;"Not started",E141&lt;&gt;"In progress",E141&lt;&gt;"In review",E141&lt;&gt;"Complete"),"Choose a status",""))))</f>
        <v/>
      </c>
    </row>
    <row r="142" customFormat="false" ht="44" hidden="false" customHeight="true" outlineLevel="0" collapsed="false">
      <c r="A142" s="29"/>
      <c r="B142" s="29"/>
      <c r="C142" s="29"/>
      <c r="D142" s="29"/>
      <c r="E142" s="34"/>
      <c r="F142" s="29"/>
      <c r="G142" s="29"/>
      <c r="H142" s="29"/>
      <c r="I142" s="29"/>
      <c r="J142" s="29"/>
      <c r="K142" s="34"/>
      <c r="L142" s="35" t="str">
        <f aca="false">IF(A142="",IF(SUMPRODUCT(--(B142:K142&lt;&gt;""))&gt;0,"Missing ID",""),IF(COUNTIF($A$7:$A$307,A142)&gt;1,"Duplicate ID",IF(AND(E142="Complete",K142=""),"Evidence missing",IF(AND(E142&lt;&gt;"Not started",E142&lt;&gt;"In progress",E142&lt;&gt;"In review",E142&lt;&gt;"Complete"),"Choose a status",""))))</f>
        <v/>
      </c>
    </row>
    <row r="143" customFormat="false" ht="44" hidden="false" customHeight="true" outlineLevel="0" collapsed="false">
      <c r="A143" s="29"/>
      <c r="B143" s="29"/>
      <c r="C143" s="29"/>
      <c r="D143" s="29"/>
      <c r="E143" s="34"/>
      <c r="F143" s="29"/>
      <c r="G143" s="29"/>
      <c r="H143" s="29"/>
      <c r="I143" s="29"/>
      <c r="J143" s="29"/>
      <c r="K143" s="34"/>
      <c r="L143" s="35" t="str">
        <f aca="false">IF(A143="",IF(SUMPRODUCT(--(B143:K143&lt;&gt;""))&gt;0,"Missing ID",""),IF(COUNTIF($A$7:$A$307,A143)&gt;1,"Duplicate ID",IF(AND(E143="Complete",K143=""),"Evidence missing",IF(AND(E143&lt;&gt;"Not started",E143&lt;&gt;"In progress",E143&lt;&gt;"In review",E143&lt;&gt;"Complete"),"Choose a status",""))))</f>
        <v/>
      </c>
    </row>
    <row r="144" customFormat="false" ht="44" hidden="false" customHeight="true" outlineLevel="0" collapsed="false">
      <c r="A144" s="29"/>
      <c r="B144" s="29"/>
      <c r="C144" s="29"/>
      <c r="D144" s="29"/>
      <c r="E144" s="34"/>
      <c r="F144" s="29"/>
      <c r="G144" s="29"/>
      <c r="H144" s="29"/>
      <c r="I144" s="29"/>
      <c r="J144" s="29"/>
      <c r="K144" s="34"/>
      <c r="L144" s="35" t="str">
        <f aca="false">IF(A144="",IF(SUMPRODUCT(--(B144:K144&lt;&gt;""))&gt;0,"Missing ID",""),IF(COUNTIF($A$7:$A$307,A144)&gt;1,"Duplicate ID",IF(AND(E144="Complete",K144=""),"Evidence missing",IF(AND(E144&lt;&gt;"Not started",E144&lt;&gt;"In progress",E144&lt;&gt;"In review",E144&lt;&gt;"Complete"),"Choose a status",""))))</f>
        <v/>
      </c>
    </row>
    <row r="145" customFormat="false" ht="44" hidden="false" customHeight="true" outlineLevel="0" collapsed="false">
      <c r="A145" s="29"/>
      <c r="B145" s="29"/>
      <c r="C145" s="29"/>
      <c r="D145" s="29"/>
      <c r="E145" s="34"/>
      <c r="F145" s="29"/>
      <c r="G145" s="29"/>
      <c r="H145" s="29"/>
      <c r="I145" s="29"/>
      <c r="J145" s="29"/>
      <c r="K145" s="34"/>
      <c r="L145" s="35" t="str">
        <f aca="false">IF(A145="",IF(SUMPRODUCT(--(B145:K145&lt;&gt;""))&gt;0,"Missing ID",""),IF(COUNTIF($A$7:$A$307,A145)&gt;1,"Duplicate ID",IF(AND(E145="Complete",K145=""),"Evidence missing",IF(AND(E145&lt;&gt;"Not started",E145&lt;&gt;"In progress",E145&lt;&gt;"In review",E145&lt;&gt;"Complete"),"Choose a status",""))))</f>
        <v/>
      </c>
    </row>
    <row r="146" customFormat="false" ht="44" hidden="false" customHeight="true" outlineLevel="0" collapsed="false">
      <c r="A146" s="29"/>
      <c r="B146" s="29"/>
      <c r="C146" s="29"/>
      <c r="D146" s="29"/>
      <c r="E146" s="34"/>
      <c r="F146" s="29"/>
      <c r="G146" s="29"/>
      <c r="H146" s="29"/>
      <c r="I146" s="29"/>
      <c r="J146" s="29"/>
      <c r="K146" s="34"/>
      <c r="L146" s="35" t="str">
        <f aca="false">IF(A146="",IF(SUMPRODUCT(--(B146:K146&lt;&gt;""))&gt;0,"Missing ID",""),IF(COUNTIF($A$7:$A$307,A146)&gt;1,"Duplicate ID",IF(AND(E146="Complete",K146=""),"Evidence missing",IF(AND(E146&lt;&gt;"Not started",E146&lt;&gt;"In progress",E146&lt;&gt;"In review",E146&lt;&gt;"Complete"),"Choose a status",""))))</f>
        <v/>
      </c>
    </row>
    <row r="147" customFormat="false" ht="44" hidden="false" customHeight="true" outlineLevel="0" collapsed="false">
      <c r="A147" s="29"/>
      <c r="B147" s="29"/>
      <c r="C147" s="29"/>
      <c r="D147" s="29"/>
      <c r="E147" s="34"/>
      <c r="F147" s="29"/>
      <c r="G147" s="29"/>
      <c r="H147" s="29"/>
      <c r="I147" s="29"/>
      <c r="J147" s="29"/>
      <c r="K147" s="34"/>
      <c r="L147" s="35" t="str">
        <f aca="false">IF(A147="",IF(SUMPRODUCT(--(B147:K147&lt;&gt;""))&gt;0,"Missing ID",""),IF(COUNTIF($A$7:$A$307,A147)&gt;1,"Duplicate ID",IF(AND(E147="Complete",K147=""),"Evidence missing",IF(AND(E147&lt;&gt;"Not started",E147&lt;&gt;"In progress",E147&lt;&gt;"In review",E147&lt;&gt;"Complete"),"Choose a status",""))))</f>
        <v/>
      </c>
    </row>
    <row r="148" customFormat="false" ht="44" hidden="false" customHeight="true" outlineLevel="0" collapsed="false">
      <c r="A148" s="29"/>
      <c r="B148" s="29"/>
      <c r="C148" s="29"/>
      <c r="D148" s="29"/>
      <c r="E148" s="34"/>
      <c r="F148" s="29"/>
      <c r="G148" s="29"/>
      <c r="H148" s="29"/>
      <c r="I148" s="29"/>
      <c r="J148" s="29"/>
      <c r="K148" s="34"/>
      <c r="L148" s="35" t="str">
        <f aca="false">IF(A148="",IF(SUMPRODUCT(--(B148:K148&lt;&gt;""))&gt;0,"Missing ID",""),IF(COUNTIF($A$7:$A$307,A148)&gt;1,"Duplicate ID",IF(AND(E148="Complete",K148=""),"Evidence missing",IF(AND(E148&lt;&gt;"Not started",E148&lt;&gt;"In progress",E148&lt;&gt;"In review",E148&lt;&gt;"Complete"),"Choose a status",""))))</f>
        <v/>
      </c>
    </row>
    <row r="149" customFormat="false" ht="44" hidden="false" customHeight="true" outlineLevel="0" collapsed="false">
      <c r="A149" s="29"/>
      <c r="B149" s="29"/>
      <c r="C149" s="29"/>
      <c r="D149" s="29"/>
      <c r="E149" s="34"/>
      <c r="F149" s="29"/>
      <c r="G149" s="29"/>
      <c r="H149" s="29"/>
      <c r="I149" s="29"/>
      <c r="J149" s="29"/>
      <c r="K149" s="34"/>
      <c r="L149" s="35" t="str">
        <f aca="false">IF(A149="",IF(SUMPRODUCT(--(B149:K149&lt;&gt;""))&gt;0,"Missing ID",""),IF(COUNTIF($A$7:$A$307,A149)&gt;1,"Duplicate ID",IF(AND(E149="Complete",K149=""),"Evidence missing",IF(AND(E149&lt;&gt;"Not started",E149&lt;&gt;"In progress",E149&lt;&gt;"In review",E149&lt;&gt;"Complete"),"Choose a status",""))))</f>
        <v/>
      </c>
    </row>
    <row r="150" customFormat="false" ht="44" hidden="false" customHeight="true" outlineLevel="0" collapsed="false">
      <c r="A150" s="29"/>
      <c r="B150" s="29"/>
      <c r="C150" s="29"/>
      <c r="D150" s="29"/>
      <c r="E150" s="34"/>
      <c r="F150" s="29"/>
      <c r="G150" s="29"/>
      <c r="H150" s="29"/>
      <c r="I150" s="29"/>
      <c r="J150" s="29"/>
      <c r="K150" s="34"/>
      <c r="L150" s="35" t="str">
        <f aca="false">IF(A150="",IF(SUMPRODUCT(--(B150:K150&lt;&gt;""))&gt;0,"Missing ID",""),IF(COUNTIF($A$7:$A$307,A150)&gt;1,"Duplicate ID",IF(AND(E150="Complete",K150=""),"Evidence missing",IF(AND(E150&lt;&gt;"Not started",E150&lt;&gt;"In progress",E150&lt;&gt;"In review",E150&lt;&gt;"Complete"),"Choose a status",""))))</f>
        <v/>
      </c>
    </row>
    <row r="151" customFormat="false" ht="44" hidden="false" customHeight="true" outlineLevel="0" collapsed="false">
      <c r="A151" s="29"/>
      <c r="B151" s="29"/>
      <c r="C151" s="29"/>
      <c r="D151" s="29"/>
      <c r="E151" s="34"/>
      <c r="F151" s="29"/>
      <c r="G151" s="29"/>
      <c r="H151" s="29"/>
      <c r="I151" s="29"/>
      <c r="J151" s="29"/>
      <c r="K151" s="34"/>
      <c r="L151" s="35" t="str">
        <f aca="false">IF(A151="",IF(SUMPRODUCT(--(B151:K151&lt;&gt;""))&gt;0,"Missing ID",""),IF(COUNTIF($A$7:$A$307,A151)&gt;1,"Duplicate ID",IF(AND(E151="Complete",K151=""),"Evidence missing",IF(AND(E151&lt;&gt;"Not started",E151&lt;&gt;"In progress",E151&lt;&gt;"In review",E151&lt;&gt;"Complete"),"Choose a status",""))))</f>
        <v/>
      </c>
    </row>
    <row r="152" customFormat="false" ht="44" hidden="false" customHeight="true" outlineLevel="0" collapsed="false">
      <c r="A152" s="29"/>
      <c r="B152" s="29"/>
      <c r="C152" s="29"/>
      <c r="D152" s="29"/>
      <c r="E152" s="34"/>
      <c r="F152" s="29"/>
      <c r="G152" s="29"/>
      <c r="H152" s="29"/>
      <c r="I152" s="29"/>
      <c r="J152" s="29"/>
      <c r="K152" s="34"/>
      <c r="L152" s="35" t="str">
        <f aca="false">IF(A152="",IF(SUMPRODUCT(--(B152:K152&lt;&gt;""))&gt;0,"Missing ID",""),IF(COUNTIF($A$7:$A$307,A152)&gt;1,"Duplicate ID",IF(AND(E152="Complete",K152=""),"Evidence missing",IF(AND(E152&lt;&gt;"Not started",E152&lt;&gt;"In progress",E152&lt;&gt;"In review",E152&lt;&gt;"Complete"),"Choose a status",""))))</f>
        <v/>
      </c>
    </row>
    <row r="153" customFormat="false" ht="44" hidden="false" customHeight="true" outlineLevel="0" collapsed="false">
      <c r="A153" s="29"/>
      <c r="B153" s="29"/>
      <c r="C153" s="29"/>
      <c r="D153" s="29"/>
      <c r="E153" s="34"/>
      <c r="F153" s="29"/>
      <c r="G153" s="29"/>
      <c r="H153" s="29"/>
      <c r="I153" s="29"/>
      <c r="J153" s="29"/>
      <c r="K153" s="34"/>
      <c r="L153" s="35" t="str">
        <f aca="false">IF(A153="",IF(SUMPRODUCT(--(B153:K153&lt;&gt;""))&gt;0,"Missing ID",""),IF(COUNTIF($A$7:$A$307,A153)&gt;1,"Duplicate ID",IF(AND(E153="Complete",K153=""),"Evidence missing",IF(AND(E153&lt;&gt;"Not started",E153&lt;&gt;"In progress",E153&lt;&gt;"In review",E153&lt;&gt;"Complete"),"Choose a status",""))))</f>
        <v/>
      </c>
    </row>
    <row r="154" customFormat="false" ht="44" hidden="false" customHeight="true" outlineLevel="0" collapsed="false">
      <c r="A154" s="29"/>
      <c r="B154" s="29"/>
      <c r="C154" s="29"/>
      <c r="D154" s="29"/>
      <c r="E154" s="34"/>
      <c r="F154" s="29"/>
      <c r="G154" s="29"/>
      <c r="H154" s="29"/>
      <c r="I154" s="29"/>
      <c r="J154" s="29"/>
      <c r="K154" s="34"/>
      <c r="L154" s="35" t="str">
        <f aca="false">IF(A154="",IF(SUMPRODUCT(--(B154:K154&lt;&gt;""))&gt;0,"Missing ID",""),IF(COUNTIF($A$7:$A$307,A154)&gt;1,"Duplicate ID",IF(AND(E154="Complete",K154=""),"Evidence missing",IF(AND(E154&lt;&gt;"Not started",E154&lt;&gt;"In progress",E154&lt;&gt;"In review",E154&lt;&gt;"Complete"),"Choose a status",""))))</f>
        <v/>
      </c>
    </row>
    <row r="155" customFormat="false" ht="44" hidden="false" customHeight="true" outlineLevel="0" collapsed="false">
      <c r="A155" s="29"/>
      <c r="B155" s="29"/>
      <c r="C155" s="29"/>
      <c r="D155" s="29"/>
      <c r="E155" s="34"/>
      <c r="F155" s="29"/>
      <c r="G155" s="29"/>
      <c r="H155" s="29"/>
      <c r="I155" s="29"/>
      <c r="J155" s="29"/>
      <c r="K155" s="34"/>
      <c r="L155" s="35" t="str">
        <f aca="false">IF(A155="",IF(SUMPRODUCT(--(B155:K155&lt;&gt;""))&gt;0,"Missing ID",""),IF(COUNTIF($A$7:$A$307,A155)&gt;1,"Duplicate ID",IF(AND(E155="Complete",K155=""),"Evidence missing",IF(AND(E155&lt;&gt;"Not started",E155&lt;&gt;"In progress",E155&lt;&gt;"In review",E155&lt;&gt;"Complete"),"Choose a status",""))))</f>
        <v/>
      </c>
    </row>
    <row r="156" customFormat="false" ht="44" hidden="false" customHeight="true" outlineLevel="0" collapsed="false">
      <c r="A156" s="29"/>
      <c r="B156" s="29"/>
      <c r="C156" s="29"/>
      <c r="D156" s="29"/>
      <c r="E156" s="34"/>
      <c r="F156" s="29"/>
      <c r="G156" s="29"/>
      <c r="H156" s="29"/>
      <c r="I156" s="29"/>
      <c r="J156" s="29"/>
      <c r="K156" s="34"/>
      <c r="L156" s="35" t="str">
        <f aca="false">IF(A156="",IF(SUMPRODUCT(--(B156:K156&lt;&gt;""))&gt;0,"Missing ID",""),IF(COUNTIF($A$7:$A$307,A156)&gt;1,"Duplicate ID",IF(AND(E156="Complete",K156=""),"Evidence missing",IF(AND(E156&lt;&gt;"Not started",E156&lt;&gt;"In progress",E156&lt;&gt;"In review",E156&lt;&gt;"Complete"),"Choose a status",""))))</f>
        <v/>
      </c>
    </row>
    <row r="157" customFormat="false" ht="44" hidden="false" customHeight="true" outlineLevel="0" collapsed="false">
      <c r="A157" s="29"/>
      <c r="B157" s="29"/>
      <c r="C157" s="29"/>
      <c r="D157" s="29"/>
      <c r="E157" s="34"/>
      <c r="F157" s="29"/>
      <c r="G157" s="29"/>
      <c r="H157" s="29"/>
      <c r="I157" s="29"/>
      <c r="J157" s="29"/>
      <c r="K157" s="34"/>
      <c r="L157" s="35" t="str">
        <f aca="false">IF(A157="",IF(SUMPRODUCT(--(B157:K157&lt;&gt;""))&gt;0,"Missing ID",""),IF(COUNTIF($A$7:$A$307,A157)&gt;1,"Duplicate ID",IF(AND(E157="Complete",K157=""),"Evidence missing",IF(AND(E157&lt;&gt;"Not started",E157&lt;&gt;"In progress",E157&lt;&gt;"In review",E157&lt;&gt;"Complete"),"Choose a status",""))))</f>
        <v/>
      </c>
    </row>
    <row r="158" customFormat="false" ht="44" hidden="false" customHeight="true" outlineLevel="0" collapsed="false">
      <c r="A158" s="29"/>
      <c r="B158" s="29"/>
      <c r="C158" s="29"/>
      <c r="D158" s="29"/>
      <c r="E158" s="34"/>
      <c r="F158" s="29"/>
      <c r="G158" s="29"/>
      <c r="H158" s="29"/>
      <c r="I158" s="29"/>
      <c r="J158" s="29"/>
      <c r="K158" s="34"/>
      <c r="L158" s="35" t="str">
        <f aca="false">IF(A158="",IF(SUMPRODUCT(--(B158:K158&lt;&gt;""))&gt;0,"Missing ID",""),IF(COUNTIF($A$7:$A$307,A158)&gt;1,"Duplicate ID",IF(AND(E158="Complete",K158=""),"Evidence missing",IF(AND(E158&lt;&gt;"Not started",E158&lt;&gt;"In progress",E158&lt;&gt;"In review",E158&lt;&gt;"Complete"),"Choose a status",""))))</f>
        <v/>
      </c>
    </row>
    <row r="159" customFormat="false" ht="44" hidden="false" customHeight="true" outlineLevel="0" collapsed="false">
      <c r="A159" s="29"/>
      <c r="B159" s="29"/>
      <c r="C159" s="29"/>
      <c r="D159" s="29"/>
      <c r="E159" s="34"/>
      <c r="F159" s="29"/>
      <c r="G159" s="29"/>
      <c r="H159" s="29"/>
      <c r="I159" s="29"/>
      <c r="J159" s="29"/>
      <c r="K159" s="34"/>
      <c r="L159" s="35" t="str">
        <f aca="false">IF(A159="",IF(SUMPRODUCT(--(B159:K159&lt;&gt;""))&gt;0,"Missing ID",""),IF(COUNTIF($A$7:$A$307,A159)&gt;1,"Duplicate ID",IF(AND(E159="Complete",K159=""),"Evidence missing",IF(AND(E159&lt;&gt;"Not started",E159&lt;&gt;"In progress",E159&lt;&gt;"In review",E159&lt;&gt;"Complete"),"Choose a status",""))))</f>
        <v/>
      </c>
    </row>
    <row r="160" customFormat="false" ht="44" hidden="false" customHeight="true" outlineLevel="0" collapsed="false">
      <c r="A160" s="29"/>
      <c r="B160" s="29"/>
      <c r="C160" s="29"/>
      <c r="D160" s="29"/>
      <c r="E160" s="34"/>
      <c r="F160" s="29"/>
      <c r="G160" s="29"/>
      <c r="H160" s="29"/>
      <c r="I160" s="29"/>
      <c r="J160" s="29"/>
      <c r="K160" s="34"/>
      <c r="L160" s="35" t="str">
        <f aca="false">IF(A160="",IF(SUMPRODUCT(--(B160:K160&lt;&gt;""))&gt;0,"Missing ID",""),IF(COUNTIF($A$7:$A$307,A160)&gt;1,"Duplicate ID",IF(AND(E160="Complete",K160=""),"Evidence missing",IF(AND(E160&lt;&gt;"Not started",E160&lt;&gt;"In progress",E160&lt;&gt;"In review",E160&lt;&gt;"Complete"),"Choose a status",""))))</f>
        <v/>
      </c>
    </row>
    <row r="161" customFormat="false" ht="44" hidden="false" customHeight="true" outlineLevel="0" collapsed="false">
      <c r="A161" s="29"/>
      <c r="B161" s="29"/>
      <c r="C161" s="29"/>
      <c r="D161" s="29"/>
      <c r="E161" s="34"/>
      <c r="F161" s="29"/>
      <c r="G161" s="29"/>
      <c r="H161" s="29"/>
      <c r="I161" s="29"/>
      <c r="J161" s="29"/>
      <c r="K161" s="34"/>
      <c r="L161" s="35" t="str">
        <f aca="false">IF(A161="",IF(SUMPRODUCT(--(B161:K161&lt;&gt;""))&gt;0,"Missing ID",""),IF(COUNTIF($A$7:$A$307,A161)&gt;1,"Duplicate ID",IF(AND(E161="Complete",K161=""),"Evidence missing",IF(AND(E161&lt;&gt;"Not started",E161&lt;&gt;"In progress",E161&lt;&gt;"In review",E161&lt;&gt;"Complete"),"Choose a status",""))))</f>
        <v/>
      </c>
    </row>
    <row r="162" customFormat="false" ht="44" hidden="false" customHeight="true" outlineLevel="0" collapsed="false">
      <c r="A162" s="29"/>
      <c r="B162" s="29"/>
      <c r="C162" s="29"/>
      <c r="D162" s="29"/>
      <c r="E162" s="34"/>
      <c r="F162" s="29"/>
      <c r="G162" s="29"/>
      <c r="H162" s="29"/>
      <c r="I162" s="29"/>
      <c r="J162" s="29"/>
      <c r="K162" s="34"/>
      <c r="L162" s="35" t="str">
        <f aca="false">IF(A162="",IF(SUMPRODUCT(--(B162:K162&lt;&gt;""))&gt;0,"Missing ID",""),IF(COUNTIF($A$7:$A$307,A162)&gt;1,"Duplicate ID",IF(AND(E162="Complete",K162=""),"Evidence missing",IF(AND(E162&lt;&gt;"Not started",E162&lt;&gt;"In progress",E162&lt;&gt;"In review",E162&lt;&gt;"Complete"),"Choose a status",""))))</f>
        <v/>
      </c>
    </row>
    <row r="163" customFormat="false" ht="44" hidden="false" customHeight="true" outlineLevel="0" collapsed="false">
      <c r="A163" s="29"/>
      <c r="B163" s="29"/>
      <c r="C163" s="29"/>
      <c r="D163" s="29"/>
      <c r="E163" s="34"/>
      <c r="F163" s="29"/>
      <c r="G163" s="29"/>
      <c r="H163" s="29"/>
      <c r="I163" s="29"/>
      <c r="J163" s="29"/>
      <c r="K163" s="34"/>
      <c r="L163" s="35" t="str">
        <f aca="false">IF(A163="",IF(SUMPRODUCT(--(B163:K163&lt;&gt;""))&gt;0,"Missing ID",""),IF(COUNTIF($A$7:$A$307,A163)&gt;1,"Duplicate ID",IF(AND(E163="Complete",K163=""),"Evidence missing",IF(AND(E163&lt;&gt;"Not started",E163&lt;&gt;"In progress",E163&lt;&gt;"In review",E163&lt;&gt;"Complete"),"Choose a status",""))))</f>
        <v/>
      </c>
    </row>
    <row r="164" customFormat="false" ht="44" hidden="false" customHeight="true" outlineLevel="0" collapsed="false">
      <c r="A164" s="29"/>
      <c r="B164" s="29"/>
      <c r="C164" s="29"/>
      <c r="D164" s="29"/>
      <c r="E164" s="34"/>
      <c r="F164" s="29"/>
      <c r="G164" s="29"/>
      <c r="H164" s="29"/>
      <c r="I164" s="29"/>
      <c r="J164" s="29"/>
      <c r="K164" s="34"/>
      <c r="L164" s="35" t="str">
        <f aca="false">IF(A164="",IF(SUMPRODUCT(--(B164:K164&lt;&gt;""))&gt;0,"Missing ID",""),IF(COUNTIF($A$7:$A$307,A164)&gt;1,"Duplicate ID",IF(AND(E164="Complete",K164=""),"Evidence missing",IF(AND(E164&lt;&gt;"Not started",E164&lt;&gt;"In progress",E164&lt;&gt;"In review",E164&lt;&gt;"Complete"),"Choose a status",""))))</f>
        <v/>
      </c>
    </row>
    <row r="165" customFormat="false" ht="44" hidden="false" customHeight="true" outlineLevel="0" collapsed="false">
      <c r="A165" s="29"/>
      <c r="B165" s="29"/>
      <c r="C165" s="29"/>
      <c r="D165" s="29"/>
      <c r="E165" s="34"/>
      <c r="F165" s="29"/>
      <c r="G165" s="29"/>
      <c r="H165" s="29"/>
      <c r="I165" s="29"/>
      <c r="J165" s="29"/>
      <c r="K165" s="34"/>
      <c r="L165" s="35" t="str">
        <f aca="false">IF(A165="",IF(SUMPRODUCT(--(B165:K165&lt;&gt;""))&gt;0,"Missing ID",""),IF(COUNTIF($A$7:$A$307,A165)&gt;1,"Duplicate ID",IF(AND(E165="Complete",K165=""),"Evidence missing",IF(AND(E165&lt;&gt;"Not started",E165&lt;&gt;"In progress",E165&lt;&gt;"In review",E165&lt;&gt;"Complete"),"Choose a status",""))))</f>
        <v/>
      </c>
    </row>
    <row r="166" customFormat="false" ht="44" hidden="false" customHeight="true" outlineLevel="0" collapsed="false">
      <c r="A166" s="29"/>
      <c r="B166" s="29"/>
      <c r="C166" s="29"/>
      <c r="D166" s="29"/>
      <c r="E166" s="34"/>
      <c r="F166" s="29"/>
      <c r="G166" s="29"/>
      <c r="H166" s="29"/>
      <c r="I166" s="29"/>
      <c r="J166" s="29"/>
      <c r="K166" s="34"/>
      <c r="L166" s="35" t="str">
        <f aca="false">IF(A166="",IF(SUMPRODUCT(--(B166:K166&lt;&gt;""))&gt;0,"Missing ID",""),IF(COUNTIF($A$7:$A$307,A166)&gt;1,"Duplicate ID",IF(AND(E166="Complete",K166=""),"Evidence missing",IF(AND(E166&lt;&gt;"Not started",E166&lt;&gt;"In progress",E166&lt;&gt;"In review",E166&lt;&gt;"Complete"),"Choose a status",""))))</f>
        <v/>
      </c>
    </row>
    <row r="167" customFormat="false" ht="44" hidden="false" customHeight="true" outlineLevel="0" collapsed="false">
      <c r="A167" s="29"/>
      <c r="B167" s="29"/>
      <c r="C167" s="29"/>
      <c r="D167" s="29"/>
      <c r="E167" s="34"/>
      <c r="F167" s="29"/>
      <c r="G167" s="29"/>
      <c r="H167" s="29"/>
      <c r="I167" s="29"/>
      <c r="J167" s="29"/>
      <c r="K167" s="34"/>
      <c r="L167" s="35" t="str">
        <f aca="false">IF(A167="",IF(SUMPRODUCT(--(B167:K167&lt;&gt;""))&gt;0,"Missing ID",""),IF(COUNTIF($A$7:$A$307,A167)&gt;1,"Duplicate ID",IF(AND(E167="Complete",K167=""),"Evidence missing",IF(AND(E167&lt;&gt;"Not started",E167&lt;&gt;"In progress",E167&lt;&gt;"In review",E167&lt;&gt;"Complete"),"Choose a status",""))))</f>
        <v/>
      </c>
    </row>
    <row r="168" customFormat="false" ht="44" hidden="false" customHeight="true" outlineLevel="0" collapsed="false">
      <c r="A168" s="29"/>
      <c r="B168" s="29"/>
      <c r="C168" s="29"/>
      <c r="D168" s="29"/>
      <c r="E168" s="34"/>
      <c r="F168" s="29"/>
      <c r="G168" s="29"/>
      <c r="H168" s="29"/>
      <c r="I168" s="29"/>
      <c r="J168" s="29"/>
      <c r="K168" s="34"/>
      <c r="L168" s="35" t="str">
        <f aca="false">IF(A168="",IF(SUMPRODUCT(--(B168:K168&lt;&gt;""))&gt;0,"Missing ID",""),IF(COUNTIF($A$7:$A$307,A168)&gt;1,"Duplicate ID",IF(AND(E168="Complete",K168=""),"Evidence missing",IF(AND(E168&lt;&gt;"Not started",E168&lt;&gt;"In progress",E168&lt;&gt;"In review",E168&lt;&gt;"Complete"),"Choose a status",""))))</f>
        <v/>
      </c>
    </row>
    <row r="169" customFormat="false" ht="44" hidden="false" customHeight="true" outlineLevel="0" collapsed="false">
      <c r="A169" s="29"/>
      <c r="B169" s="29"/>
      <c r="C169" s="29"/>
      <c r="D169" s="29"/>
      <c r="E169" s="34"/>
      <c r="F169" s="29"/>
      <c r="G169" s="29"/>
      <c r="H169" s="29"/>
      <c r="I169" s="29"/>
      <c r="J169" s="29"/>
      <c r="K169" s="34"/>
      <c r="L169" s="35" t="str">
        <f aca="false">IF(A169="",IF(SUMPRODUCT(--(B169:K169&lt;&gt;""))&gt;0,"Missing ID",""),IF(COUNTIF($A$7:$A$307,A169)&gt;1,"Duplicate ID",IF(AND(E169="Complete",K169=""),"Evidence missing",IF(AND(E169&lt;&gt;"Not started",E169&lt;&gt;"In progress",E169&lt;&gt;"In review",E169&lt;&gt;"Complete"),"Choose a status",""))))</f>
        <v/>
      </c>
    </row>
    <row r="170" customFormat="false" ht="44" hidden="false" customHeight="true" outlineLevel="0" collapsed="false">
      <c r="A170" s="29"/>
      <c r="B170" s="29"/>
      <c r="C170" s="29"/>
      <c r="D170" s="29"/>
      <c r="E170" s="34"/>
      <c r="F170" s="29"/>
      <c r="G170" s="29"/>
      <c r="H170" s="29"/>
      <c r="I170" s="29"/>
      <c r="J170" s="29"/>
      <c r="K170" s="34"/>
      <c r="L170" s="35" t="str">
        <f aca="false">IF(A170="",IF(SUMPRODUCT(--(B170:K170&lt;&gt;""))&gt;0,"Missing ID",""),IF(COUNTIF($A$7:$A$307,A170)&gt;1,"Duplicate ID",IF(AND(E170="Complete",K170=""),"Evidence missing",IF(AND(E170&lt;&gt;"Not started",E170&lt;&gt;"In progress",E170&lt;&gt;"In review",E170&lt;&gt;"Complete"),"Choose a status",""))))</f>
        <v/>
      </c>
    </row>
    <row r="171" customFormat="false" ht="44" hidden="false" customHeight="true" outlineLevel="0" collapsed="false">
      <c r="A171" s="29"/>
      <c r="B171" s="29"/>
      <c r="C171" s="29"/>
      <c r="D171" s="29"/>
      <c r="E171" s="34"/>
      <c r="F171" s="29"/>
      <c r="G171" s="29"/>
      <c r="H171" s="29"/>
      <c r="I171" s="29"/>
      <c r="J171" s="29"/>
      <c r="K171" s="34"/>
      <c r="L171" s="35" t="str">
        <f aca="false">IF(A171="",IF(SUMPRODUCT(--(B171:K171&lt;&gt;""))&gt;0,"Missing ID",""),IF(COUNTIF($A$7:$A$307,A171)&gt;1,"Duplicate ID",IF(AND(E171="Complete",K171=""),"Evidence missing",IF(AND(E171&lt;&gt;"Not started",E171&lt;&gt;"In progress",E171&lt;&gt;"In review",E171&lt;&gt;"Complete"),"Choose a status",""))))</f>
        <v/>
      </c>
    </row>
    <row r="172" customFormat="false" ht="44" hidden="false" customHeight="true" outlineLevel="0" collapsed="false">
      <c r="A172" s="29"/>
      <c r="B172" s="29"/>
      <c r="C172" s="29"/>
      <c r="D172" s="29"/>
      <c r="E172" s="34"/>
      <c r="F172" s="29"/>
      <c r="G172" s="29"/>
      <c r="H172" s="29"/>
      <c r="I172" s="29"/>
      <c r="J172" s="29"/>
      <c r="K172" s="34"/>
      <c r="L172" s="35" t="str">
        <f aca="false">IF(A172="",IF(SUMPRODUCT(--(B172:K172&lt;&gt;""))&gt;0,"Missing ID",""),IF(COUNTIF($A$7:$A$307,A172)&gt;1,"Duplicate ID",IF(AND(E172="Complete",K172=""),"Evidence missing",IF(AND(E172&lt;&gt;"Not started",E172&lt;&gt;"In progress",E172&lt;&gt;"In review",E172&lt;&gt;"Complete"),"Choose a status",""))))</f>
        <v/>
      </c>
    </row>
    <row r="173" customFormat="false" ht="44" hidden="false" customHeight="true" outlineLevel="0" collapsed="false">
      <c r="A173" s="29"/>
      <c r="B173" s="29"/>
      <c r="C173" s="29"/>
      <c r="D173" s="29"/>
      <c r="E173" s="34"/>
      <c r="F173" s="29"/>
      <c r="G173" s="29"/>
      <c r="H173" s="29"/>
      <c r="I173" s="29"/>
      <c r="J173" s="29"/>
      <c r="K173" s="34"/>
      <c r="L173" s="35" t="str">
        <f aca="false">IF(A173="",IF(SUMPRODUCT(--(B173:K173&lt;&gt;""))&gt;0,"Missing ID",""),IF(COUNTIF($A$7:$A$307,A173)&gt;1,"Duplicate ID",IF(AND(E173="Complete",K173=""),"Evidence missing",IF(AND(E173&lt;&gt;"Not started",E173&lt;&gt;"In progress",E173&lt;&gt;"In review",E173&lt;&gt;"Complete"),"Choose a status",""))))</f>
        <v/>
      </c>
    </row>
    <row r="174" customFormat="false" ht="44" hidden="false" customHeight="true" outlineLevel="0" collapsed="false">
      <c r="A174" s="29"/>
      <c r="B174" s="29"/>
      <c r="C174" s="29"/>
      <c r="D174" s="29"/>
      <c r="E174" s="34"/>
      <c r="F174" s="29"/>
      <c r="G174" s="29"/>
      <c r="H174" s="29"/>
      <c r="I174" s="29"/>
      <c r="J174" s="29"/>
      <c r="K174" s="34"/>
      <c r="L174" s="35" t="str">
        <f aca="false">IF(A174="",IF(SUMPRODUCT(--(B174:K174&lt;&gt;""))&gt;0,"Missing ID",""),IF(COUNTIF($A$7:$A$307,A174)&gt;1,"Duplicate ID",IF(AND(E174="Complete",K174=""),"Evidence missing",IF(AND(E174&lt;&gt;"Not started",E174&lt;&gt;"In progress",E174&lt;&gt;"In review",E174&lt;&gt;"Complete"),"Choose a status",""))))</f>
        <v/>
      </c>
    </row>
    <row r="175" customFormat="false" ht="44" hidden="false" customHeight="true" outlineLevel="0" collapsed="false">
      <c r="A175" s="29"/>
      <c r="B175" s="29"/>
      <c r="C175" s="29"/>
      <c r="D175" s="29"/>
      <c r="E175" s="34"/>
      <c r="F175" s="29"/>
      <c r="G175" s="29"/>
      <c r="H175" s="29"/>
      <c r="I175" s="29"/>
      <c r="J175" s="29"/>
      <c r="K175" s="34"/>
      <c r="L175" s="35" t="str">
        <f aca="false">IF(A175="",IF(SUMPRODUCT(--(B175:K175&lt;&gt;""))&gt;0,"Missing ID",""),IF(COUNTIF($A$7:$A$307,A175)&gt;1,"Duplicate ID",IF(AND(E175="Complete",K175=""),"Evidence missing",IF(AND(E175&lt;&gt;"Not started",E175&lt;&gt;"In progress",E175&lt;&gt;"In review",E175&lt;&gt;"Complete"),"Choose a status",""))))</f>
        <v/>
      </c>
    </row>
    <row r="176" customFormat="false" ht="44" hidden="false" customHeight="true" outlineLevel="0" collapsed="false">
      <c r="A176" s="29"/>
      <c r="B176" s="29"/>
      <c r="C176" s="29"/>
      <c r="D176" s="29"/>
      <c r="E176" s="34"/>
      <c r="F176" s="29"/>
      <c r="G176" s="29"/>
      <c r="H176" s="29"/>
      <c r="I176" s="29"/>
      <c r="J176" s="29"/>
      <c r="K176" s="34"/>
      <c r="L176" s="35" t="str">
        <f aca="false">IF(A176="",IF(SUMPRODUCT(--(B176:K176&lt;&gt;""))&gt;0,"Missing ID",""),IF(COUNTIF($A$7:$A$307,A176)&gt;1,"Duplicate ID",IF(AND(E176="Complete",K176=""),"Evidence missing",IF(AND(E176&lt;&gt;"Not started",E176&lt;&gt;"In progress",E176&lt;&gt;"In review",E176&lt;&gt;"Complete"),"Choose a status",""))))</f>
        <v/>
      </c>
    </row>
    <row r="177" customFormat="false" ht="44" hidden="false" customHeight="true" outlineLevel="0" collapsed="false">
      <c r="A177" s="29"/>
      <c r="B177" s="29"/>
      <c r="C177" s="29"/>
      <c r="D177" s="29"/>
      <c r="E177" s="34"/>
      <c r="F177" s="29"/>
      <c r="G177" s="29"/>
      <c r="H177" s="29"/>
      <c r="I177" s="29"/>
      <c r="J177" s="29"/>
      <c r="K177" s="34"/>
      <c r="L177" s="35" t="str">
        <f aca="false">IF(A177="",IF(SUMPRODUCT(--(B177:K177&lt;&gt;""))&gt;0,"Missing ID",""),IF(COUNTIF($A$7:$A$307,A177)&gt;1,"Duplicate ID",IF(AND(E177="Complete",K177=""),"Evidence missing",IF(AND(E177&lt;&gt;"Not started",E177&lt;&gt;"In progress",E177&lt;&gt;"In review",E177&lt;&gt;"Complete"),"Choose a status",""))))</f>
        <v/>
      </c>
    </row>
    <row r="178" customFormat="false" ht="44" hidden="false" customHeight="true" outlineLevel="0" collapsed="false">
      <c r="A178" s="29"/>
      <c r="B178" s="29"/>
      <c r="C178" s="29"/>
      <c r="D178" s="29"/>
      <c r="E178" s="34"/>
      <c r="F178" s="29"/>
      <c r="G178" s="29"/>
      <c r="H178" s="29"/>
      <c r="I178" s="29"/>
      <c r="J178" s="29"/>
      <c r="K178" s="34"/>
      <c r="L178" s="35" t="str">
        <f aca="false">IF(A178="",IF(SUMPRODUCT(--(B178:K178&lt;&gt;""))&gt;0,"Missing ID",""),IF(COUNTIF($A$7:$A$307,A178)&gt;1,"Duplicate ID",IF(AND(E178="Complete",K178=""),"Evidence missing",IF(AND(E178&lt;&gt;"Not started",E178&lt;&gt;"In progress",E178&lt;&gt;"In review",E178&lt;&gt;"Complete"),"Choose a status",""))))</f>
        <v/>
      </c>
    </row>
    <row r="179" customFormat="false" ht="44" hidden="false" customHeight="true" outlineLevel="0" collapsed="false">
      <c r="A179" s="29"/>
      <c r="B179" s="29"/>
      <c r="C179" s="29"/>
      <c r="D179" s="29"/>
      <c r="E179" s="34"/>
      <c r="F179" s="29"/>
      <c r="G179" s="29"/>
      <c r="H179" s="29"/>
      <c r="I179" s="29"/>
      <c r="J179" s="29"/>
      <c r="K179" s="34"/>
      <c r="L179" s="35" t="str">
        <f aca="false">IF(A179="",IF(SUMPRODUCT(--(B179:K179&lt;&gt;""))&gt;0,"Missing ID",""),IF(COUNTIF($A$7:$A$307,A179)&gt;1,"Duplicate ID",IF(AND(E179="Complete",K179=""),"Evidence missing",IF(AND(E179&lt;&gt;"Not started",E179&lt;&gt;"In progress",E179&lt;&gt;"In review",E179&lt;&gt;"Complete"),"Choose a status",""))))</f>
        <v/>
      </c>
    </row>
    <row r="180" customFormat="false" ht="44" hidden="false" customHeight="true" outlineLevel="0" collapsed="false">
      <c r="A180" s="29"/>
      <c r="B180" s="29"/>
      <c r="C180" s="29"/>
      <c r="D180" s="29"/>
      <c r="E180" s="34"/>
      <c r="F180" s="29"/>
      <c r="G180" s="29"/>
      <c r="H180" s="29"/>
      <c r="I180" s="29"/>
      <c r="J180" s="29"/>
      <c r="K180" s="34"/>
      <c r="L180" s="35" t="str">
        <f aca="false">IF(A180="",IF(SUMPRODUCT(--(B180:K180&lt;&gt;""))&gt;0,"Missing ID",""),IF(COUNTIF($A$7:$A$307,A180)&gt;1,"Duplicate ID",IF(AND(E180="Complete",K180=""),"Evidence missing",IF(AND(E180&lt;&gt;"Not started",E180&lt;&gt;"In progress",E180&lt;&gt;"In review",E180&lt;&gt;"Complete"),"Choose a status",""))))</f>
        <v/>
      </c>
    </row>
    <row r="181" customFormat="false" ht="44" hidden="false" customHeight="true" outlineLevel="0" collapsed="false">
      <c r="A181" s="29"/>
      <c r="B181" s="29"/>
      <c r="C181" s="29"/>
      <c r="D181" s="29"/>
      <c r="E181" s="34"/>
      <c r="F181" s="29"/>
      <c r="G181" s="29"/>
      <c r="H181" s="29"/>
      <c r="I181" s="29"/>
      <c r="J181" s="29"/>
      <c r="K181" s="34"/>
      <c r="L181" s="35" t="str">
        <f aca="false">IF(A181="",IF(SUMPRODUCT(--(B181:K181&lt;&gt;""))&gt;0,"Missing ID",""),IF(COUNTIF($A$7:$A$307,A181)&gt;1,"Duplicate ID",IF(AND(E181="Complete",K181=""),"Evidence missing",IF(AND(E181&lt;&gt;"Not started",E181&lt;&gt;"In progress",E181&lt;&gt;"In review",E181&lt;&gt;"Complete"),"Choose a status",""))))</f>
        <v/>
      </c>
    </row>
    <row r="182" customFormat="false" ht="44" hidden="false" customHeight="true" outlineLevel="0" collapsed="false">
      <c r="A182" s="29"/>
      <c r="B182" s="29"/>
      <c r="C182" s="29"/>
      <c r="D182" s="29"/>
      <c r="E182" s="34"/>
      <c r="F182" s="29"/>
      <c r="G182" s="29"/>
      <c r="H182" s="29"/>
      <c r="I182" s="29"/>
      <c r="J182" s="29"/>
      <c r="K182" s="34"/>
      <c r="L182" s="35" t="str">
        <f aca="false">IF(A182="",IF(SUMPRODUCT(--(B182:K182&lt;&gt;""))&gt;0,"Missing ID",""),IF(COUNTIF($A$7:$A$307,A182)&gt;1,"Duplicate ID",IF(AND(E182="Complete",K182=""),"Evidence missing",IF(AND(E182&lt;&gt;"Not started",E182&lt;&gt;"In progress",E182&lt;&gt;"In review",E182&lt;&gt;"Complete"),"Choose a status",""))))</f>
        <v/>
      </c>
    </row>
    <row r="183" customFormat="false" ht="44" hidden="false" customHeight="true" outlineLevel="0" collapsed="false">
      <c r="A183" s="29"/>
      <c r="B183" s="29"/>
      <c r="C183" s="29"/>
      <c r="D183" s="29"/>
      <c r="E183" s="34"/>
      <c r="F183" s="29"/>
      <c r="G183" s="29"/>
      <c r="H183" s="29"/>
      <c r="I183" s="29"/>
      <c r="J183" s="29"/>
      <c r="K183" s="34"/>
      <c r="L183" s="35" t="str">
        <f aca="false">IF(A183="",IF(SUMPRODUCT(--(B183:K183&lt;&gt;""))&gt;0,"Missing ID",""),IF(COUNTIF($A$7:$A$307,A183)&gt;1,"Duplicate ID",IF(AND(E183="Complete",K183=""),"Evidence missing",IF(AND(E183&lt;&gt;"Not started",E183&lt;&gt;"In progress",E183&lt;&gt;"In review",E183&lt;&gt;"Complete"),"Choose a status",""))))</f>
        <v/>
      </c>
    </row>
    <row r="184" customFormat="false" ht="44" hidden="false" customHeight="true" outlineLevel="0" collapsed="false">
      <c r="A184" s="29"/>
      <c r="B184" s="29"/>
      <c r="C184" s="29"/>
      <c r="D184" s="29"/>
      <c r="E184" s="34"/>
      <c r="F184" s="29"/>
      <c r="G184" s="29"/>
      <c r="H184" s="29"/>
      <c r="I184" s="29"/>
      <c r="J184" s="29"/>
      <c r="K184" s="34"/>
      <c r="L184" s="35" t="str">
        <f aca="false">IF(A184="",IF(SUMPRODUCT(--(B184:K184&lt;&gt;""))&gt;0,"Missing ID",""),IF(COUNTIF($A$7:$A$307,A184)&gt;1,"Duplicate ID",IF(AND(E184="Complete",K184=""),"Evidence missing",IF(AND(E184&lt;&gt;"Not started",E184&lt;&gt;"In progress",E184&lt;&gt;"In review",E184&lt;&gt;"Complete"),"Choose a status",""))))</f>
        <v/>
      </c>
    </row>
    <row r="185" customFormat="false" ht="44" hidden="false" customHeight="true" outlineLevel="0" collapsed="false">
      <c r="A185" s="29"/>
      <c r="B185" s="29"/>
      <c r="C185" s="29"/>
      <c r="D185" s="29"/>
      <c r="E185" s="34"/>
      <c r="F185" s="29"/>
      <c r="G185" s="29"/>
      <c r="H185" s="29"/>
      <c r="I185" s="29"/>
      <c r="J185" s="29"/>
      <c r="K185" s="34"/>
      <c r="L185" s="35" t="str">
        <f aca="false">IF(A185="",IF(SUMPRODUCT(--(B185:K185&lt;&gt;""))&gt;0,"Missing ID",""),IF(COUNTIF($A$7:$A$307,A185)&gt;1,"Duplicate ID",IF(AND(E185="Complete",K185=""),"Evidence missing",IF(AND(E185&lt;&gt;"Not started",E185&lt;&gt;"In progress",E185&lt;&gt;"In review",E185&lt;&gt;"Complete"),"Choose a status",""))))</f>
        <v/>
      </c>
    </row>
    <row r="186" customFormat="false" ht="44" hidden="false" customHeight="true" outlineLevel="0" collapsed="false">
      <c r="A186" s="29"/>
      <c r="B186" s="29"/>
      <c r="C186" s="29"/>
      <c r="D186" s="29"/>
      <c r="E186" s="34"/>
      <c r="F186" s="29"/>
      <c r="G186" s="29"/>
      <c r="H186" s="29"/>
      <c r="I186" s="29"/>
      <c r="J186" s="29"/>
      <c r="K186" s="34"/>
      <c r="L186" s="35" t="str">
        <f aca="false">IF(A186="",IF(SUMPRODUCT(--(B186:K186&lt;&gt;""))&gt;0,"Missing ID",""),IF(COUNTIF($A$7:$A$307,A186)&gt;1,"Duplicate ID",IF(AND(E186="Complete",K186=""),"Evidence missing",IF(AND(E186&lt;&gt;"Not started",E186&lt;&gt;"In progress",E186&lt;&gt;"In review",E186&lt;&gt;"Complete"),"Choose a status",""))))</f>
        <v/>
      </c>
    </row>
    <row r="187" customFormat="false" ht="44" hidden="false" customHeight="true" outlineLevel="0" collapsed="false">
      <c r="A187" s="29"/>
      <c r="B187" s="29"/>
      <c r="C187" s="29"/>
      <c r="D187" s="29"/>
      <c r="E187" s="34"/>
      <c r="F187" s="29"/>
      <c r="G187" s="29"/>
      <c r="H187" s="29"/>
      <c r="I187" s="29"/>
      <c r="J187" s="29"/>
      <c r="K187" s="34"/>
      <c r="L187" s="35" t="str">
        <f aca="false">IF(A187="",IF(SUMPRODUCT(--(B187:K187&lt;&gt;""))&gt;0,"Missing ID",""),IF(COUNTIF($A$7:$A$307,A187)&gt;1,"Duplicate ID",IF(AND(E187="Complete",K187=""),"Evidence missing",IF(AND(E187&lt;&gt;"Not started",E187&lt;&gt;"In progress",E187&lt;&gt;"In review",E187&lt;&gt;"Complete"),"Choose a status",""))))</f>
        <v/>
      </c>
    </row>
    <row r="188" customFormat="false" ht="44" hidden="false" customHeight="true" outlineLevel="0" collapsed="false">
      <c r="A188" s="29"/>
      <c r="B188" s="29"/>
      <c r="C188" s="29"/>
      <c r="D188" s="29"/>
      <c r="E188" s="34"/>
      <c r="F188" s="29"/>
      <c r="G188" s="29"/>
      <c r="H188" s="29"/>
      <c r="I188" s="29"/>
      <c r="J188" s="29"/>
      <c r="K188" s="34"/>
      <c r="L188" s="35" t="str">
        <f aca="false">IF(A188="",IF(SUMPRODUCT(--(B188:K188&lt;&gt;""))&gt;0,"Missing ID",""),IF(COUNTIF($A$7:$A$307,A188)&gt;1,"Duplicate ID",IF(AND(E188="Complete",K188=""),"Evidence missing",IF(AND(E188&lt;&gt;"Not started",E188&lt;&gt;"In progress",E188&lt;&gt;"In review",E188&lt;&gt;"Complete"),"Choose a status",""))))</f>
        <v/>
      </c>
    </row>
    <row r="189" customFormat="false" ht="44" hidden="false" customHeight="true" outlineLevel="0" collapsed="false">
      <c r="A189" s="29"/>
      <c r="B189" s="29"/>
      <c r="C189" s="29"/>
      <c r="D189" s="29"/>
      <c r="E189" s="34"/>
      <c r="F189" s="29"/>
      <c r="G189" s="29"/>
      <c r="H189" s="29"/>
      <c r="I189" s="29"/>
      <c r="J189" s="29"/>
      <c r="K189" s="34"/>
      <c r="L189" s="35" t="str">
        <f aca="false">IF(A189="",IF(SUMPRODUCT(--(B189:K189&lt;&gt;""))&gt;0,"Missing ID",""),IF(COUNTIF($A$7:$A$307,A189)&gt;1,"Duplicate ID",IF(AND(E189="Complete",K189=""),"Evidence missing",IF(AND(E189&lt;&gt;"Not started",E189&lt;&gt;"In progress",E189&lt;&gt;"In review",E189&lt;&gt;"Complete"),"Choose a status",""))))</f>
        <v/>
      </c>
    </row>
    <row r="190" customFormat="false" ht="44" hidden="false" customHeight="true" outlineLevel="0" collapsed="false">
      <c r="A190" s="29"/>
      <c r="B190" s="29"/>
      <c r="C190" s="29"/>
      <c r="D190" s="29"/>
      <c r="E190" s="34"/>
      <c r="F190" s="29"/>
      <c r="G190" s="29"/>
      <c r="H190" s="29"/>
      <c r="I190" s="29"/>
      <c r="J190" s="29"/>
      <c r="K190" s="34"/>
      <c r="L190" s="35" t="str">
        <f aca="false">IF(A190="",IF(SUMPRODUCT(--(B190:K190&lt;&gt;""))&gt;0,"Missing ID",""),IF(COUNTIF($A$7:$A$307,A190)&gt;1,"Duplicate ID",IF(AND(E190="Complete",K190=""),"Evidence missing",IF(AND(E190&lt;&gt;"Not started",E190&lt;&gt;"In progress",E190&lt;&gt;"In review",E190&lt;&gt;"Complete"),"Choose a status",""))))</f>
        <v/>
      </c>
    </row>
    <row r="191" customFormat="false" ht="44" hidden="false" customHeight="true" outlineLevel="0" collapsed="false">
      <c r="A191" s="29"/>
      <c r="B191" s="29"/>
      <c r="C191" s="29"/>
      <c r="D191" s="29"/>
      <c r="E191" s="34"/>
      <c r="F191" s="29"/>
      <c r="G191" s="29"/>
      <c r="H191" s="29"/>
      <c r="I191" s="29"/>
      <c r="J191" s="29"/>
      <c r="K191" s="34"/>
      <c r="L191" s="35" t="str">
        <f aca="false">IF(A191="",IF(SUMPRODUCT(--(B191:K191&lt;&gt;""))&gt;0,"Missing ID",""),IF(COUNTIF($A$7:$A$307,A191)&gt;1,"Duplicate ID",IF(AND(E191="Complete",K191=""),"Evidence missing",IF(AND(E191&lt;&gt;"Not started",E191&lt;&gt;"In progress",E191&lt;&gt;"In review",E191&lt;&gt;"Complete"),"Choose a status",""))))</f>
        <v/>
      </c>
    </row>
    <row r="192" customFormat="false" ht="44" hidden="false" customHeight="true" outlineLevel="0" collapsed="false">
      <c r="A192" s="29"/>
      <c r="B192" s="29"/>
      <c r="C192" s="29"/>
      <c r="D192" s="29"/>
      <c r="E192" s="34"/>
      <c r="F192" s="29"/>
      <c r="G192" s="29"/>
      <c r="H192" s="29"/>
      <c r="I192" s="29"/>
      <c r="J192" s="29"/>
      <c r="K192" s="34"/>
      <c r="L192" s="35" t="str">
        <f aca="false">IF(A192="",IF(SUMPRODUCT(--(B192:K192&lt;&gt;""))&gt;0,"Missing ID",""),IF(COUNTIF($A$7:$A$307,A192)&gt;1,"Duplicate ID",IF(AND(E192="Complete",K192=""),"Evidence missing",IF(AND(E192&lt;&gt;"Not started",E192&lt;&gt;"In progress",E192&lt;&gt;"In review",E192&lt;&gt;"Complete"),"Choose a status",""))))</f>
        <v/>
      </c>
    </row>
    <row r="193" customFormat="false" ht="44" hidden="false" customHeight="true" outlineLevel="0" collapsed="false">
      <c r="A193" s="29"/>
      <c r="B193" s="29"/>
      <c r="C193" s="29"/>
      <c r="D193" s="29"/>
      <c r="E193" s="34"/>
      <c r="F193" s="29"/>
      <c r="G193" s="29"/>
      <c r="H193" s="29"/>
      <c r="I193" s="29"/>
      <c r="J193" s="29"/>
      <c r="K193" s="34"/>
      <c r="L193" s="35" t="str">
        <f aca="false">IF(A193="",IF(SUMPRODUCT(--(B193:K193&lt;&gt;""))&gt;0,"Missing ID",""),IF(COUNTIF($A$7:$A$307,A193)&gt;1,"Duplicate ID",IF(AND(E193="Complete",K193=""),"Evidence missing",IF(AND(E193&lt;&gt;"Not started",E193&lt;&gt;"In progress",E193&lt;&gt;"In review",E193&lt;&gt;"Complete"),"Choose a status",""))))</f>
        <v/>
      </c>
    </row>
    <row r="194" customFormat="false" ht="44" hidden="false" customHeight="true" outlineLevel="0" collapsed="false">
      <c r="A194" s="29"/>
      <c r="B194" s="29"/>
      <c r="C194" s="29"/>
      <c r="D194" s="29"/>
      <c r="E194" s="34"/>
      <c r="F194" s="29"/>
      <c r="G194" s="29"/>
      <c r="H194" s="29"/>
      <c r="I194" s="29"/>
      <c r="J194" s="29"/>
      <c r="K194" s="34"/>
      <c r="L194" s="35" t="str">
        <f aca="false">IF(A194="",IF(SUMPRODUCT(--(B194:K194&lt;&gt;""))&gt;0,"Missing ID",""),IF(COUNTIF($A$7:$A$307,A194)&gt;1,"Duplicate ID",IF(AND(E194="Complete",K194=""),"Evidence missing",IF(AND(E194&lt;&gt;"Not started",E194&lt;&gt;"In progress",E194&lt;&gt;"In review",E194&lt;&gt;"Complete"),"Choose a status",""))))</f>
        <v/>
      </c>
    </row>
    <row r="195" customFormat="false" ht="44" hidden="false" customHeight="true" outlineLevel="0" collapsed="false">
      <c r="A195" s="29"/>
      <c r="B195" s="29"/>
      <c r="C195" s="29"/>
      <c r="D195" s="29"/>
      <c r="E195" s="34"/>
      <c r="F195" s="29"/>
      <c r="G195" s="29"/>
      <c r="H195" s="29"/>
      <c r="I195" s="29"/>
      <c r="J195" s="29"/>
      <c r="K195" s="34"/>
      <c r="L195" s="35" t="str">
        <f aca="false">IF(A195="",IF(SUMPRODUCT(--(B195:K195&lt;&gt;""))&gt;0,"Missing ID",""),IF(COUNTIF($A$7:$A$307,A195)&gt;1,"Duplicate ID",IF(AND(E195="Complete",K195=""),"Evidence missing",IF(AND(E195&lt;&gt;"Not started",E195&lt;&gt;"In progress",E195&lt;&gt;"In review",E195&lt;&gt;"Complete"),"Choose a status",""))))</f>
        <v/>
      </c>
    </row>
    <row r="196" customFormat="false" ht="44" hidden="false" customHeight="true" outlineLevel="0" collapsed="false">
      <c r="A196" s="29"/>
      <c r="B196" s="29"/>
      <c r="C196" s="29"/>
      <c r="D196" s="29"/>
      <c r="E196" s="34"/>
      <c r="F196" s="29"/>
      <c r="G196" s="29"/>
      <c r="H196" s="29"/>
      <c r="I196" s="29"/>
      <c r="J196" s="29"/>
      <c r="K196" s="34"/>
      <c r="L196" s="35" t="str">
        <f aca="false">IF(A196="",IF(SUMPRODUCT(--(B196:K196&lt;&gt;""))&gt;0,"Missing ID",""),IF(COUNTIF($A$7:$A$307,A196)&gt;1,"Duplicate ID",IF(AND(E196="Complete",K196=""),"Evidence missing",IF(AND(E196&lt;&gt;"Not started",E196&lt;&gt;"In progress",E196&lt;&gt;"In review",E196&lt;&gt;"Complete"),"Choose a status",""))))</f>
        <v/>
      </c>
    </row>
    <row r="197" customFormat="false" ht="44" hidden="false" customHeight="true" outlineLevel="0" collapsed="false">
      <c r="A197" s="29"/>
      <c r="B197" s="29"/>
      <c r="C197" s="29"/>
      <c r="D197" s="29"/>
      <c r="E197" s="34"/>
      <c r="F197" s="29"/>
      <c r="G197" s="29"/>
      <c r="H197" s="29"/>
      <c r="I197" s="29"/>
      <c r="J197" s="29"/>
      <c r="K197" s="34"/>
      <c r="L197" s="35" t="str">
        <f aca="false">IF(A197="",IF(SUMPRODUCT(--(B197:K197&lt;&gt;""))&gt;0,"Missing ID",""),IF(COUNTIF($A$7:$A$307,A197)&gt;1,"Duplicate ID",IF(AND(E197="Complete",K197=""),"Evidence missing",IF(AND(E197&lt;&gt;"Not started",E197&lt;&gt;"In progress",E197&lt;&gt;"In review",E197&lt;&gt;"Complete"),"Choose a status",""))))</f>
        <v/>
      </c>
    </row>
    <row r="198" customFormat="false" ht="44" hidden="false" customHeight="true" outlineLevel="0" collapsed="false">
      <c r="A198" s="29"/>
      <c r="B198" s="29"/>
      <c r="C198" s="29"/>
      <c r="D198" s="29"/>
      <c r="E198" s="34"/>
      <c r="F198" s="29"/>
      <c r="G198" s="29"/>
      <c r="H198" s="29"/>
      <c r="I198" s="29"/>
      <c r="J198" s="29"/>
      <c r="K198" s="34"/>
      <c r="L198" s="35" t="str">
        <f aca="false">IF(A198="",IF(SUMPRODUCT(--(B198:K198&lt;&gt;""))&gt;0,"Missing ID",""),IF(COUNTIF($A$7:$A$307,A198)&gt;1,"Duplicate ID",IF(AND(E198="Complete",K198=""),"Evidence missing",IF(AND(E198&lt;&gt;"Not started",E198&lt;&gt;"In progress",E198&lt;&gt;"In review",E198&lt;&gt;"Complete"),"Choose a status",""))))</f>
        <v/>
      </c>
    </row>
    <row r="199" customFormat="false" ht="44" hidden="false" customHeight="true" outlineLevel="0" collapsed="false">
      <c r="A199" s="29"/>
      <c r="B199" s="29"/>
      <c r="C199" s="29"/>
      <c r="D199" s="29"/>
      <c r="E199" s="34"/>
      <c r="F199" s="29"/>
      <c r="G199" s="29"/>
      <c r="H199" s="29"/>
      <c r="I199" s="29"/>
      <c r="J199" s="29"/>
      <c r="K199" s="34"/>
      <c r="L199" s="35" t="str">
        <f aca="false">IF(A199="",IF(SUMPRODUCT(--(B199:K199&lt;&gt;""))&gt;0,"Missing ID",""),IF(COUNTIF($A$7:$A$307,A199)&gt;1,"Duplicate ID",IF(AND(E199="Complete",K199=""),"Evidence missing",IF(AND(E199&lt;&gt;"Not started",E199&lt;&gt;"In progress",E199&lt;&gt;"In review",E199&lt;&gt;"Complete"),"Choose a status",""))))</f>
        <v/>
      </c>
    </row>
    <row r="200" customFormat="false" ht="44" hidden="false" customHeight="true" outlineLevel="0" collapsed="false">
      <c r="A200" s="29"/>
      <c r="B200" s="29"/>
      <c r="C200" s="29"/>
      <c r="D200" s="29"/>
      <c r="E200" s="34"/>
      <c r="F200" s="29"/>
      <c r="G200" s="29"/>
      <c r="H200" s="29"/>
      <c r="I200" s="29"/>
      <c r="J200" s="29"/>
      <c r="K200" s="34"/>
      <c r="L200" s="35" t="str">
        <f aca="false">IF(A200="",IF(SUMPRODUCT(--(B200:K200&lt;&gt;""))&gt;0,"Missing ID",""),IF(COUNTIF($A$7:$A$307,A200)&gt;1,"Duplicate ID",IF(AND(E200="Complete",K200=""),"Evidence missing",IF(AND(E200&lt;&gt;"Not started",E200&lt;&gt;"In progress",E200&lt;&gt;"In review",E200&lt;&gt;"Complete"),"Choose a status",""))))</f>
        <v/>
      </c>
    </row>
    <row r="201" customFormat="false" ht="44" hidden="false" customHeight="true" outlineLevel="0" collapsed="false">
      <c r="A201" s="29"/>
      <c r="B201" s="29"/>
      <c r="C201" s="29"/>
      <c r="D201" s="29"/>
      <c r="E201" s="34"/>
      <c r="F201" s="29"/>
      <c r="G201" s="29"/>
      <c r="H201" s="29"/>
      <c r="I201" s="29"/>
      <c r="J201" s="29"/>
      <c r="K201" s="34"/>
      <c r="L201" s="35" t="str">
        <f aca="false">IF(A201="",IF(SUMPRODUCT(--(B201:K201&lt;&gt;""))&gt;0,"Missing ID",""),IF(COUNTIF($A$7:$A$307,A201)&gt;1,"Duplicate ID",IF(AND(E201="Complete",K201=""),"Evidence missing",IF(AND(E201&lt;&gt;"Not started",E201&lt;&gt;"In progress",E201&lt;&gt;"In review",E201&lt;&gt;"Complete"),"Choose a status",""))))</f>
        <v/>
      </c>
    </row>
    <row r="202" customFormat="false" ht="44" hidden="false" customHeight="true" outlineLevel="0" collapsed="false">
      <c r="A202" s="29"/>
      <c r="B202" s="29"/>
      <c r="C202" s="29"/>
      <c r="D202" s="29"/>
      <c r="E202" s="34"/>
      <c r="F202" s="29"/>
      <c r="G202" s="29"/>
      <c r="H202" s="29"/>
      <c r="I202" s="29"/>
      <c r="J202" s="29"/>
      <c r="K202" s="34"/>
      <c r="L202" s="35" t="str">
        <f aca="false">IF(A202="",IF(SUMPRODUCT(--(B202:K202&lt;&gt;""))&gt;0,"Missing ID",""),IF(COUNTIF($A$7:$A$307,A202)&gt;1,"Duplicate ID",IF(AND(E202="Complete",K202=""),"Evidence missing",IF(AND(E202&lt;&gt;"Not started",E202&lt;&gt;"In progress",E202&lt;&gt;"In review",E202&lt;&gt;"Complete"),"Choose a status",""))))</f>
        <v/>
      </c>
    </row>
    <row r="203" customFormat="false" ht="44" hidden="false" customHeight="true" outlineLevel="0" collapsed="false">
      <c r="A203" s="29"/>
      <c r="B203" s="29"/>
      <c r="C203" s="29"/>
      <c r="D203" s="29"/>
      <c r="E203" s="34"/>
      <c r="F203" s="29"/>
      <c r="G203" s="29"/>
      <c r="H203" s="29"/>
      <c r="I203" s="29"/>
      <c r="J203" s="29"/>
      <c r="K203" s="34"/>
      <c r="L203" s="35" t="str">
        <f aca="false">IF(A203="",IF(SUMPRODUCT(--(B203:K203&lt;&gt;""))&gt;0,"Missing ID",""),IF(COUNTIF($A$7:$A$307,A203)&gt;1,"Duplicate ID",IF(AND(E203="Complete",K203=""),"Evidence missing",IF(AND(E203&lt;&gt;"Not started",E203&lt;&gt;"In progress",E203&lt;&gt;"In review",E203&lt;&gt;"Complete"),"Choose a status",""))))</f>
        <v/>
      </c>
    </row>
    <row r="204" customFormat="false" ht="44" hidden="false" customHeight="true" outlineLevel="0" collapsed="false">
      <c r="A204" s="29"/>
      <c r="B204" s="29"/>
      <c r="C204" s="29"/>
      <c r="D204" s="29"/>
      <c r="E204" s="34"/>
      <c r="F204" s="29"/>
      <c r="G204" s="29"/>
      <c r="H204" s="29"/>
      <c r="I204" s="29"/>
      <c r="J204" s="29"/>
      <c r="K204" s="34"/>
      <c r="L204" s="35" t="str">
        <f aca="false">IF(A204="",IF(SUMPRODUCT(--(B204:K204&lt;&gt;""))&gt;0,"Missing ID",""),IF(COUNTIF($A$7:$A$307,A204)&gt;1,"Duplicate ID",IF(AND(E204="Complete",K204=""),"Evidence missing",IF(AND(E204&lt;&gt;"Not started",E204&lt;&gt;"In progress",E204&lt;&gt;"In review",E204&lt;&gt;"Complete"),"Choose a status",""))))</f>
        <v/>
      </c>
    </row>
    <row r="205" customFormat="false" ht="44" hidden="false" customHeight="true" outlineLevel="0" collapsed="false">
      <c r="A205" s="29"/>
      <c r="B205" s="29"/>
      <c r="C205" s="29"/>
      <c r="D205" s="29"/>
      <c r="E205" s="34"/>
      <c r="F205" s="29"/>
      <c r="G205" s="29"/>
      <c r="H205" s="29"/>
      <c r="I205" s="29"/>
      <c r="J205" s="29"/>
      <c r="K205" s="34"/>
      <c r="L205" s="35" t="str">
        <f aca="false">IF(A205="",IF(SUMPRODUCT(--(B205:K205&lt;&gt;""))&gt;0,"Missing ID",""),IF(COUNTIF($A$7:$A$307,A205)&gt;1,"Duplicate ID",IF(AND(E205="Complete",K205=""),"Evidence missing",IF(AND(E205&lt;&gt;"Not started",E205&lt;&gt;"In progress",E205&lt;&gt;"In review",E205&lt;&gt;"Complete"),"Choose a status",""))))</f>
        <v/>
      </c>
    </row>
    <row r="206" customFormat="false" ht="44" hidden="false" customHeight="true" outlineLevel="0" collapsed="false">
      <c r="A206" s="29"/>
      <c r="B206" s="29"/>
      <c r="C206" s="29"/>
      <c r="D206" s="29"/>
      <c r="E206" s="34"/>
      <c r="F206" s="29"/>
      <c r="G206" s="29"/>
      <c r="H206" s="29"/>
      <c r="I206" s="29"/>
      <c r="J206" s="29"/>
      <c r="K206" s="34"/>
      <c r="L206" s="35" t="str">
        <f aca="false">IF(A206="",IF(SUMPRODUCT(--(B206:K206&lt;&gt;""))&gt;0,"Missing ID",""),IF(COUNTIF($A$7:$A$307,A206)&gt;1,"Duplicate ID",IF(AND(E206="Complete",K206=""),"Evidence missing",IF(AND(E206&lt;&gt;"Not started",E206&lt;&gt;"In progress",E206&lt;&gt;"In review",E206&lt;&gt;"Complete"),"Choose a status",""))))</f>
        <v/>
      </c>
    </row>
    <row r="207" customFormat="false" ht="44" hidden="false" customHeight="true" outlineLevel="0" collapsed="false">
      <c r="A207" s="29"/>
      <c r="B207" s="29"/>
      <c r="C207" s="29"/>
      <c r="D207" s="29"/>
      <c r="E207" s="34"/>
      <c r="F207" s="29"/>
      <c r="G207" s="29"/>
      <c r="H207" s="29"/>
      <c r="I207" s="29"/>
      <c r="J207" s="29"/>
      <c r="K207" s="34"/>
      <c r="L207" s="35" t="str">
        <f aca="false">IF(A207="",IF(SUMPRODUCT(--(B207:K207&lt;&gt;""))&gt;0,"Missing ID",""),IF(COUNTIF($A$7:$A$307,A207)&gt;1,"Duplicate ID",IF(AND(E207="Complete",K207=""),"Evidence missing",IF(AND(E207&lt;&gt;"Not started",E207&lt;&gt;"In progress",E207&lt;&gt;"In review",E207&lt;&gt;"Complete"),"Choose a status",""))))</f>
        <v/>
      </c>
    </row>
    <row r="208" customFormat="false" ht="44" hidden="false" customHeight="true" outlineLevel="0" collapsed="false">
      <c r="A208" s="29"/>
      <c r="B208" s="29"/>
      <c r="C208" s="29"/>
      <c r="D208" s="29"/>
      <c r="E208" s="34"/>
      <c r="F208" s="29"/>
      <c r="G208" s="29"/>
      <c r="H208" s="29"/>
      <c r="I208" s="29"/>
      <c r="J208" s="29"/>
      <c r="K208" s="34"/>
      <c r="L208" s="35" t="str">
        <f aca="false">IF(A208="",IF(SUMPRODUCT(--(B208:K208&lt;&gt;""))&gt;0,"Missing ID",""),IF(COUNTIF($A$7:$A$307,A208)&gt;1,"Duplicate ID",IF(AND(E208="Complete",K208=""),"Evidence missing",IF(AND(E208&lt;&gt;"Not started",E208&lt;&gt;"In progress",E208&lt;&gt;"In review",E208&lt;&gt;"Complete"),"Choose a status",""))))</f>
        <v/>
      </c>
    </row>
    <row r="209" customFormat="false" ht="44" hidden="false" customHeight="true" outlineLevel="0" collapsed="false">
      <c r="A209" s="29"/>
      <c r="B209" s="29"/>
      <c r="C209" s="29"/>
      <c r="D209" s="29"/>
      <c r="E209" s="34"/>
      <c r="F209" s="29"/>
      <c r="G209" s="29"/>
      <c r="H209" s="29"/>
      <c r="I209" s="29"/>
      <c r="J209" s="29"/>
      <c r="K209" s="34"/>
      <c r="L209" s="35" t="str">
        <f aca="false">IF(A209="",IF(SUMPRODUCT(--(B209:K209&lt;&gt;""))&gt;0,"Missing ID",""),IF(COUNTIF($A$7:$A$307,A209)&gt;1,"Duplicate ID",IF(AND(E209="Complete",K209=""),"Evidence missing",IF(AND(E209&lt;&gt;"Not started",E209&lt;&gt;"In progress",E209&lt;&gt;"In review",E209&lt;&gt;"Complete"),"Choose a status",""))))</f>
        <v/>
      </c>
    </row>
    <row r="210" customFormat="false" ht="44" hidden="false" customHeight="true" outlineLevel="0" collapsed="false">
      <c r="A210" s="29"/>
      <c r="B210" s="29"/>
      <c r="C210" s="29"/>
      <c r="D210" s="29"/>
      <c r="E210" s="34"/>
      <c r="F210" s="29"/>
      <c r="G210" s="29"/>
      <c r="H210" s="29"/>
      <c r="I210" s="29"/>
      <c r="J210" s="29"/>
      <c r="K210" s="34"/>
      <c r="L210" s="35" t="str">
        <f aca="false">IF(A210="",IF(SUMPRODUCT(--(B210:K210&lt;&gt;""))&gt;0,"Missing ID",""),IF(COUNTIF($A$7:$A$307,A210)&gt;1,"Duplicate ID",IF(AND(E210="Complete",K210=""),"Evidence missing",IF(AND(E210&lt;&gt;"Not started",E210&lt;&gt;"In progress",E210&lt;&gt;"In review",E210&lt;&gt;"Complete"),"Choose a status",""))))</f>
        <v/>
      </c>
    </row>
    <row r="211" customFormat="false" ht="44" hidden="false" customHeight="true" outlineLevel="0" collapsed="false">
      <c r="A211" s="29"/>
      <c r="B211" s="29"/>
      <c r="C211" s="29"/>
      <c r="D211" s="29"/>
      <c r="E211" s="34"/>
      <c r="F211" s="29"/>
      <c r="G211" s="29"/>
      <c r="H211" s="29"/>
      <c r="I211" s="29"/>
      <c r="J211" s="29"/>
      <c r="K211" s="34"/>
      <c r="L211" s="35" t="str">
        <f aca="false">IF(A211="",IF(SUMPRODUCT(--(B211:K211&lt;&gt;""))&gt;0,"Missing ID",""),IF(COUNTIF($A$7:$A$307,A211)&gt;1,"Duplicate ID",IF(AND(E211="Complete",K211=""),"Evidence missing",IF(AND(E211&lt;&gt;"Not started",E211&lt;&gt;"In progress",E211&lt;&gt;"In review",E211&lt;&gt;"Complete"),"Choose a status",""))))</f>
        <v/>
      </c>
    </row>
    <row r="212" customFormat="false" ht="44" hidden="false" customHeight="true" outlineLevel="0" collapsed="false">
      <c r="A212" s="29"/>
      <c r="B212" s="29"/>
      <c r="C212" s="29"/>
      <c r="D212" s="29"/>
      <c r="E212" s="34"/>
      <c r="F212" s="29"/>
      <c r="G212" s="29"/>
      <c r="H212" s="29"/>
      <c r="I212" s="29"/>
      <c r="J212" s="29"/>
      <c r="K212" s="34"/>
      <c r="L212" s="35" t="str">
        <f aca="false">IF(A212="",IF(SUMPRODUCT(--(B212:K212&lt;&gt;""))&gt;0,"Missing ID",""),IF(COUNTIF($A$7:$A$307,A212)&gt;1,"Duplicate ID",IF(AND(E212="Complete",K212=""),"Evidence missing",IF(AND(E212&lt;&gt;"Not started",E212&lt;&gt;"In progress",E212&lt;&gt;"In review",E212&lt;&gt;"Complete"),"Choose a status",""))))</f>
        <v/>
      </c>
    </row>
    <row r="213" customFormat="false" ht="44" hidden="false" customHeight="true" outlineLevel="0" collapsed="false">
      <c r="A213" s="29"/>
      <c r="B213" s="29"/>
      <c r="C213" s="29"/>
      <c r="D213" s="29"/>
      <c r="E213" s="34"/>
      <c r="F213" s="29"/>
      <c r="G213" s="29"/>
      <c r="H213" s="29"/>
      <c r="I213" s="29"/>
      <c r="J213" s="29"/>
      <c r="K213" s="34"/>
      <c r="L213" s="35" t="str">
        <f aca="false">IF(A213="",IF(SUMPRODUCT(--(B213:K213&lt;&gt;""))&gt;0,"Missing ID",""),IF(COUNTIF($A$7:$A$307,A213)&gt;1,"Duplicate ID",IF(AND(E213="Complete",K213=""),"Evidence missing",IF(AND(E213&lt;&gt;"Not started",E213&lt;&gt;"In progress",E213&lt;&gt;"In review",E213&lt;&gt;"Complete"),"Choose a status",""))))</f>
        <v/>
      </c>
    </row>
    <row r="214" customFormat="false" ht="44" hidden="false" customHeight="true" outlineLevel="0" collapsed="false">
      <c r="A214" s="29"/>
      <c r="B214" s="29"/>
      <c r="C214" s="29"/>
      <c r="D214" s="29"/>
      <c r="E214" s="34"/>
      <c r="F214" s="29"/>
      <c r="G214" s="29"/>
      <c r="H214" s="29"/>
      <c r="I214" s="29"/>
      <c r="J214" s="29"/>
      <c r="K214" s="34"/>
      <c r="L214" s="35" t="str">
        <f aca="false">IF(A214="",IF(SUMPRODUCT(--(B214:K214&lt;&gt;""))&gt;0,"Missing ID",""),IF(COUNTIF($A$7:$A$307,A214)&gt;1,"Duplicate ID",IF(AND(E214="Complete",K214=""),"Evidence missing",IF(AND(E214&lt;&gt;"Not started",E214&lt;&gt;"In progress",E214&lt;&gt;"In review",E214&lt;&gt;"Complete"),"Choose a status",""))))</f>
        <v/>
      </c>
    </row>
    <row r="215" customFormat="false" ht="44" hidden="false" customHeight="true" outlineLevel="0" collapsed="false">
      <c r="A215" s="29"/>
      <c r="B215" s="29"/>
      <c r="C215" s="29"/>
      <c r="D215" s="29"/>
      <c r="E215" s="34"/>
      <c r="F215" s="29"/>
      <c r="G215" s="29"/>
      <c r="H215" s="29"/>
      <c r="I215" s="29"/>
      <c r="J215" s="29"/>
      <c r="K215" s="34"/>
      <c r="L215" s="35" t="str">
        <f aca="false">IF(A215="",IF(SUMPRODUCT(--(B215:K215&lt;&gt;""))&gt;0,"Missing ID",""),IF(COUNTIF($A$7:$A$307,A215)&gt;1,"Duplicate ID",IF(AND(E215="Complete",K215=""),"Evidence missing",IF(AND(E215&lt;&gt;"Not started",E215&lt;&gt;"In progress",E215&lt;&gt;"In review",E215&lt;&gt;"Complete"),"Choose a status",""))))</f>
        <v/>
      </c>
    </row>
    <row r="216" customFormat="false" ht="44" hidden="false" customHeight="true" outlineLevel="0" collapsed="false">
      <c r="A216" s="29"/>
      <c r="B216" s="29"/>
      <c r="C216" s="29"/>
      <c r="D216" s="29"/>
      <c r="E216" s="34"/>
      <c r="F216" s="29"/>
      <c r="G216" s="29"/>
      <c r="H216" s="29"/>
      <c r="I216" s="29"/>
      <c r="J216" s="29"/>
      <c r="K216" s="34"/>
      <c r="L216" s="35" t="str">
        <f aca="false">IF(A216="",IF(SUMPRODUCT(--(B216:K216&lt;&gt;""))&gt;0,"Missing ID",""),IF(COUNTIF($A$7:$A$307,A216)&gt;1,"Duplicate ID",IF(AND(E216="Complete",K216=""),"Evidence missing",IF(AND(E216&lt;&gt;"Not started",E216&lt;&gt;"In progress",E216&lt;&gt;"In review",E216&lt;&gt;"Complete"),"Choose a status",""))))</f>
        <v/>
      </c>
    </row>
    <row r="217" customFormat="false" ht="44" hidden="false" customHeight="true" outlineLevel="0" collapsed="false">
      <c r="A217" s="29"/>
      <c r="B217" s="29"/>
      <c r="C217" s="29"/>
      <c r="D217" s="29"/>
      <c r="E217" s="34"/>
      <c r="F217" s="29"/>
      <c r="G217" s="29"/>
      <c r="H217" s="29"/>
      <c r="I217" s="29"/>
      <c r="J217" s="29"/>
      <c r="K217" s="34"/>
      <c r="L217" s="35" t="str">
        <f aca="false">IF(A217="",IF(SUMPRODUCT(--(B217:K217&lt;&gt;""))&gt;0,"Missing ID",""),IF(COUNTIF($A$7:$A$307,A217)&gt;1,"Duplicate ID",IF(AND(E217="Complete",K217=""),"Evidence missing",IF(AND(E217&lt;&gt;"Not started",E217&lt;&gt;"In progress",E217&lt;&gt;"In review",E217&lt;&gt;"Complete"),"Choose a status",""))))</f>
        <v/>
      </c>
    </row>
    <row r="218" customFormat="false" ht="44" hidden="false" customHeight="true" outlineLevel="0" collapsed="false">
      <c r="A218" s="29"/>
      <c r="B218" s="29"/>
      <c r="C218" s="29"/>
      <c r="D218" s="29"/>
      <c r="E218" s="34"/>
      <c r="F218" s="29"/>
      <c r="G218" s="29"/>
      <c r="H218" s="29"/>
      <c r="I218" s="29"/>
      <c r="J218" s="29"/>
      <c r="K218" s="34"/>
      <c r="L218" s="35" t="str">
        <f aca="false">IF(A218="",IF(SUMPRODUCT(--(B218:K218&lt;&gt;""))&gt;0,"Missing ID",""),IF(COUNTIF($A$7:$A$307,A218)&gt;1,"Duplicate ID",IF(AND(E218="Complete",K218=""),"Evidence missing",IF(AND(E218&lt;&gt;"Not started",E218&lt;&gt;"In progress",E218&lt;&gt;"In review",E218&lt;&gt;"Complete"),"Choose a status",""))))</f>
        <v/>
      </c>
    </row>
    <row r="219" customFormat="false" ht="44" hidden="false" customHeight="true" outlineLevel="0" collapsed="false">
      <c r="A219" s="29"/>
      <c r="B219" s="29"/>
      <c r="C219" s="29"/>
      <c r="D219" s="29"/>
      <c r="E219" s="34"/>
      <c r="F219" s="29"/>
      <c r="G219" s="29"/>
      <c r="H219" s="29"/>
      <c r="I219" s="29"/>
      <c r="J219" s="29"/>
      <c r="K219" s="34"/>
      <c r="L219" s="35" t="str">
        <f aca="false">IF(A219="",IF(SUMPRODUCT(--(B219:K219&lt;&gt;""))&gt;0,"Missing ID",""),IF(COUNTIF($A$7:$A$307,A219)&gt;1,"Duplicate ID",IF(AND(E219="Complete",K219=""),"Evidence missing",IF(AND(E219&lt;&gt;"Not started",E219&lt;&gt;"In progress",E219&lt;&gt;"In review",E219&lt;&gt;"Complete"),"Choose a status",""))))</f>
        <v/>
      </c>
    </row>
    <row r="220" customFormat="false" ht="44" hidden="false" customHeight="true" outlineLevel="0" collapsed="false">
      <c r="A220" s="29"/>
      <c r="B220" s="29"/>
      <c r="C220" s="29"/>
      <c r="D220" s="29"/>
      <c r="E220" s="34"/>
      <c r="F220" s="29"/>
      <c r="G220" s="29"/>
      <c r="H220" s="29"/>
      <c r="I220" s="29"/>
      <c r="J220" s="29"/>
      <c r="K220" s="34"/>
      <c r="L220" s="35" t="str">
        <f aca="false">IF(A220="",IF(SUMPRODUCT(--(B220:K220&lt;&gt;""))&gt;0,"Missing ID",""),IF(COUNTIF($A$7:$A$307,A220)&gt;1,"Duplicate ID",IF(AND(E220="Complete",K220=""),"Evidence missing",IF(AND(E220&lt;&gt;"Not started",E220&lt;&gt;"In progress",E220&lt;&gt;"In review",E220&lt;&gt;"Complete"),"Choose a status",""))))</f>
        <v/>
      </c>
    </row>
    <row r="221" customFormat="false" ht="44" hidden="false" customHeight="true" outlineLevel="0" collapsed="false">
      <c r="A221" s="29"/>
      <c r="B221" s="29"/>
      <c r="C221" s="29"/>
      <c r="D221" s="29"/>
      <c r="E221" s="34"/>
      <c r="F221" s="29"/>
      <c r="G221" s="29"/>
      <c r="H221" s="29"/>
      <c r="I221" s="29"/>
      <c r="J221" s="29"/>
      <c r="K221" s="34"/>
      <c r="L221" s="35" t="str">
        <f aca="false">IF(A221="",IF(SUMPRODUCT(--(B221:K221&lt;&gt;""))&gt;0,"Missing ID",""),IF(COUNTIF($A$7:$A$307,A221)&gt;1,"Duplicate ID",IF(AND(E221="Complete",K221=""),"Evidence missing",IF(AND(E221&lt;&gt;"Not started",E221&lt;&gt;"In progress",E221&lt;&gt;"In review",E221&lt;&gt;"Complete"),"Choose a status",""))))</f>
        <v/>
      </c>
    </row>
    <row r="222" customFormat="false" ht="44" hidden="false" customHeight="true" outlineLevel="0" collapsed="false">
      <c r="A222" s="29"/>
      <c r="B222" s="29"/>
      <c r="C222" s="29"/>
      <c r="D222" s="29"/>
      <c r="E222" s="34"/>
      <c r="F222" s="29"/>
      <c r="G222" s="29"/>
      <c r="H222" s="29"/>
      <c r="I222" s="29"/>
      <c r="J222" s="29"/>
      <c r="K222" s="34"/>
      <c r="L222" s="35" t="str">
        <f aca="false">IF(A222="",IF(SUMPRODUCT(--(B222:K222&lt;&gt;""))&gt;0,"Missing ID",""),IF(COUNTIF($A$7:$A$307,A222)&gt;1,"Duplicate ID",IF(AND(E222="Complete",K222=""),"Evidence missing",IF(AND(E222&lt;&gt;"Not started",E222&lt;&gt;"In progress",E222&lt;&gt;"In review",E222&lt;&gt;"Complete"),"Choose a status",""))))</f>
        <v/>
      </c>
    </row>
    <row r="223" customFormat="false" ht="44" hidden="false" customHeight="true" outlineLevel="0" collapsed="false">
      <c r="A223" s="29"/>
      <c r="B223" s="29"/>
      <c r="C223" s="29"/>
      <c r="D223" s="29"/>
      <c r="E223" s="34"/>
      <c r="F223" s="29"/>
      <c r="G223" s="29"/>
      <c r="H223" s="29"/>
      <c r="I223" s="29"/>
      <c r="J223" s="29"/>
      <c r="K223" s="34"/>
      <c r="L223" s="35" t="str">
        <f aca="false">IF(A223="",IF(SUMPRODUCT(--(B223:K223&lt;&gt;""))&gt;0,"Missing ID",""),IF(COUNTIF($A$7:$A$307,A223)&gt;1,"Duplicate ID",IF(AND(E223="Complete",K223=""),"Evidence missing",IF(AND(E223&lt;&gt;"Not started",E223&lt;&gt;"In progress",E223&lt;&gt;"In review",E223&lt;&gt;"Complete"),"Choose a status",""))))</f>
        <v/>
      </c>
    </row>
    <row r="224" customFormat="false" ht="44" hidden="false" customHeight="true" outlineLevel="0" collapsed="false">
      <c r="A224" s="29"/>
      <c r="B224" s="29"/>
      <c r="C224" s="29"/>
      <c r="D224" s="29"/>
      <c r="E224" s="34"/>
      <c r="F224" s="29"/>
      <c r="G224" s="29"/>
      <c r="H224" s="29"/>
      <c r="I224" s="29"/>
      <c r="J224" s="29"/>
      <c r="K224" s="34"/>
      <c r="L224" s="35" t="str">
        <f aca="false">IF(A224="",IF(SUMPRODUCT(--(B224:K224&lt;&gt;""))&gt;0,"Missing ID",""),IF(COUNTIF($A$7:$A$307,A224)&gt;1,"Duplicate ID",IF(AND(E224="Complete",K224=""),"Evidence missing",IF(AND(E224&lt;&gt;"Not started",E224&lt;&gt;"In progress",E224&lt;&gt;"In review",E224&lt;&gt;"Complete"),"Choose a status",""))))</f>
        <v/>
      </c>
    </row>
    <row r="225" customFormat="false" ht="44" hidden="false" customHeight="true" outlineLevel="0" collapsed="false">
      <c r="A225" s="29"/>
      <c r="B225" s="29"/>
      <c r="C225" s="29"/>
      <c r="D225" s="29"/>
      <c r="E225" s="34"/>
      <c r="F225" s="29"/>
      <c r="G225" s="29"/>
      <c r="H225" s="29"/>
      <c r="I225" s="29"/>
      <c r="J225" s="29"/>
      <c r="K225" s="34"/>
      <c r="L225" s="35" t="str">
        <f aca="false">IF(A225="",IF(SUMPRODUCT(--(B225:K225&lt;&gt;""))&gt;0,"Missing ID",""),IF(COUNTIF($A$7:$A$307,A225)&gt;1,"Duplicate ID",IF(AND(E225="Complete",K225=""),"Evidence missing",IF(AND(E225&lt;&gt;"Not started",E225&lt;&gt;"In progress",E225&lt;&gt;"In review",E225&lt;&gt;"Complete"),"Choose a status",""))))</f>
        <v/>
      </c>
    </row>
    <row r="226" customFormat="false" ht="44" hidden="false" customHeight="true" outlineLevel="0" collapsed="false">
      <c r="A226" s="29"/>
      <c r="B226" s="29"/>
      <c r="C226" s="29"/>
      <c r="D226" s="29"/>
      <c r="E226" s="34"/>
      <c r="F226" s="29"/>
      <c r="G226" s="29"/>
      <c r="H226" s="29"/>
      <c r="I226" s="29"/>
      <c r="J226" s="29"/>
      <c r="K226" s="34"/>
      <c r="L226" s="35" t="str">
        <f aca="false">IF(A226="",IF(SUMPRODUCT(--(B226:K226&lt;&gt;""))&gt;0,"Missing ID",""),IF(COUNTIF($A$7:$A$307,A226)&gt;1,"Duplicate ID",IF(AND(E226="Complete",K226=""),"Evidence missing",IF(AND(E226&lt;&gt;"Not started",E226&lt;&gt;"In progress",E226&lt;&gt;"In review",E226&lt;&gt;"Complete"),"Choose a status",""))))</f>
        <v/>
      </c>
    </row>
    <row r="227" customFormat="false" ht="44" hidden="false" customHeight="true" outlineLevel="0" collapsed="false">
      <c r="A227" s="29"/>
      <c r="B227" s="29"/>
      <c r="C227" s="29"/>
      <c r="D227" s="29"/>
      <c r="E227" s="34"/>
      <c r="F227" s="29"/>
      <c r="G227" s="29"/>
      <c r="H227" s="29"/>
      <c r="I227" s="29"/>
      <c r="J227" s="29"/>
      <c r="K227" s="34"/>
      <c r="L227" s="35" t="str">
        <f aca="false">IF(A227="",IF(SUMPRODUCT(--(B227:K227&lt;&gt;""))&gt;0,"Missing ID",""),IF(COUNTIF($A$7:$A$307,A227)&gt;1,"Duplicate ID",IF(AND(E227="Complete",K227=""),"Evidence missing",IF(AND(E227&lt;&gt;"Not started",E227&lt;&gt;"In progress",E227&lt;&gt;"In review",E227&lt;&gt;"Complete"),"Choose a status",""))))</f>
        <v/>
      </c>
    </row>
    <row r="228" customFormat="false" ht="44" hidden="false" customHeight="true" outlineLevel="0" collapsed="false">
      <c r="A228" s="29"/>
      <c r="B228" s="29"/>
      <c r="C228" s="29"/>
      <c r="D228" s="29"/>
      <c r="E228" s="34"/>
      <c r="F228" s="29"/>
      <c r="G228" s="29"/>
      <c r="H228" s="29"/>
      <c r="I228" s="29"/>
      <c r="J228" s="29"/>
      <c r="K228" s="34"/>
      <c r="L228" s="35" t="str">
        <f aca="false">IF(A228="",IF(SUMPRODUCT(--(B228:K228&lt;&gt;""))&gt;0,"Missing ID",""),IF(COUNTIF($A$7:$A$307,A228)&gt;1,"Duplicate ID",IF(AND(E228="Complete",K228=""),"Evidence missing",IF(AND(E228&lt;&gt;"Not started",E228&lt;&gt;"In progress",E228&lt;&gt;"In review",E228&lt;&gt;"Complete"),"Choose a status",""))))</f>
        <v/>
      </c>
    </row>
    <row r="229" customFormat="false" ht="44" hidden="false" customHeight="true" outlineLevel="0" collapsed="false">
      <c r="A229" s="29"/>
      <c r="B229" s="29"/>
      <c r="C229" s="29"/>
      <c r="D229" s="29"/>
      <c r="E229" s="34"/>
      <c r="F229" s="29"/>
      <c r="G229" s="29"/>
      <c r="H229" s="29"/>
      <c r="I229" s="29"/>
      <c r="J229" s="29"/>
      <c r="K229" s="34"/>
      <c r="L229" s="35" t="str">
        <f aca="false">IF(A229="",IF(SUMPRODUCT(--(B229:K229&lt;&gt;""))&gt;0,"Missing ID",""),IF(COUNTIF($A$7:$A$307,A229)&gt;1,"Duplicate ID",IF(AND(E229="Complete",K229=""),"Evidence missing",IF(AND(E229&lt;&gt;"Not started",E229&lt;&gt;"In progress",E229&lt;&gt;"In review",E229&lt;&gt;"Complete"),"Choose a status",""))))</f>
        <v/>
      </c>
    </row>
    <row r="230" customFormat="false" ht="44" hidden="false" customHeight="true" outlineLevel="0" collapsed="false">
      <c r="A230" s="29"/>
      <c r="B230" s="29"/>
      <c r="C230" s="29"/>
      <c r="D230" s="29"/>
      <c r="E230" s="34"/>
      <c r="F230" s="29"/>
      <c r="G230" s="29"/>
      <c r="H230" s="29"/>
      <c r="I230" s="29"/>
      <c r="J230" s="29"/>
      <c r="K230" s="34"/>
      <c r="L230" s="35" t="str">
        <f aca="false">IF(A230="",IF(SUMPRODUCT(--(B230:K230&lt;&gt;""))&gt;0,"Missing ID",""),IF(COUNTIF($A$7:$A$307,A230)&gt;1,"Duplicate ID",IF(AND(E230="Complete",K230=""),"Evidence missing",IF(AND(E230&lt;&gt;"Not started",E230&lt;&gt;"In progress",E230&lt;&gt;"In review",E230&lt;&gt;"Complete"),"Choose a status",""))))</f>
        <v/>
      </c>
    </row>
    <row r="231" customFormat="false" ht="44" hidden="false" customHeight="true" outlineLevel="0" collapsed="false">
      <c r="A231" s="29"/>
      <c r="B231" s="29"/>
      <c r="C231" s="29"/>
      <c r="D231" s="29"/>
      <c r="E231" s="34"/>
      <c r="F231" s="29"/>
      <c r="G231" s="29"/>
      <c r="H231" s="29"/>
      <c r="I231" s="29"/>
      <c r="J231" s="29"/>
      <c r="K231" s="34"/>
      <c r="L231" s="35" t="str">
        <f aca="false">IF(A231="",IF(SUMPRODUCT(--(B231:K231&lt;&gt;""))&gt;0,"Missing ID",""),IF(COUNTIF($A$7:$A$307,A231)&gt;1,"Duplicate ID",IF(AND(E231="Complete",K231=""),"Evidence missing",IF(AND(E231&lt;&gt;"Not started",E231&lt;&gt;"In progress",E231&lt;&gt;"In review",E231&lt;&gt;"Complete"),"Choose a status",""))))</f>
        <v/>
      </c>
    </row>
    <row r="232" customFormat="false" ht="44" hidden="false" customHeight="true" outlineLevel="0" collapsed="false">
      <c r="A232" s="29"/>
      <c r="B232" s="29"/>
      <c r="C232" s="29"/>
      <c r="D232" s="29"/>
      <c r="E232" s="34"/>
      <c r="F232" s="29"/>
      <c r="G232" s="29"/>
      <c r="H232" s="29"/>
      <c r="I232" s="29"/>
      <c r="J232" s="29"/>
      <c r="K232" s="34"/>
      <c r="L232" s="35" t="str">
        <f aca="false">IF(A232="",IF(SUMPRODUCT(--(B232:K232&lt;&gt;""))&gt;0,"Missing ID",""),IF(COUNTIF($A$7:$A$307,A232)&gt;1,"Duplicate ID",IF(AND(E232="Complete",K232=""),"Evidence missing",IF(AND(E232&lt;&gt;"Not started",E232&lt;&gt;"In progress",E232&lt;&gt;"In review",E232&lt;&gt;"Complete"),"Choose a status",""))))</f>
        <v/>
      </c>
    </row>
    <row r="233" customFormat="false" ht="44" hidden="false" customHeight="true" outlineLevel="0" collapsed="false">
      <c r="A233" s="29"/>
      <c r="B233" s="29"/>
      <c r="C233" s="29"/>
      <c r="D233" s="29"/>
      <c r="E233" s="34"/>
      <c r="F233" s="29"/>
      <c r="G233" s="29"/>
      <c r="H233" s="29"/>
      <c r="I233" s="29"/>
      <c r="J233" s="29"/>
      <c r="K233" s="34"/>
      <c r="L233" s="35" t="str">
        <f aca="false">IF(A233="",IF(SUMPRODUCT(--(B233:K233&lt;&gt;""))&gt;0,"Missing ID",""),IF(COUNTIF($A$7:$A$307,A233)&gt;1,"Duplicate ID",IF(AND(E233="Complete",K233=""),"Evidence missing",IF(AND(E233&lt;&gt;"Not started",E233&lt;&gt;"In progress",E233&lt;&gt;"In review",E233&lt;&gt;"Complete"),"Choose a status",""))))</f>
        <v/>
      </c>
    </row>
    <row r="234" customFormat="false" ht="44" hidden="false" customHeight="true" outlineLevel="0" collapsed="false">
      <c r="A234" s="29"/>
      <c r="B234" s="29"/>
      <c r="C234" s="29"/>
      <c r="D234" s="29"/>
      <c r="E234" s="34"/>
      <c r="F234" s="29"/>
      <c r="G234" s="29"/>
      <c r="H234" s="29"/>
      <c r="I234" s="29"/>
      <c r="J234" s="29"/>
      <c r="K234" s="34"/>
      <c r="L234" s="35" t="str">
        <f aca="false">IF(A234="",IF(SUMPRODUCT(--(B234:K234&lt;&gt;""))&gt;0,"Missing ID",""),IF(COUNTIF($A$7:$A$307,A234)&gt;1,"Duplicate ID",IF(AND(E234="Complete",K234=""),"Evidence missing",IF(AND(E234&lt;&gt;"Not started",E234&lt;&gt;"In progress",E234&lt;&gt;"In review",E234&lt;&gt;"Complete"),"Choose a status",""))))</f>
        <v/>
      </c>
    </row>
    <row r="235" customFormat="false" ht="44" hidden="false" customHeight="true" outlineLevel="0" collapsed="false">
      <c r="A235" s="29"/>
      <c r="B235" s="29"/>
      <c r="C235" s="29"/>
      <c r="D235" s="29"/>
      <c r="E235" s="34"/>
      <c r="F235" s="29"/>
      <c r="G235" s="29"/>
      <c r="H235" s="29"/>
      <c r="I235" s="29"/>
      <c r="J235" s="29"/>
      <c r="K235" s="34"/>
      <c r="L235" s="35" t="str">
        <f aca="false">IF(A235="",IF(SUMPRODUCT(--(B235:K235&lt;&gt;""))&gt;0,"Missing ID",""),IF(COUNTIF($A$7:$A$307,A235)&gt;1,"Duplicate ID",IF(AND(E235="Complete",K235=""),"Evidence missing",IF(AND(E235&lt;&gt;"Not started",E235&lt;&gt;"In progress",E235&lt;&gt;"In review",E235&lt;&gt;"Complete"),"Choose a status",""))))</f>
        <v/>
      </c>
    </row>
    <row r="236" customFormat="false" ht="44" hidden="false" customHeight="true" outlineLevel="0" collapsed="false">
      <c r="A236" s="29"/>
      <c r="B236" s="29"/>
      <c r="C236" s="29"/>
      <c r="D236" s="29"/>
      <c r="E236" s="34"/>
      <c r="F236" s="29"/>
      <c r="G236" s="29"/>
      <c r="H236" s="29"/>
      <c r="I236" s="29"/>
      <c r="J236" s="29"/>
      <c r="K236" s="34"/>
      <c r="L236" s="35" t="str">
        <f aca="false">IF(A236="",IF(SUMPRODUCT(--(B236:K236&lt;&gt;""))&gt;0,"Missing ID",""),IF(COUNTIF($A$7:$A$307,A236)&gt;1,"Duplicate ID",IF(AND(E236="Complete",K236=""),"Evidence missing",IF(AND(E236&lt;&gt;"Not started",E236&lt;&gt;"In progress",E236&lt;&gt;"In review",E236&lt;&gt;"Complete"),"Choose a status",""))))</f>
        <v/>
      </c>
    </row>
    <row r="237" customFormat="false" ht="44" hidden="false" customHeight="true" outlineLevel="0" collapsed="false">
      <c r="A237" s="29"/>
      <c r="B237" s="29"/>
      <c r="C237" s="29"/>
      <c r="D237" s="29"/>
      <c r="E237" s="34"/>
      <c r="F237" s="29"/>
      <c r="G237" s="29"/>
      <c r="H237" s="29"/>
      <c r="I237" s="29"/>
      <c r="J237" s="29"/>
      <c r="K237" s="34"/>
      <c r="L237" s="35" t="str">
        <f aca="false">IF(A237="",IF(SUMPRODUCT(--(B237:K237&lt;&gt;""))&gt;0,"Missing ID",""),IF(COUNTIF($A$7:$A$307,A237)&gt;1,"Duplicate ID",IF(AND(E237="Complete",K237=""),"Evidence missing",IF(AND(E237&lt;&gt;"Not started",E237&lt;&gt;"In progress",E237&lt;&gt;"In review",E237&lt;&gt;"Complete"),"Choose a status",""))))</f>
        <v/>
      </c>
    </row>
    <row r="238" customFormat="false" ht="44" hidden="false" customHeight="true" outlineLevel="0" collapsed="false">
      <c r="A238" s="29"/>
      <c r="B238" s="29"/>
      <c r="C238" s="29"/>
      <c r="D238" s="29"/>
      <c r="E238" s="34"/>
      <c r="F238" s="29"/>
      <c r="G238" s="29"/>
      <c r="H238" s="29"/>
      <c r="I238" s="29"/>
      <c r="J238" s="29"/>
      <c r="K238" s="34"/>
      <c r="L238" s="35" t="str">
        <f aca="false">IF(A238="",IF(SUMPRODUCT(--(B238:K238&lt;&gt;""))&gt;0,"Missing ID",""),IF(COUNTIF($A$7:$A$307,A238)&gt;1,"Duplicate ID",IF(AND(E238="Complete",K238=""),"Evidence missing",IF(AND(E238&lt;&gt;"Not started",E238&lt;&gt;"In progress",E238&lt;&gt;"In review",E238&lt;&gt;"Complete"),"Choose a status",""))))</f>
        <v/>
      </c>
    </row>
    <row r="239" customFormat="false" ht="44" hidden="false" customHeight="true" outlineLevel="0" collapsed="false">
      <c r="A239" s="29"/>
      <c r="B239" s="29"/>
      <c r="C239" s="29"/>
      <c r="D239" s="29"/>
      <c r="E239" s="34"/>
      <c r="F239" s="29"/>
      <c r="G239" s="29"/>
      <c r="H239" s="29"/>
      <c r="I239" s="29"/>
      <c r="J239" s="29"/>
      <c r="K239" s="34"/>
      <c r="L239" s="35" t="str">
        <f aca="false">IF(A239="",IF(SUMPRODUCT(--(B239:K239&lt;&gt;""))&gt;0,"Missing ID",""),IF(COUNTIF($A$7:$A$307,A239)&gt;1,"Duplicate ID",IF(AND(E239="Complete",K239=""),"Evidence missing",IF(AND(E239&lt;&gt;"Not started",E239&lt;&gt;"In progress",E239&lt;&gt;"In review",E239&lt;&gt;"Complete"),"Choose a status",""))))</f>
        <v/>
      </c>
    </row>
    <row r="240" customFormat="false" ht="44" hidden="false" customHeight="true" outlineLevel="0" collapsed="false">
      <c r="A240" s="29"/>
      <c r="B240" s="29"/>
      <c r="C240" s="29"/>
      <c r="D240" s="29"/>
      <c r="E240" s="34"/>
      <c r="F240" s="29"/>
      <c r="G240" s="29"/>
      <c r="H240" s="29"/>
      <c r="I240" s="29"/>
      <c r="J240" s="29"/>
      <c r="K240" s="34"/>
      <c r="L240" s="35" t="str">
        <f aca="false">IF(A240="",IF(SUMPRODUCT(--(B240:K240&lt;&gt;""))&gt;0,"Missing ID",""),IF(COUNTIF($A$7:$A$307,A240)&gt;1,"Duplicate ID",IF(AND(E240="Complete",K240=""),"Evidence missing",IF(AND(E240&lt;&gt;"Not started",E240&lt;&gt;"In progress",E240&lt;&gt;"In review",E240&lt;&gt;"Complete"),"Choose a status",""))))</f>
        <v/>
      </c>
    </row>
    <row r="241" customFormat="false" ht="44" hidden="false" customHeight="true" outlineLevel="0" collapsed="false">
      <c r="A241" s="29"/>
      <c r="B241" s="29"/>
      <c r="C241" s="29"/>
      <c r="D241" s="29"/>
      <c r="E241" s="34"/>
      <c r="F241" s="29"/>
      <c r="G241" s="29"/>
      <c r="H241" s="29"/>
      <c r="I241" s="29"/>
      <c r="J241" s="29"/>
      <c r="K241" s="34"/>
      <c r="L241" s="35" t="str">
        <f aca="false">IF(A241="",IF(SUMPRODUCT(--(B241:K241&lt;&gt;""))&gt;0,"Missing ID",""),IF(COUNTIF($A$7:$A$307,A241)&gt;1,"Duplicate ID",IF(AND(E241="Complete",K241=""),"Evidence missing",IF(AND(E241&lt;&gt;"Not started",E241&lt;&gt;"In progress",E241&lt;&gt;"In review",E241&lt;&gt;"Complete"),"Choose a status",""))))</f>
        <v/>
      </c>
    </row>
    <row r="242" customFormat="false" ht="44" hidden="false" customHeight="true" outlineLevel="0" collapsed="false">
      <c r="A242" s="29"/>
      <c r="B242" s="29"/>
      <c r="C242" s="29"/>
      <c r="D242" s="29"/>
      <c r="E242" s="34"/>
      <c r="F242" s="29"/>
      <c r="G242" s="29"/>
      <c r="H242" s="29"/>
      <c r="I242" s="29"/>
      <c r="J242" s="29"/>
      <c r="K242" s="34"/>
      <c r="L242" s="35" t="str">
        <f aca="false">IF(A242="",IF(SUMPRODUCT(--(B242:K242&lt;&gt;""))&gt;0,"Missing ID",""),IF(COUNTIF($A$7:$A$307,A242)&gt;1,"Duplicate ID",IF(AND(E242="Complete",K242=""),"Evidence missing",IF(AND(E242&lt;&gt;"Not started",E242&lt;&gt;"In progress",E242&lt;&gt;"In review",E242&lt;&gt;"Complete"),"Choose a status",""))))</f>
        <v/>
      </c>
    </row>
    <row r="243" customFormat="false" ht="44" hidden="false" customHeight="true" outlineLevel="0" collapsed="false">
      <c r="A243" s="29"/>
      <c r="B243" s="29"/>
      <c r="C243" s="29"/>
      <c r="D243" s="29"/>
      <c r="E243" s="34"/>
      <c r="F243" s="29"/>
      <c r="G243" s="29"/>
      <c r="H243" s="29"/>
      <c r="I243" s="29"/>
      <c r="J243" s="29"/>
      <c r="K243" s="34"/>
      <c r="L243" s="35" t="str">
        <f aca="false">IF(A243="",IF(SUMPRODUCT(--(B243:K243&lt;&gt;""))&gt;0,"Missing ID",""),IF(COUNTIF($A$7:$A$307,A243)&gt;1,"Duplicate ID",IF(AND(E243="Complete",K243=""),"Evidence missing",IF(AND(E243&lt;&gt;"Not started",E243&lt;&gt;"In progress",E243&lt;&gt;"In review",E243&lt;&gt;"Complete"),"Choose a status",""))))</f>
        <v/>
      </c>
    </row>
    <row r="244" customFormat="false" ht="44" hidden="false" customHeight="true" outlineLevel="0" collapsed="false">
      <c r="A244" s="29"/>
      <c r="B244" s="29"/>
      <c r="C244" s="29"/>
      <c r="D244" s="29"/>
      <c r="E244" s="34"/>
      <c r="F244" s="29"/>
      <c r="G244" s="29"/>
      <c r="H244" s="29"/>
      <c r="I244" s="29"/>
      <c r="J244" s="29"/>
      <c r="K244" s="34"/>
      <c r="L244" s="35" t="str">
        <f aca="false">IF(A244="",IF(SUMPRODUCT(--(B244:K244&lt;&gt;""))&gt;0,"Missing ID",""),IF(COUNTIF($A$7:$A$307,A244)&gt;1,"Duplicate ID",IF(AND(E244="Complete",K244=""),"Evidence missing",IF(AND(E244&lt;&gt;"Not started",E244&lt;&gt;"In progress",E244&lt;&gt;"In review",E244&lt;&gt;"Complete"),"Choose a status",""))))</f>
        <v/>
      </c>
    </row>
    <row r="245" customFormat="false" ht="44" hidden="false" customHeight="true" outlineLevel="0" collapsed="false">
      <c r="A245" s="29"/>
      <c r="B245" s="29"/>
      <c r="C245" s="29"/>
      <c r="D245" s="29"/>
      <c r="E245" s="34"/>
      <c r="F245" s="29"/>
      <c r="G245" s="29"/>
      <c r="H245" s="29"/>
      <c r="I245" s="29"/>
      <c r="J245" s="29"/>
      <c r="K245" s="34"/>
      <c r="L245" s="35" t="str">
        <f aca="false">IF(A245="",IF(SUMPRODUCT(--(B245:K245&lt;&gt;""))&gt;0,"Missing ID",""),IF(COUNTIF($A$7:$A$307,A245)&gt;1,"Duplicate ID",IF(AND(E245="Complete",K245=""),"Evidence missing",IF(AND(E245&lt;&gt;"Not started",E245&lt;&gt;"In progress",E245&lt;&gt;"In review",E245&lt;&gt;"Complete"),"Choose a status",""))))</f>
        <v/>
      </c>
    </row>
    <row r="246" customFormat="false" ht="44" hidden="false" customHeight="true" outlineLevel="0" collapsed="false">
      <c r="A246" s="29"/>
      <c r="B246" s="29"/>
      <c r="C246" s="29"/>
      <c r="D246" s="29"/>
      <c r="E246" s="34"/>
      <c r="F246" s="29"/>
      <c r="G246" s="29"/>
      <c r="H246" s="29"/>
      <c r="I246" s="29"/>
      <c r="J246" s="29"/>
      <c r="K246" s="34"/>
      <c r="L246" s="35" t="str">
        <f aca="false">IF(A246="",IF(SUMPRODUCT(--(B246:K246&lt;&gt;""))&gt;0,"Missing ID",""),IF(COUNTIF($A$7:$A$307,A246)&gt;1,"Duplicate ID",IF(AND(E246="Complete",K246=""),"Evidence missing",IF(AND(E246&lt;&gt;"Not started",E246&lt;&gt;"In progress",E246&lt;&gt;"In review",E246&lt;&gt;"Complete"),"Choose a status",""))))</f>
        <v/>
      </c>
    </row>
    <row r="247" customFormat="false" ht="44" hidden="false" customHeight="true" outlineLevel="0" collapsed="false">
      <c r="A247" s="29"/>
      <c r="B247" s="29"/>
      <c r="C247" s="29"/>
      <c r="D247" s="29"/>
      <c r="E247" s="34"/>
      <c r="F247" s="29"/>
      <c r="G247" s="29"/>
      <c r="H247" s="29"/>
      <c r="I247" s="29"/>
      <c r="J247" s="29"/>
      <c r="K247" s="34"/>
      <c r="L247" s="35" t="str">
        <f aca="false">IF(A247="",IF(SUMPRODUCT(--(B247:K247&lt;&gt;""))&gt;0,"Missing ID",""),IF(COUNTIF($A$7:$A$307,A247)&gt;1,"Duplicate ID",IF(AND(E247="Complete",K247=""),"Evidence missing",IF(AND(E247&lt;&gt;"Not started",E247&lt;&gt;"In progress",E247&lt;&gt;"In review",E247&lt;&gt;"Complete"),"Choose a status",""))))</f>
        <v/>
      </c>
    </row>
    <row r="248" customFormat="false" ht="44" hidden="false" customHeight="true" outlineLevel="0" collapsed="false">
      <c r="A248" s="29"/>
      <c r="B248" s="29"/>
      <c r="C248" s="29"/>
      <c r="D248" s="29"/>
      <c r="E248" s="34"/>
      <c r="F248" s="29"/>
      <c r="G248" s="29"/>
      <c r="H248" s="29"/>
      <c r="I248" s="29"/>
      <c r="J248" s="29"/>
      <c r="K248" s="34"/>
      <c r="L248" s="35" t="str">
        <f aca="false">IF(A248="",IF(SUMPRODUCT(--(B248:K248&lt;&gt;""))&gt;0,"Missing ID",""),IF(COUNTIF($A$7:$A$307,A248)&gt;1,"Duplicate ID",IF(AND(E248="Complete",K248=""),"Evidence missing",IF(AND(E248&lt;&gt;"Not started",E248&lt;&gt;"In progress",E248&lt;&gt;"In review",E248&lt;&gt;"Complete"),"Choose a status",""))))</f>
        <v/>
      </c>
    </row>
    <row r="249" customFormat="false" ht="44" hidden="false" customHeight="true" outlineLevel="0" collapsed="false">
      <c r="A249" s="29"/>
      <c r="B249" s="29"/>
      <c r="C249" s="29"/>
      <c r="D249" s="29"/>
      <c r="E249" s="34"/>
      <c r="F249" s="29"/>
      <c r="G249" s="29"/>
      <c r="H249" s="29"/>
      <c r="I249" s="29"/>
      <c r="J249" s="29"/>
      <c r="K249" s="34"/>
      <c r="L249" s="35" t="str">
        <f aca="false">IF(A249="",IF(SUMPRODUCT(--(B249:K249&lt;&gt;""))&gt;0,"Missing ID",""),IF(COUNTIF($A$7:$A$307,A249)&gt;1,"Duplicate ID",IF(AND(E249="Complete",K249=""),"Evidence missing",IF(AND(E249&lt;&gt;"Not started",E249&lt;&gt;"In progress",E249&lt;&gt;"In review",E249&lt;&gt;"Complete"),"Choose a status",""))))</f>
        <v/>
      </c>
    </row>
    <row r="250" customFormat="false" ht="44" hidden="false" customHeight="true" outlineLevel="0" collapsed="false">
      <c r="A250" s="29"/>
      <c r="B250" s="29"/>
      <c r="C250" s="29"/>
      <c r="D250" s="29"/>
      <c r="E250" s="34"/>
      <c r="F250" s="29"/>
      <c r="G250" s="29"/>
      <c r="H250" s="29"/>
      <c r="I250" s="29"/>
      <c r="J250" s="29"/>
      <c r="K250" s="34"/>
      <c r="L250" s="35" t="str">
        <f aca="false">IF(A250="",IF(SUMPRODUCT(--(B250:K250&lt;&gt;""))&gt;0,"Missing ID",""),IF(COUNTIF($A$7:$A$307,A250)&gt;1,"Duplicate ID",IF(AND(E250="Complete",K250=""),"Evidence missing",IF(AND(E250&lt;&gt;"Not started",E250&lt;&gt;"In progress",E250&lt;&gt;"In review",E250&lt;&gt;"Complete"),"Choose a status",""))))</f>
        <v/>
      </c>
    </row>
    <row r="251" customFormat="false" ht="44" hidden="false" customHeight="true" outlineLevel="0" collapsed="false">
      <c r="A251" s="29"/>
      <c r="B251" s="29"/>
      <c r="C251" s="29"/>
      <c r="D251" s="29"/>
      <c r="E251" s="34"/>
      <c r="F251" s="29"/>
      <c r="G251" s="29"/>
      <c r="H251" s="29"/>
      <c r="I251" s="29"/>
      <c r="J251" s="29"/>
      <c r="K251" s="34"/>
      <c r="L251" s="35" t="str">
        <f aca="false">IF(A251="",IF(SUMPRODUCT(--(B251:K251&lt;&gt;""))&gt;0,"Missing ID",""),IF(COUNTIF($A$7:$A$307,A251)&gt;1,"Duplicate ID",IF(AND(E251="Complete",K251=""),"Evidence missing",IF(AND(E251&lt;&gt;"Not started",E251&lt;&gt;"In progress",E251&lt;&gt;"In review",E251&lt;&gt;"Complete"),"Choose a status",""))))</f>
        <v/>
      </c>
    </row>
    <row r="252" customFormat="false" ht="44" hidden="false" customHeight="true" outlineLevel="0" collapsed="false">
      <c r="A252" s="29"/>
      <c r="B252" s="29"/>
      <c r="C252" s="29"/>
      <c r="D252" s="29"/>
      <c r="E252" s="34"/>
      <c r="F252" s="29"/>
      <c r="G252" s="29"/>
      <c r="H252" s="29"/>
      <c r="I252" s="29"/>
      <c r="J252" s="29"/>
      <c r="K252" s="34"/>
      <c r="L252" s="35" t="str">
        <f aca="false">IF(A252="",IF(SUMPRODUCT(--(B252:K252&lt;&gt;""))&gt;0,"Missing ID",""),IF(COUNTIF($A$7:$A$307,A252)&gt;1,"Duplicate ID",IF(AND(E252="Complete",K252=""),"Evidence missing",IF(AND(E252&lt;&gt;"Not started",E252&lt;&gt;"In progress",E252&lt;&gt;"In review",E252&lt;&gt;"Complete"),"Choose a status",""))))</f>
        <v/>
      </c>
    </row>
    <row r="253" customFormat="false" ht="44" hidden="false" customHeight="true" outlineLevel="0" collapsed="false">
      <c r="A253" s="29"/>
      <c r="B253" s="29"/>
      <c r="C253" s="29"/>
      <c r="D253" s="29"/>
      <c r="E253" s="34"/>
      <c r="F253" s="29"/>
      <c r="G253" s="29"/>
      <c r="H253" s="29"/>
      <c r="I253" s="29"/>
      <c r="J253" s="29"/>
      <c r="K253" s="34"/>
      <c r="L253" s="35" t="str">
        <f aca="false">IF(A253="",IF(SUMPRODUCT(--(B253:K253&lt;&gt;""))&gt;0,"Missing ID",""),IF(COUNTIF($A$7:$A$307,A253)&gt;1,"Duplicate ID",IF(AND(E253="Complete",K253=""),"Evidence missing",IF(AND(E253&lt;&gt;"Not started",E253&lt;&gt;"In progress",E253&lt;&gt;"In review",E253&lt;&gt;"Complete"),"Choose a status",""))))</f>
        <v/>
      </c>
    </row>
    <row r="254" customFormat="false" ht="44" hidden="false" customHeight="true" outlineLevel="0" collapsed="false">
      <c r="A254" s="29"/>
      <c r="B254" s="29"/>
      <c r="C254" s="29"/>
      <c r="D254" s="29"/>
      <c r="E254" s="34"/>
      <c r="F254" s="29"/>
      <c r="G254" s="29"/>
      <c r="H254" s="29"/>
      <c r="I254" s="29"/>
      <c r="J254" s="29"/>
      <c r="K254" s="34"/>
      <c r="L254" s="35" t="str">
        <f aca="false">IF(A254="",IF(SUMPRODUCT(--(B254:K254&lt;&gt;""))&gt;0,"Missing ID",""),IF(COUNTIF($A$7:$A$307,A254)&gt;1,"Duplicate ID",IF(AND(E254="Complete",K254=""),"Evidence missing",IF(AND(E254&lt;&gt;"Not started",E254&lt;&gt;"In progress",E254&lt;&gt;"In review",E254&lt;&gt;"Complete"),"Choose a status",""))))</f>
        <v/>
      </c>
    </row>
    <row r="255" customFormat="false" ht="44" hidden="false" customHeight="true" outlineLevel="0" collapsed="false">
      <c r="A255" s="29"/>
      <c r="B255" s="29"/>
      <c r="C255" s="29"/>
      <c r="D255" s="29"/>
      <c r="E255" s="34"/>
      <c r="F255" s="29"/>
      <c r="G255" s="29"/>
      <c r="H255" s="29"/>
      <c r="I255" s="29"/>
      <c r="J255" s="29"/>
      <c r="K255" s="34"/>
      <c r="L255" s="35" t="str">
        <f aca="false">IF(A255="",IF(SUMPRODUCT(--(B255:K255&lt;&gt;""))&gt;0,"Missing ID",""),IF(COUNTIF($A$7:$A$307,A255)&gt;1,"Duplicate ID",IF(AND(E255="Complete",K255=""),"Evidence missing",IF(AND(E255&lt;&gt;"Not started",E255&lt;&gt;"In progress",E255&lt;&gt;"In review",E255&lt;&gt;"Complete"),"Choose a status",""))))</f>
        <v/>
      </c>
    </row>
    <row r="256" customFormat="false" ht="44" hidden="false" customHeight="true" outlineLevel="0" collapsed="false">
      <c r="A256" s="29"/>
      <c r="B256" s="29"/>
      <c r="C256" s="29"/>
      <c r="D256" s="29"/>
      <c r="E256" s="34"/>
      <c r="F256" s="29"/>
      <c r="G256" s="29"/>
      <c r="H256" s="29"/>
      <c r="I256" s="29"/>
      <c r="J256" s="29"/>
      <c r="K256" s="34"/>
      <c r="L256" s="35" t="str">
        <f aca="false">IF(A256="",IF(SUMPRODUCT(--(B256:K256&lt;&gt;""))&gt;0,"Missing ID",""),IF(COUNTIF($A$7:$A$307,A256)&gt;1,"Duplicate ID",IF(AND(E256="Complete",K256=""),"Evidence missing",IF(AND(E256&lt;&gt;"Not started",E256&lt;&gt;"In progress",E256&lt;&gt;"In review",E256&lt;&gt;"Complete"),"Choose a status",""))))</f>
        <v/>
      </c>
    </row>
    <row r="257" customFormat="false" ht="44" hidden="false" customHeight="true" outlineLevel="0" collapsed="false">
      <c r="A257" s="29"/>
      <c r="B257" s="29"/>
      <c r="C257" s="29"/>
      <c r="D257" s="29"/>
      <c r="E257" s="34"/>
      <c r="F257" s="29"/>
      <c r="G257" s="29"/>
      <c r="H257" s="29"/>
      <c r="I257" s="29"/>
      <c r="J257" s="29"/>
      <c r="K257" s="34"/>
      <c r="L257" s="35" t="str">
        <f aca="false">IF(A257="",IF(SUMPRODUCT(--(B257:K257&lt;&gt;""))&gt;0,"Missing ID",""),IF(COUNTIF($A$7:$A$307,A257)&gt;1,"Duplicate ID",IF(AND(E257="Complete",K257=""),"Evidence missing",IF(AND(E257&lt;&gt;"Not started",E257&lt;&gt;"In progress",E257&lt;&gt;"In review",E257&lt;&gt;"Complete"),"Choose a status",""))))</f>
        <v/>
      </c>
    </row>
    <row r="258" customFormat="false" ht="44" hidden="false" customHeight="true" outlineLevel="0" collapsed="false">
      <c r="A258" s="29"/>
      <c r="B258" s="29"/>
      <c r="C258" s="29"/>
      <c r="D258" s="29"/>
      <c r="E258" s="34"/>
      <c r="F258" s="29"/>
      <c r="G258" s="29"/>
      <c r="H258" s="29"/>
      <c r="I258" s="29"/>
      <c r="J258" s="29"/>
      <c r="K258" s="34"/>
      <c r="L258" s="35" t="str">
        <f aca="false">IF(A258="",IF(SUMPRODUCT(--(B258:K258&lt;&gt;""))&gt;0,"Missing ID",""),IF(COUNTIF($A$7:$A$307,A258)&gt;1,"Duplicate ID",IF(AND(E258="Complete",K258=""),"Evidence missing",IF(AND(E258&lt;&gt;"Not started",E258&lt;&gt;"In progress",E258&lt;&gt;"In review",E258&lt;&gt;"Complete"),"Choose a status",""))))</f>
        <v/>
      </c>
    </row>
    <row r="259" customFormat="false" ht="44" hidden="false" customHeight="true" outlineLevel="0" collapsed="false">
      <c r="A259" s="29"/>
      <c r="B259" s="29"/>
      <c r="C259" s="29"/>
      <c r="D259" s="29"/>
      <c r="E259" s="34"/>
      <c r="F259" s="29"/>
      <c r="G259" s="29"/>
      <c r="H259" s="29"/>
      <c r="I259" s="29"/>
      <c r="J259" s="29"/>
      <c r="K259" s="34"/>
      <c r="L259" s="35" t="str">
        <f aca="false">IF(A259="",IF(SUMPRODUCT(--(B259:K259&lt;&gt;""))&gt;0,"Missing ID",""),IF(COUNTIF($A$7:$A$307,A259)&gt;1,"Duplicate ID",IF(AND(E259="Complete",K259=""),"Evidence missing",IF(AND(E259&lt;&gt;"Not started",E259&lt;&gt;"In progress",E259&lt;&gt;"In review",E259&lt;&gt;"Complete"),"Choose a status",""))))</f>
        <v/>
      </c>
    </row>
    <row r="260" customFormat="false" ht="44" hidden="false" customHeight="true" outlineLevel="0" collapsed="false">
      <c r="A260" s="29"/>
      <c r="B260" s="29"/>
      <c r="C260" s="29"/>
      <c r="D260" s="29"/>
      <c r="E260" s="34"/>
      <c r="F260" s="29"/>
      <c r="G260" s="29"/>
      <c r="H260" s="29"/>
      <c r="I260" s="29"/>
      <c r="J260" s="29"/>
      <c r="K260" s="34"/>
      <c r="L260" s="35" t="str">
        <f aca="false">IF(A260="",IF(SUMPRODUCT(--(B260:K260&lt;&gt;""))&gt;0,"Missing ID",""),IF(COUNTIF($A$7:$A$307,A260)&gt;1,"Duplicate ID",IF(AND(E260="Complete",K260=""),"Evidence missing",IF(AND(E260&lt;&gt;"Not started",E260&lt;&gt;"In progress",E260&lt;&gt;"In review",E260&lt;&gt;"Complete"),"Choose a status",""))))</f>
        <v/>
      </c>
    </row>
    <row r="261" customFormat="false" ht="44" hidden="false" customHeight="true" outlineLevel="0" collapsed="false">
      <c r="A261" s="29"/>
      <c r="B261" s="29"/>
      <c r="C261" s="29"/>
      <c r="D261" s="29"/>
      <c r="E261" s="34"/>
      <c r="F261" s="29"/>
      <c r="G261" s="29"/>
      <c r="H261" s="29"/>
      <c r="I261" s="29"/>
      <c r="J261" s="29"/>
      <c r="K261" s="34"/>
      <c r="L261" s="35" t="str">
        <f aca="false">IF(A261="",IF(SUMPRODUCT(--(B261:K261&lt;&gt;""))&gt;0,"Missing ID",""),IF(COUNTIF($A$7:$A$307,A261)&gt;1,"Duplicate ID",IF(AND(E261="Complete",K261=""),"Evidence missing",IF(AND(E261&lt;&gt;"Not started",E261&lt;&gt;"In progress",E261&lt;&gt;"In review",E261&lt;&gt;"Complete"),"Choose a status",""))))</f>
        <v/>
      </c>
    </row>
    <row r="262" customFormat="false" ht="44" hidden="false" customHeight="true" outlineLevel="0" collapsed="false">
      <c r="A262" s="29"/>
      <c r="B262" s="29"/>
      <c r="C262" s="29"/>
      <c r="D262" s="29"/>
      <c r="E262" s="34"/>
      <c r="F262" s="29"/>
      <c r="G262" s="29"/>
      <c r="H262" s="29"/>
      <c r="I262" s="29"/>
      <c r="J262" s="29"/>
      <c r="K262" s="34"/>
      <c r="L262" s="35" t="str">
        <f aca="false">IF(A262="",IF(SUMPRODUCT(--(B262:K262&lt;&gt;""))&gt;0,"Missing ID",""),IF(COUNTIF($A$7:$A$307,A262)&gt;1,"Duplicate ID",IF(AND(E262="Complete",K262=""),"Evidence missing",IF(AND(E262&lt;&gt;"Not started",E262&lt;&gt;"In progress",E262&lt;&gt;"In review",E262&lt;&gt;"Complete"),"Choose a status",""))))</f>
        <v/>
      </c>
    </row>
    <row r="263" customFormat="false" ht="44" hidden="false" customHeight="true" outlineLevel="0" collapsed="false">
      <c r="A263" s="29"/>
      <c r="B263" s="29"/>
      <c r="C263" s="29"/>
      <c r="D263" s="29"/>
      <c r="E263" s="34"/>
      <c r="F263" s="29"/>
      <c r="G263" s="29"/>
      <c r="H263" s="29"/>
      <c r="I263" s="29"/>
      <c r="J263" s="29"/>
      <c r="K263" s="34"/>
      <c r="L263" s="35" t="str">
        <f aca="false">IF(A263="",IF(SUMPRODUCT(--(B263:K263&lt;&gt;""))&gt;0,"Missing ID",""),IF(COUNTIF($A$7:$A$307,A263)&gt;1,"Duplicate ID",IF(AND(E263="Complete",K263=""),"Evidence missing",IF(AND(E263&lt;&gt;"Not started",E263&lt;&gt;"In progress",E263&lt;&gt;"In review",E263&lt;&gt;"Complete"),"Choose a status",""))))</f>
        <v/>
      </c>
    </row>
    <row r="264" customFormat="false" ht="44" hidden="false" customHeight="true" outlineLevel="0" collapsed="false">
      <c r="A264" s="29"/>
      <c r="B264" s="29"/>
      <c r="C264" s="29"/>
      <c r="D264" s="29"/>
      <c r="E264" s="34"/>
      <c r="F264" s="29"/>
      <c r="G264" s="29"/>
      <c r="H264" s="29"/>
      <c r="I264" s="29"/>
      <c r="J264" s="29"/>
      <c r="K264" s="34"/>
      <c r="L264" s="35" t="str">
        <f aca="false">IF(A264="",IF(SUMPRODUCT(--(B264:K264&lt;&gt;""))&gt;0,"Missing ID",""),IF(COUNTIF($A$7:$A$307,A264)&gt;1,"Duplicate ID",IF(AND(E264="Complete",K264=""),"Evidence missing",IF(AND(E264&lt;&gt;"Not started",E264&lt;&gt;"In progress",E264&lt;&gt;"In review",E264&lt;&gt;"Complete"),"Choose a status",""))))</f>
        <v/>
      </c>
    </row>
    <row r="265" customFormat="false" ht="44" hidden="false" customHeight="true" outlineLevel="0" collapsed="false">
      <c r="A265" s="29"/>
      <c r="B265" s="29"/>
      <c r="C265" s="29"/>
      <c r="D265" s="29"/>
      <c r="E265" s="34"/>
      <c r="F265" s="29"/>
      <c r="G265" s="29"/>
      <c r="H265" s="29"/>
      <c r="I265" s="29"/>
      <c r="J265" s="29"/>
      <c r="K265" s="34"/>
      <c r="L265" s="35" t="str">
        <f aca="false">IF(A265="",IF(SUMPRODUCT(--(B265:K265&lt;&gt;""))&gt;0,"Missing ID",""),IF(COUNTIF($A$7:$A$307,A265)&gt;1,"Duplicate ID",IF(AND(E265="Complete",K265=""),"Evidence missing",IF(AND(E265&lt;&gt;"Not started",E265&lt;&gt;"In progress",E265&lt;&gt;"In review",E265&lt;&gt;"Complete"),"Choose a status",""))))</f>
        <v/>
      </c>
    </row>
    <row r="266" customFormat="false" ht="44" hidden="false" customHeight="true" outlineLevel="0" collapsed="false">
      <c r="A266" s="29"/>
      <c r="B266" s="29"/>
      <c r="C266" s="29"/>
      <c r="D266" s="29"/>
      <c r="E266" s="34"/>
      <c r="F266" s="29"/>
      <c r="G266" s="29"/>
      <c r="H266" s="29"/>
      <c r="I266" s="29"/>
      <c r="J266" s="29"/>
      <c r="K266" s="34"/>
      <c r="L266" s="35" t="str">
        <f aca="false">IF(A266="",IF(SUMPRODUCT(--(B266:K266&lt;&gt;""))&gt;0,"Missing ID",""),IF(COUNTIF($A$7:$A$307,A266)&gt;1,"Duplicate ID",IF(AND(E266="Complete",K266=""),"Evidence missing",IF(AND(E266&lt;&gt;"Not started",E266&lt;&gt;"In progress",E266&lt;&gt;"In review",E266&lt;&gt;"Complete"),"Choose a status",""))))</f>
        <v/>
      </c>
    </row>
    <row r="267" customFormat="false" ht="44" hidden="false" customHeight="true" outlineLevel="0" collapsed="false">
      <c r="A267" s="29"/>
      <c r="B267" s="29"/>
      <c r="C267" s="29"/>
      <c r="D267" s="29"/>
      <c r="E267" s="34"/>
      <c r="F267" s="29"/>
      <c r="G267" s="29"/>
      <c r="H267" s="29"/>
      <c r="I267" s="29"/>
      <c r="J267" s="29"/>
      <c r="K267" s="34"/>
      <c r="L267" s="35" t="str">
        <f aca="false">IF(A267="",IF(SUMPRODUCT(--(B267:K267&lt;&gt;""))&gt;0,"Missing ID",""),IF(COUNTIF($A$7:$A$307,A267)&gt;1,"Duplicate ID",IF(AND(E267="Complete",K267=""),"Evidence missing",IF(AND(E267&lt;&gt;"Not started",E267&lt;&gt;"In progress",E267&lt;&gt;"In review",E267&lt;&gt;"Complete"),"Choose a status",""))))</f>
        <v/>
      </c>
    </row>
    <row r="268" customFormat="false" ht="44" hidden="false" customHeight="true" outlineLevel="0" collapsed="false">
      <c r="A268" s="29"/>
      <c r="B268" s="29"/>
      <c r="C268" s="29"/>
      <c r="D268" s="29"/>
      <c r="E268" s="34"/>
      <c r="F268" s="29"/>
      <c r="G268" s="29"/>
      <c r="H268" s="29"/>
      <c r="I268" s="29"/>
      <c r="J268" s="29"/>
      <c r="K268" s="34"/>
      <c r="L268" s="35" t="str">
        <f aca="false">IF(A268="",IF(SUMPRODUCT(--(B268:K268&lt;&gt;""))&gt;0,"Missing ID",""),IF(COUNTIF($A$7:$A$307,A268)&gt;1,"Duplicate ID",IF(AND(E268="Complete",K268=""),"Evidence missing",IF(AND(E268&lt;&gt;"Not started",E268&lt;&gt;"In progress",E268&lt;&gt;"In review",E268&lt;&gt;"Complete"),"Choose a status",""))))</f>
        <v/>
      </c>
    </row>
    <row r="269" customFormat="false" ht="44" hidden="false" customHeight="true" outlineLevel="0" collapsed="false">
      <c r="A269" s="29"/>
      <c r="B269" s="29"/>
      <c r="C269" s="29"/>
      <c r="D269" s="29"/>
      <c r="E269" s="34"/>
      <c r="F269" s="29"/>
      <c r="G269" s="29"/>
      <c r="H269" s="29"/>
      <c r="I269" s="29"/>
      <c r="J269" s="29"/>
      <c r="K269" s="34"/>
      <c r="L269" s="35" t="str">
        <f aca="false">IF(A269="",IF(SUMPRODUCT(--(B269:K269&lt;&gt;""))&gt;0,"Missing ID",""),IF(COUNTIF($A$7:$A$307,A269)&gt;1,"Duplicate ID",IF(AND(E269="Complete",K269=""),"Evidence missing",IF(AND(E269&lt;&gt;"Not started",E269&lt;&gt;"In progress",E269&lt;&gt;"In review",E269&lt;&gt;"Complete"),"Choose a status",""))))</f>
        <v/>
      </c>
    </row>
    <row r="270" customFormat="false" ht="44" hidden="false" customHeight="true" outlineLevel="0" collapsed="false">
      <c r="A270" s="29"/>
      <c r="B270" s="29"/>
      <c r="C270" s="29"/>
      <c r="D270" s="29"/>
      <c r="E270" s="34"/>
      <c r="F270" s="29"/>
      <c r="G270" s="29"/>
      <c r="H270" s="29"/>
      <c r="I270" s="29"/>
      <c r="J270" s="29"/>
      <c r="K270" s="34"/>
      <c r="L270" s="35" t="str">
        <f aca="false">IF(A270="",IF(SUMPRODUCT(--(B270:K270&lt;&gt;""))&gt;0,"Missing ID",""),IF(COUNTIF($A$7:$A$307,A270)&gt;1,"Duplicate ID",IF(AND(E270="Complete",K270=""),"Evidence missing",IF(AND(E270&lt;&gt;"Not started",E270&lt;&gt;"In progress",E270&lt;&gt;"In review",E270&lt;&gt;"Complete"),"Choose a status",""))))</f>
        <v/>
      </c>
    </row>
    <row r="271" customFormat="false" ht="44" hidden="false" customHeight="true" outlineLevel="0" collapsed="false">
      <c r="A271" s="29"/>
      <c r="B271" s="29"/>
      <c r="C271" s="29"/>
      <c r="D271" s="29"/>
      <c r="E271" s="34"/>
      <c r="F271" s="29"/>
      <c r="G271" s="29"/>
      <c r="H271" s="29"/>
      <c r="I271" s="29"/>
      <c r="J271" s="29"/>
      <c r="K271" s="34"/>
      <c r="L271" s="35" t="str">
        <f aca="false">IF(A271="",IF(SUMPRODUCT(--(B271:K271&lt;&gt;""))&gt;0,"Missing ID",""),IF(COUNTIF($A$7:$A$307,A271)&gt;1,"Duplicate ID",IF(AND(E271="Complete",K271=""),"Evidence missing",IF(AND(E271&lt;&gt;"Not started",E271&lt;&gt;"In progress",E271&lt;&gt;"In review",E271&lt;&gt;"Complete"),"Choose a status",""))))</f>
        <v/>
      </c>
    </row>
    <row r="272" customFormat="false" ht="44" hidden="false" customHeight="true" outlineLevel="0" collapsed="false">
      <c r="A272" s="29"/>
      <c r="B272" s="29"/>
      <c r="C272" s="29"/>
      <c r="D272" s="29"/>
      <c r="E272" s="34"/>
      <c r="F272" s="29"/>
      <c r="G272" s="29"/>
      <c r="H272" s="29"/>
      <c r="I272" s="29"/>
      <c r="J272" s="29"/>
      <c r="K272" s="34"/>
      <c r="L272" s="35" t="str">
        <f aca="false">IF(A272="",IF(SUMPRODUCT(--(B272:K272&lt;&gt;""))&gt;0,"Missing ID",""),IF(COUNTIF($A$7:$A$307,A272)&gt;1,"Duplicate ID",IF(AND(E272="Complete",K272=""),"Evidence missing",IF(AND(E272&lt;&gt;"Not started",E272&lt;&gt;"In progress",E272&lt;&gt;"In review",E272&lt;&gt;"Complete"),"Choose a status",""))))</f>
        <v/>
      </c>
    </row>
    <row r="273" customFormat="false" ht="44" hidden="false" customHeight="true" outlineLevel="0" collapsed="false">
      <c r="A273" s="29"/>
      <c r="B273" s="29"/>
      <c r="C273" s="29"/>
      <c r="D273" s="29"/>
      <c r="E273" s="34"/>
      <c r="F273" s="29"/>
      <c r="G273" s="29"/>
      <c r="H273" s="29"/>
      <c r="I273" s="29"/>
      <c r="J273" s="29"/>
      <c r="K273" s="34"/>
      <c r="L273" s="35" t="str">
        <f aca="false">IF(A273="",IF(SUMPRODUCT(--(B273:K273&lt;&gt;""))&gt;0,"Missing ID",""),IF(COUNTIF($A$7:$A$307,A273)&gt;1,"Duplicate ID",IF(AND(E273="Complete",K273=""),"Evidence missing",IF(AND(E273&lt;&gt;"Not started",E273&lt;&gt;"In progress",E273&lt;&gt;"In review",E273&lt;&gt;"Complete"),"Choose a status",""))))</f>
        <v/>
      </c>
    </row>
    <row r="274" customFormat="false" ht="44" hidden="false" customHeight="true" outlineLevel="0" collapsed="false">
      <c r="A274" s="29"/>
      <c r="B274" s="29"/>
      <c r="C274" s="29"/>
      <c r="D274" s="29"/>
      <c r="E274" s="34"/>
      <c r="F274" s="29"/>
      <c r="G274" s="29"/>
      <c r="H274" s="29"/>
      <c r="I274" s="29"/>
      <c r="J274" s="29"/>
      <c r="K274" s="34"/>
      <c r="L274" s="35" t="str">
        <f aca="false">IF(A274="",IF(SUMPRODUCT(--(B274:K274&lt;&gt;""))&gt;0,"Missing ID",""),IF(COUNTIF($A$7:$A$307,A274)&gt;1,"Duplicate ID",IF(AND(E274="Complete",K274=""),"Evidence missing",IF(AND(E274&lt;&gt;"Not started",E274&lt;&gt;"In progress",E274&lt;&gt;"In review",E274&lt;&gt;"Complete"),"Choose a status",""))))</f>
        <v/>
      </c>
    </row>
    <row r="275" customFormat="false" ht="44" hidden="false" customHeight="true" outlineLevel="0" collapsed="false">
      <c r="A275" s="29"/>
      <c r="B275" s="29"/>
      <c r="C275" s="29"/>
      <c r="D275" s="29"/>
      <c r="E275" s="34"/>
      <c r="F275" s="29"/>
      <c r="G275" s="29"/>
      <c r="H275" s="29"/>
      <c r="I275" s="29"/>
      <c r="J275" s="29"/>
      <c r="K275" s="34"/>
      <c r="L275" s="35" t="str">
        <f aca="false">IF(A275="",IF(SUMPRODUCT(--(B275:K275&lt;&gt;""))&gt;0,"Missing ID",""),IF(COUNTIF($A$7:$A$307,A275)&gt;1,"Duplicate ID",IF(AND(E275="Complete",K275=""),"Evidence missing",IF(AND(E275&lt;&gt;"Not started",E275&lt;&gt;"In progress",E275&lt;&gt;"In review",E275&lt;&gt;"Complete"),"Choose a status",""))))</f>
        <v/>
      </c>
    </row>
    <row r="276" customFormat="false" ht="44" hidden="false" customHeight="true" outlineLevel="0" collapsed="false">
      <c r="A276" s="29"/>
      <c r="B276" s="29"/>
      <c r="C276" s="29"/>
      <c r="D276" s="29"/>
      <c r="E276" s="34"/>
      <c r="F276" s="29"/>
      <c r="G276" s="29"/>
      <c r="H276" s="29"/>
      <c r="I276" s="29"/>
      <c r="J276" s="29"/>
      <c r="K276" s="34"/>
      <c r="L276" s="35" t="str">
        <f aca="false">IF(A276="",IF(SUMPRODUCT(--(B276:K276&lt;&gt;""))&gt;0,"Missing ID",""),IF(COUNTIF($A$7:$A$307,A276)&gt;1,"Duplicate ID",IF(AND(E276="Complete",K276=""),"Evidence missing",IF(AND(E276&lt;&gt;"Not started",E276&lt;&gt;"In progress",E276&lt;&gt;"In review",E276&lt;&gt;"Complete"),"Choose a status",""))))</f>
        <v/>
      </c>
    </row>
    <row r="277" customFormat="false" ht="44" hidden="false" customHeight="true" outlineLevel="0" collapsed="false">
      <c r="A277" s="29"/>
      <c r="B277" s="29"/>
      <c r="C277" s="29"/>
      <c r="D277" s="29"/>
      <c r="E277" s="34"/>
      <c r="F277" s="29"/>
      <c r="G277" s="29"/>
      <c r="H277" s="29"/>
      <c r="I277" s="29"/>
      <c r="J277" s="29"/>
      <c r="K277" s="34"/>
      <c r="L277" s="35" t="str">
        <f aca="false">IF(A277="",IF(SUMPRODUCT(--(B277:K277&lt;&gt;""))&gt;0,"Missing ID",""),IF(COUNTIF($A$7:$A$307,A277)&gt;1,"Duplicate ID",IF(AND(E277="Complete",K277=""),"Evidence missing",IF(AND(E277&lt;&gt;"Not started",E277&lt;&gt;"In progress",E277&lt;&gt;"In review",E277&lt;&gt;"Complete"),"Choose a status",""))))</f>
        <v/>
      </c>
    </row>
    <row r="278" customFormat="false" ht="44" hidden="false" customHeight="true" outlineLevel="0" collapsed="false">
      <c r="A278" s="29"/>
      <c r="B278" s="29"/>
      <c r="C278" s="29"/>
      <c r="D278" s="29"/>
      <c r="E278" s="34"/>
      <c r="F278" s="29"/>
      <c r="G278" s="29"/>
      <c r="H278" s="29"/>
      <c r="I278" s="29"/>
      <c r="J278" s="29"/>
      <c r="K278" s="34"/>
      <c r="L278" s="35" t="str">
        <f aca="false">IF(A278="",IF(SUMPRODUCT(--(B278:K278&lt;&gt;""))&gt;0,"Missing ID",""),IF(COUNTIF($A$7:$A$307,A278)&gt;1,"Duplicate ID",IF(AND(E278="Complete",K278=""),"Evidence missing",IF(AND(E278&lt;&gt;"Not started",E278&lt;&gt;"In progress",E278&lt;&gt;"In review",E278&lt;&gt;"Complete"),"Choose a status",""))))</f>
        <v/>
      </c>
    </row>
    <row r="279" customFormat="false" ht="44" hidden="false" customHeight="true" outlineLevel="0" collapsed="false">
      <c r="A279" s="29"/>
      <c r="B279" s="29"/>
      <c r="C279" s="29"/>
      <c r="D279" s="29"/>
      <c r="E279" s="34"/>
      <c r="F279" s="29"/>
      <c r="G279" s="29"/>
      <c r="H279" s="29"/>
      <c r="I279" s="29"/>
      <c r="J279" s="29"/>
      <c r="K279" s="34"/>
      <c r="L279" s="35" t="str">
        <f aca="false">IF(A279="",IF(SUMPRODUCT(--(B279:K279&lt;&gt;""))&gt;0,"Missing ID",""),IF(COUNTIF($A$7:$A$307,A279)&gt;1,"Duplicate ID",IF(AND(E279="Complete",K279=""),"Evidence missing",IF(AND(E279&lt;&gt;"Not started",E279&lt;&gt;"In progress",E279&lt;&gt;"In review",E279&lt;&gt;"Complete"),"Choose a status",""))))</f>
        <v/>
      </c>
    </row>
    <row r="280" customFormat="false" ht="44" hidden="false" customHeight="true" outlineLevel="0" collapsed="false">
      <c r="A280" s="29"/>
      <c r="B280" s="29"/>
      <c r="C280" s="29"/>
      <c r="D280" s="29"/>
      <c r="E280" s="34"/>
      <c r="F280" s="29"/>
      <c r="G280" s="29"/>
      <c r="H280" s="29"/>
      <c r="I280" s="29"/>
      <c r="J280" s="29"/>
      <c r="K280" s="34"/>
      <c r="L280" s="35" t="str">
        <f aca="false">IF(A280="",IF(SUMPRODUCT(--(B280:K280&lt;&gt;""))&gt;0,"Missing ID",""),IF(COUNTIF($A$7:$A$307,A280)&gt;1,"Duplicate ID",IF(AND(E280="Complete",K280=""),"Evidence missing",IF(AND(E280&lt;&gt;"Not started",E280&lt;&gt;"In progress",E280&lt;&gt;"In review",E280&lt;&gt;"Complete"),"Choose a status",""))))</f>
        <v/>
      </c>
    </row>
    <row r="281" customFormat="false" ht="44" hidden="false" customHeight="true" outlineLevel="0" collapsed="false">
      <c r="A281" s="29"/>
      <c r="B281" s="29"/>
      <c r="C281" s="29"/>
      <c r="D281" s="29"/>
      <c r="E281" s="34"/>
      <c r="F281" s="29"/>
      <c r="G281" s="29"/>
      <c r="H281" s="29"/>
      <c r="I281" s="29"/>
      <c r="J281" s="29"/>
      <c r="K281" s="34"/>
      <c r="L281" s="35" t="str">
        <f aca="false">IF(A281="",IF(SUMPRODUCT(--(B281:K281&lt;&gt;""))&gt;0,"Missing ID",""),IF(COUNTIF($A$7:$A$307,A281)&gt;1,"Duplicate ID",IF(AND(E281="Complete",K281=""),"Evidence missing",IF(AND(E281&lt;&gt;"Not started",E281&lt;&gt;"In progress",E281&lt;&gt;"In review",E281&lt;&gt;"Complete"),"Choose a status",""))))</f>
        <v/>
      </c>
    </row>
    <row r="282" customFormat="false" ht="44" hidden="false" customHeight="true" outlineLevel="0" collapsed="false">
      <c r="A282" s="29"/>
      <c r="B282" s="29"/>
      <c r="C282" s="29"/>
      <c r="D282" s="29"/>
      <c r="E282" s="34"/>
      <c r="F282" s="29"/>
      <c r="G282" s="29"/>
      <c r="H282" s="29"/>
      <c r="I282" s="29"/>
      <c r="J282" s="29"/>
      <c r="K282" s="34"/>
      <c r="L282" s="35" t="str">
        <f aca="false">IF(A282="",IF(SUMPRODUCT(--(B282:K282&lt;&gt;""))&gt;0,"Missing ID",""),IF(COUNTIF($A$7:$A$307,A282)&gt;1,"Duplicate ID",IF(AND(E282="Complete",K282=""),"Evidence missing",IF(AND(E282&lt;&gt;"Not started",E282&lt;&gt;"In progress",E282&lt;&gt;"In review",E282&lt;&gt;"Complete"),"Choose a status",""))))</f>
        <v/>
      </c>
    </row>
    <row r="283" customFormat="false" ht="44" hidden="false" customHeight="true" outlineLevel="0" collapsed="false">
      <c r="A283" s="29"/>
      <c r="B283" s="29"/>
      <c r="C283" s="29"/>
      <c r="D283" s="29"/>
      <c r="E283" s="34"/>
      <c r="F283" s="29"/>
      <c r="G283" s="29"/>
      <c r="H283" s="29"/>
      <c r="I283" s="29"/>
      <c r="J283" s="29"/>
      <c r="K283" s="34"/>
      <c r="L283" s="35" t="str">
        <f aca="false">IF(A283="",IF(SUMPRODUCT(--(B283:K283&lt;&gt;""))&gt;0,"Missing ID",""),IF(COUNTIF($A$7:$A$307,A283)&gt;1,"Duplicate ID",IF(AND(E283="Complete",K283=""),"Evidence missing",IF(AND(E283&lt;&gt;"Not started",E283&lt;&gt;"In progress",E283&lt;&gt;"In review",E283&lt;&gt;"Complete"),"Choose a status",""))))</f>
        <v/>
      </c>
    </row>
    <row r="284" customFormat="false" ht="44" hidden="false" customHeight="true" outlineLevel="0" collapsed="false">
      <c r="A284" s="29"/>
      <c r="B284" s="29"/>
      <c r="C284" s="29"/>
      <c r="D284" s="29"/>
      <c r="E284" s="34"/>
      <c r="F284" s="29"/>
      <c r="G284" s="29"/>
      <c r="H284" s="29"/>
      <c r="I284" s="29"/>
      <c r="J284" s="29"/>
      <c r="K284" s="34"/>
      <c r="L284" s="35" t="str">
        <f aca="false">IF(A284="",IF(SUMPRODUCT(--(B284:K284&lt;&gt;""))&gt;0,"Missing ID",""),IF(COUNTIF($A$7:$A$307,A284)&gt;1,"Duplicate ID",IF(AND(E284="Complete",K284=""),"Evidence missing",IF(AND(E284&lt;&gt;"Not started",E284&lt;&gt;"In progress",E284&lt;&gt;"In review",E284&lt;&gt;"Complete"),"Choose a status",""))))</f>
        <v/>
      </c>
    </row>
    <row r="285" customFormat="false" ht="44" hidden="false" customHeight="true" outlineLevel="0" collapsed="false">
      <c r="A285" s="29"/>
      <c r="B285" s="29"/>
      <c r="C285" s="29"/>
      <c r="D285" s="29"/>
      <c r="E285" s="34"/>
      <c r="F285" s="29"/>
      <c r="G285" s="29"/>
      <c r="H285" s="29"/>
      <c r="I285" s="29"/>
      <c r="J285" s="29"/>
      <c r="K285" s="34"/>
      <c r="L285" s="35" t="str">
        <f aca="false">IF(A285="",IF(SUMPRODUCT(--(B285:K285&lt;&gt;""))&gt;0,"Missing ID",""),IF(COUNTIF($A$7:$A$307,A285)&gt;1,"Duplicate ID",IF(AND(E285="Complete",K285=""),"Evidence missing",IF(AND(E285&lt;&gt;"Not started",E285&lt;&gt;"In progress",E285&lt;&gt;"In review",E285&lt;&gt;"Complete"),"Choose a status",""))))</f>
        <v/>
      </c>
    </row>
    <row r="286" customFormat="false" ht="44" hidden="false" customHeight="true" outlineLevel="0" collapsed="false">
      <c r="A286" s="29"/>
      <c r="B286" s="29"/>
      <c r="C286" s="29"/>
      <c r="D286" s="29"/>
      <c r="E286" s="34"/>
      <c r="F286" s="29"/>
      <c r="G286" s="29"/>
      <c r="H286" s="29"/>
      <c r="I286" s="29"/>
      <c r="J286" s="29"/>
      <c r="K286" s="34"/>
      <c r="L286" s="35" t="str">
        <f aca="false">IF(A286="",IF(SUMPRODUCT(--(B286:K286&lt;&gt;""))&gt;0,"Missing ID",""),IF(COUNTIF($A$7:$A$307,A286)&gt;1,"Duplicate ID",IF(AND(E286="Complete",K286=""),"Evidence missing",IF(AND(E286&lt;&gt;"Not started",E286&lt;&gt;"In progress",E286&lt;&gt;"In review",E286&lt;&gt;"Complete"),"Choose a status",""))))</f>
        <v/>
      </c>
    </row>
    <row r="287" customFormat="false" ht="44" hidden="false" customHeight="true" outlineLevel="0" collapsed="false">
      <c r="A287" s="29"/>
      <c r="B287" s="29"/>
      <c r="C287" s="29"/>
      <c r="D287" s="29"/>
      <c r="E287" s="34"/>
      <c r="F287" s="29"/>
      <c r="G287" s="29"/>
      <c r="H287" s="29"/>
      <c r="I287" s="29"/>
      <c r="J287" s="29"/>
      <c r="K287" s="34"/>
      <c r="L287" s="35" t="str">
        <f aca="false">IF(A287="",IF(SUMPRODUCT(--(B287:K287&lt;&gt;""))&gt;0,"Missing ID",""),IF(COUNTIF($A$7:$A$307,A287)&gt;1,"Duplicate ID",IF(AND(E287="Complete",K287=""),"Evidence missing",IF(AND(E287&lt;&gt;"Not started",E287&lt;&gt;"In progress",E287&lt;&gt;"In review",E287&lt;&gt;"Complete"),"Choose a status",""))))</f>
        <v/>
      </c>
    </row>
    <row r="288" customFormat="false" ht="44" hidden="false" customHeight="true" outlineLevel="0" collapsed="false">
      <c r="A288" s="29"/>
      <c r="B288" s="29"/>
      <c r="C288" s="29"/>
      <c r="D288" s="29"/>
      <c r="E288" s="34"/>
      <c r="F288" s="29"/>
      <c r="G288" s="29"/>
      <c r="H288" s="29"/>
      <c r="I288" s="29"/>
      <c r="J288" s="29"/>
      <c r="K288" s="34"/>
      <c r="L288" s="35" t="str">
        <f aca="false">IF(A288="",IF(SUMPRODUCT(--(B288:K288&lt;&gt;""))&gt;0,"Missing ID",""),IF(COUNTIF($A$7:$A$307,A288)&gt;1,"Duplicate ID",IF(AND(E288="Complete",K288=""),"Evidence missing",IF(AND(E288&lt;&gt;"Not started",E288&lt;&gt;"In progress",E288&lt;&gt;"In review",E288&lt;&gt;"Complete"),"Choose a status",""))))</f>
        <v/>
      </c>
    </row>
    <row r="289" customFormat="false" ht="44" hidden="false" customHeight="true" outlineLevel="0" collapsed="false">
      <c r="A289" s="29"/>
      <c r="B289" s="29"/>
      <c r="C289" s="29"/>
      <c r="D289" s="29"/>
      <c r="E289" s="34"/>
      <c r="F289" s="29"/>
      <c r="G289" s="29"/>
      <c r="H289" s="29"/>
      <c r="I289" s="29"/>
      <c r="J289" s="29"/>
      <c r="K289" s="34"/>
      <c r="L289" s="35" t="str">
        <f aca="false">IF(A289="",IF(SUMPRODUCT(--(B289:K289&lt;&gt;""))&gt;0,"Missing ID",""),IF(COUNTIF($A$7:$A$307,A289)&gt;1,"Duplicate ID",IF(AND(E289="Complete",K289=""),"Evidence missing",IF(AND(E289&lt;&gt;"Not started",E289&lt;&gt;"In progress",E289&lt;&gt;"In review",E289&lt;&gt;"Complete"),"Choose a status",""))))</f>
        <v/>
      </c>
    </row>
    <row r="290" customFormat="false" ht="44" hidden="false" customHeight="true" outlineLevel="0" collapsed="false">
      <c r="A290" s="29"/>
      <c r="B290" s="29"/>
      <c r="C290" s="29"/>
      <c r="D290" s="29"/>
      <c r="E290" s="34"/>
      <c r="F290" s="29"/>
      <c r="G290" s="29"/>
      <c r="H290" s="29"/>
      <c r="I290" s="29"/>
      <c r="J290" s="29"/>
      <c r="K290" s="34"/>
      <c r="L290" s="35" t="str">
        <f aca="false">IF(A290="",IF(SUMPRODUCT(--(B290:K290&lt;&gt;""))&gt;0,"Missing ID",""),IF(COUNTIF($A$7:$A$307,A290)&gt;1,"Duplicate ID",IF(AND(E290="Complete",K290=""),"Evidence missing",IF(AND(E290&lt;&gt;"Not started",E290&lt;&gt;"In progress",E290&lt;&gt;"In review",E290&lt;&gt;"Complete"),"Choose a status",""))))</f>
        <v/>
      </c>
    </row>
    <row r="291" customFormat="false" ht="44" hidden="false" customHeight="true" outlineLevel="0" collapsed="false">
      <c r="A291" s="29"/>
      <c r="B291" s="29"/>
      <c r="C291" s="29"/>
      <c r="D291" s="29"/>
      <c r="E291" s="34"/>
      <c r="F291" s="29"/>
      <c r="G291" s="29"/>
      <c r="H291" s="29"/>
      <c r="I291" s="29"/>
      <c r="J291" s="29"/>
      <c r="K291" s="34"/>
      <c r="L291" s="35" t="str">
        <f aca="false">IF(A291="",IF(SUMPRODUCT(--(B291:K291&lt;&gt;""))&gt;0,"Missing ID",""),IF(COUNTIF($A$7:$A$307,A291)&gt;1,"Duplicate ID",IF(AND(E291="Complete",K291=""),"Evidence missing",IF(AND(E291&lt;&gt;"Not started",E291&lt;&gt;"In progress",E291&lt;&gt;"In review",E291&lt;&gt;"Complete"),"Choose a status",""))))</f>
        <v/>
      </c>
    </row>
    <row r="292" customFormat="false" ht="44" hidden="false" customHeight="true" outlineLevel="0" collapsed="false">
      <c r="A292" s="29"/>
      <c r="B292" s="29"/>
      <c r="C292" s="29"/>
      <c r="D292" s="29"/>
      <c r="E292" s="34"/>
      <c r="F292" s="29"/>
      <c r="G292" s="29"/>
      <c r="H292" s="29"/>
      <c r="I292" s="29"/>
      <c r="J292" s="29"/>
      <c r="K292" s="34"/>
      <c r="L292" s="35" t="str">
        <f aca="false">IF(A292="",IF(SUMPRODUCT(--(B292:K292&lt;&gt;""))&gt;0,"Missing ID",""),IF(COUNTIF($A$7:$A$307,A292)&gt;1,"Duplicate ID",IF(AND(E292="Complete",K292=""),"Evidence missing",IF(AND(E292&lt;&gt;"Not started",E292&lt;&gt;"In progress",E292&lt;&gt;"In review",E292&lt;&gt;"Complete"),"Choose a status",""))))</f>
        <v/>
      </c>
    </row>
    <row r="293" customFormat="false" ht="44" hidden="false" customHeight="true" outlineLevel="0" collapsed="false">
      <c r="A293" s="29"/>
      <c r="B293" s="29"/>
      <c r="C293" s="29"/>
      <c r="D293" s="29"/>
      <c r="E293" s="34"/>
      <c r="F293" s="29"/>
      <c r="G293" s="29"/>
      <c r="H293" s="29"/>
      <c r="I293" s="29"/>
      <c r="J293" s="29"/>
      <c r="K293" s="34"/>
      <c r="L293" s="35" t="str">
        <f aca="false">IF(A293="",IF(SUMPRODUCT(--(B293:K293&lt;&gt;""))&gt;0,"Missing ID",""),IF(COUNTIF($A$7:$A$307,A293)&gt;1,"Duplicate ID",IF(AND(E293="Complete",K293=""),"Evidence missing",IF(AND(E293&lt;&gt;"Not started",E293&lt;&gt;"In progress",E293&lt;&gt;"In review",E293&lt;&gt;"Complete"),"Choose a status",""))))</f>
        <v/>
      </c>
    </row>
    <row r="294" customFormat="false" ht="44" hidden="false" customHeight="true" outlineLevel="0" collapsed="false">
      <c r="A294" s="29"/>
      <c r="B294" s="29"/>
      <c r="C294" s="29"/>
      <c r="D294" s="29"/>
      <c r="E294" s="34"/>
      <c r="F294" s="29"/>
      <c r="G294" s="29"/>
      <c r="H294" s="29"/>
      <c r="I294" s="29"/>
      <c r="J294" s="29"/>
      <c r="K294" s="34"/>
      <c r="L294" s="35" t="str">
        <f aca="false">IF(A294="",IF(SUMPRODUCT(--(B294:K294&lt;&gt;""))&gt;0,"Missing ID",""),IF(COUNTIF($A$7:$A$307,A294)&gt;1,"Duplicate ID",IF(AND(E294="Complete",K294=""),"Evidence missing",IF(AND(E294&lt;&gt;"Not started",E294&lt;&gt;"In progress",E294&lt;&gt;"In review",E294&lt;&gt;"Complete"),"Choose a status",""))))</f>
        <v/>
      </c>
    </row>
    <row r="295" customFormat="false" ht="44" hidden="false" customHeight="true" outlineLevel="0" collapsed="false">
      <c r="A295" s="29"/>
      <c r="B295" s="29"/>
      <c r="C295" s="29"/>
      <c r="D295" s="29"/>
      <c r="E295" s="34"/>
      <c r="F295" s="29"/>
      <c r="G295" s="29"/>
      <c r="H295" s="29"/>
      <c r="I295" s="29"/>
      <c r="J295" s="29"/>
      <c r="K295" s="34"/>
      <c r="L295" s="35" t="str">
        <f aca="false">IF(A295="",IF(SUMPRODUCT(--(B295:K295&lt;&gt;""))&gt;0,"Missing ID",""),IF(COUNTIF($A$7:$A$307,A295)&gt;1,"Duplicate ID",IF(AND(E295="Complete",K295=""),"Evidence missing",IF(AND(E295&lt;&gt;"Not started",E295&lt;&gt;"In progress",E295&lt;&gt;"In review",E295&lt;&gt;"Complete"),"Choose a status",""))))</f>
        <v/>
      </c>
    </row>
    <row r="296" customFormat="false" ht="44" hidden="false" customHeight="true" outlineLevel="0" collapsed="false">
      <c r="A296" s="29"/>
      <c r="B296" s="29"/>
      <c r="C296" s="29"/>
      <c r="D296" s="29"/>
      <c r="E296" s="34"/>
      <c r="F296" s="29"/>
      <c r="G296" s="29"/>
      <c r="H296" s="29"/>
      <c r="I296" s="29"/>
      <c r="J296" s="29"/>
      <c r="K296" s="34"/>
      <c r="L296" s="35" t="str">
        <f aca="false">IF(A296="",IF(SUMPRODUCT(--(B296:K296&lt;&gt;""))&gt;0,"Missing ID",""),IF(COUNTIF($A$7:$A$307,A296)&gt;1,"Duplicate ID",IF(AND(E296="Complete",K296=""),"Evidence missing",IF(AND(E296&lt;&gt;"Not started",E296&lt;&gt;"In progress",E296&lt;&gt;"In review",E296&lt;&gt;"Complete"),"Choose a status",""))))</f>
        <v/>
      </c>
    </row>
    <row r="297" customFormat="false" ht="44" hidden="false" customHeight="true" outlineLevel="0" collapsed="false">
      <c r="A297" s="29"/>
      <c r="B297" s="29"/>
      <c r="C297" s="29"/>
      <c r="D297" s="29"/>
      <c r="E297" s="34"/>
      <c r="F297" s="29"/>
      <c r="G297" s="29"/>
      <c r="H297" s="29"/>
      <c r="I297" s="29"/>
      <c r="J297" s="29"/>
      <c r="K297" s="34"/>
      <c r="L297" s="35" t="str">
        <f aca="false">IF(A297="",IF(SUMPRODUCT(--(B297:K297&lt;&gt;""))&gt;0,"Missing ID",""),IF(COUNTIF($A$7:$A$307,A297)&gt;1,"Duplicate ID",IF(AND(E297="Complete",K297=""),"Evidence missing",IF(AND(E297&lt;&gt;"Not started",E297&lt;&gt;"In progress",E297&lt;&gt;"In review",E297&lt;&gt;"Complete"),"Choose a status",""))))</f>
        <v/>
      </c>
    </row>
    <row r="298" customFormat="false" ht="44" hidden="false" customHeight="true" outlineLevel="0" collapsed="false">
      <c r="A298" s="29"/>
      <c r="B298" s="29"/>
      <c r="C298" s="29"/>
      <c r="D298" s="29"/>
      <c r="E298" s="34"/>
      <c r="F298" s="29"/>
      <c r="G298" s="29"/>
      <c r="H298" s="29"/>
      <c r="I298" s="29"/>
      <c r="J298" s="29"/>
      <c r="K298" s="34"/>
      <c r="L298" s="35" t="str">
        <f aca="false">IF(A298="",IF(SUMPRODUCT(--(B298:K298&lt;&gt;""))&gt;0,"Missing ID",""),IF(COUNTIF($A$7:$A$307,A298)&gt;1,"Duplicate ID",IF(AND(E298="Complete",K298=""),"Evidence missing",IF(AND(E298&lt;&gt;"Not started",E298&lt;&gt;"In progress",E298&lt;&gt;"In review",E298&lt;&gt;"Complete"),"Choose a status",""))))</f>
        <v/>
      </c>
    </row>
    <row r="299" customFormat="false" ht="44" hidden="false" customHeight="true" outlineLevel="0" collapsed="false">
      <c r="A299" s="29"/>
      <c r="B299" s="29"/>
      <c r="C299" s="29"/>
      <c r="D299" s="29"/>
      <c r="E299" s="34"/>
      <c r="F299" s="29"/>
      <c r="G299" s="29"/>
      <c r="H299" s="29"/>
      <c r="I299" s="29"/>
      <c r="J299" s="29"/>
      <c r="K299" s="34"/>
      <c r="L299" s="35" t="str">
        <f aca="false">IF(A299="",IF(SUMPRODUCT(--(B299:K299&lt;&gt;""))&gt;0,"Missing ID",""),IF(COUNTIF($A$7:$A$307,A299)&gt;1,"Duplicate ID",IF(AND(E299="Complete",K299=""),"Evidence missing",IF(AND(E299&lt;&gt;"Not started",E299&lt;&gt;"In progress",E299&lt;&gt;"In review",E299&lt;&gt;"Complete"),"Choose a status",""))))</f>
        <v/>
      </c>
    </row>
    <row r="300" customFormat="false" ht="44" hidden="false" customHeight="true" outlineLevel="0" collapsed="false">
      <c r="A300" s="29"/>
      <c r="B300" s="29"/>
      <c r="C300" s="29"/>
      <c r="D300" s="29"/>
      <c r="E300" s="34"/>
      <c r="F300" s="29"/>
      <c r="G300" s="29"/>
      <c r="H300" s="29"/>
      <c r="I300" s="29"/>
      <c r="J300" s="29"/>
      <c r="K300" s="34"/>
      <c r="L300" s="35" t="str">
        <f aca="false">IF(A300="",IF(SUMPRODUCT(--(B300:K300&lt;&gt;""))&gt;0,"Missing ID",""),IF(COUNTIF($A$7:$A$307,A300)&gt;1,"Duplicate ID",IF(AND(E300="Complete",K300=""),"Evidence missing",IF(AND(E300&lt;&gt;"Not started",E300&lt;&gt;"In progress",E300&lt;&gt;"In review",E300&lt;&gt;"Complete"),"Choose a status",""))))</f>
        <v/>
      </c>
    </row>
    <row r="301" customFormat="false" ht="44" hidden="false" customHeight="true" outlineLevel="0" collapsed="false">
      <c r="A301" s="29"/>
      <c r="B301" s="29"/>
      <c r="C301" s="29"/>
      <c r="D301" s="29"/>
      <c r="E301" s="34"/>
      <c r="F301" s="29"/>
      <c r="G301" s="29"/>
      <c r="H301" s="29"/>
      <c r="I301" s="29"/>
      <c r="J301" s="29"/>
      <c r="K301" s="34"/>
      <c r="L301" s="35" t="str">
        <f aca="false">IF(A301="",IF(SUMPRODUCT(--(B301:K301&lt;&gt;""))&gt;0,"Missing ID",""),IF(COUNTIF($A$7:$A$307,A301)&gt;1,"Duplicate ID",IF(AND(E301="Complete",K301=""),"Evidence missing",IF(AND(E301&lt;&gt;"Not started",E301&lt;&gt;"In progress",E301&lt;&gt;"In review",E301&lt;&gt;"Complete"),"Choose a status",""))))</f>
        <v/>
      </c>
    </row>
    <row r="302" customFormat="false" ht="44" hidden="false" customHeight="true" outlineLevel="0" collapsed="false">
      <c r="A302" s="29"/>
      <c r="B302" s="29"/>
      <c r="C302" s="29"/>
      <c r="D302" s="29"/>
      <c r="E302" s="34"/>
      <c r="F302" s="29"/>
      <c r="G302" s="29"/>
      <c r="H302" s="29"/>
      <c r="I302" s="29"/>
      <c r="J302" s="29"/>
      <c r="K302" s="34"/>
      <c r="L302" s="35" t="str">
        <f aca="false">IF(A302="",IF(SUMPRODUCT(--(B302:K302&lt;&gt;""))&gt;0,"Missing ID",""),IF(COUNTIF($A$7:$A$307,A302)&gt;1,"Duplicate ID",IF(AND(E302="Complete",K302=""),"Evidence missing",IF(AND(E302&lt;&gt;"Not started",E302&lt;&gt;"In progress",E302&lt;&gt;"In review",E302&lt;&gt;"Complete"),"Choose a status",""))))</f>
        <v/>
      </c>
    </row>
    <row r="303" customFormat="false" ht="44" hidden="false" customHeight="true" outlineLevel="0" collapsed="false">
      <c r="A303" s="29"/>
      <c r="B303" s="29"/>
      <c r="C303" s="29"/>
      <c r="D303" s="29"/>
      <c r="E303" s="34"/>
      <c r="F303" s="29"/>
      <c r="G303" s="29"/>
      <c r="H303" s="29"/>
      <c r="I303" s="29"/>
      <c r="J303" s="29"/>
      <c r="K303" s="34"/>
      <c r="L303" s="35" t="str">
        <f aca="false">IF(A303="",IF(SUMPRODUCT(--(B303:K303&lt;&gt;""))&gt;0,"Missing ID",""),IF(COUNTIF($A$7:$A$307,A303)&gt;1,"Duplicate ID",IF(AND(E303="Complete",K303=""),"Evidence missing",IF(AND(E303&lt;&gt;"Not started",E303&lt;&gt;"In progress",E303&lt;&gt;"In review",E303&lt;&gt;"Complete"),"Choose a status",""))))</f>
        <v/>
      </c>
    </row>
    <row r="304" customFormat="false" ht="44" hidden="false" customHeight="true" outlineLevel="0" collapsed="false">
      <c r="A304" s="29"/>
      <c r="B304" s="29"/>
      <c r="C304" s="29"/>
      <c r="D304" s="29"/>
      <c r="E304" s="34"/>
      <c r="F304" s="29"/>
      <c r="G304" s="29"/>
      <c r="H304" s="29"/>
      <c r="I304" s="29"/>
      <c r="J304" s="29"/>
      <c r="K304" s="34"/>
      <c r="L304" s="35" t="str">
        <f aca="false">IF(A304="",IF(SUMPRODUCT(--(B304:K304&lt;&gt;""))&gt;0,"Missing ID",""),IF(COUNTIF($A$7:$A$307,A304)&gt;1,"Duplicate ID",IF(AND(E304="Complete",K304=""),"Evidence missing",IF(AND(E304&lt;&gt;"Not started",E304&lt;&gt;"In progress",E304&lt;&gt;"In review",E304&lt;&gt;"Complete"),"Choose a status",""))))</f>
        <v/>
      </c>
    </row>
    <row r="305" customFormat="false" ht="44" hidden="false" customHeight="true" outlineLevel="0" collapsed="false">
      <c r="A305" s="29"/>
      <c r="B305" s="29"/>
      <c r="C305" s="29"/>
      <c r="D305" s="29"/>
      <c r="E305" s="34"/>
      <c r="F305" s="29"/>
      <c r="G305" s="29"/>
      <c r="H305" s="29"/>
      <c r="I305" s="29"/>
      <c r="J305" s="29"/>
      <c r="K305" s="34"/>
      <c r="L305" s="35" t="str">
        <f aca="false">IF(A305="",IF(SUMPRODUCT(--(B305:K305&lt;&gt;""))&gt;0,"Missing ID",""),IF(COUNTIF($A$7:$A$307,A305)&gt;1,"Duplicate ID",IF(AND(E305="Complete",K305=""),"Evidence missing",IF(AND(E305&lt;&gt;"Not started",E305&lt;&gt;"In progress",E305&lt;&gt;"In review",E305&lt;&gt;"Complete"),"Choose a status",""))))</f>
        <v/>
      </c>
    </row>
    <row r="306" customFormat="false" ht="44" hidden="false" customHeight="true" outlineLevel="0" collapsed="false">
      <c r="A306" s="29"/>
      <c r="B306" s="29"/>
      <c r="C306" s="29"/>
      <c r="D306" s="29"/>
      <c r="E306" s="34"/>
      <c r="F306" s="29"/>
      <c r="G306" s="29"/>
      <c r="H306" s="29"/>
      <c r="I306" s="29"/>
      <c r="J306" s="29"/>
      <c r="K306" s="34"/>
      <c r="L306" s="35" t="str">
        <f aca="false">IF(A306="",IF(SUMPRODUCT(--(B306:K306&lt;&gt;""))&gt;0,"Missing ID",""),IF(COUNTIF($A$7:$A$307,A306)&gt;1,"Duplicate ID",IF(AND(E306="Complete",K306=""),"Evidence missing",IF(AND(E306&lt;&gt;"Not started",E306&lt;&gt;"In progress",E306&lt;&gt;"In review",E306&lt;&gt;"Complete"),"Choose a status",""))))</f>
        <v/>
      </c>
    </row>
    <row r="307" customFormat="false" ht="44" hidden="false" customHeight="true" outlineLevel="0" collapsed="false">
      <c r="A307" s="29"/>
      <c r="B307" s="29"/>
      <c r="C307" s="29"/>
      <c r="D307" s="29"/>
      <c r="E307" s="34"/>
      <c r="F307" s="29"/>
      <c r="G307" s="29"/>
      <c r="H307" s="29"/>
      <c r="I307" s="29"/>
      <c r="J307" s="29"/>
      <c r="K307" s="34"/>
      <c r="L307" s="35" t="str">
        <f aca="false">IF(A307="",IF(SUMPRODUCT(--(B307:K307&lt;&gt;""))&gt;0,"Missing ID",""),IF(COUNTIF($A$7:$A$307,A307)&gt;1,"Duplicate ID",IF(AND(E307="Complete",K307=""),"Evidence missing",IF(AND(E307&lt;&gt;"Not started",E307&lt;&gt;"In progress",E307&lt;&gt;"In review",E307&lt;&gt;"Complete"),"Choose a status",""))))</f>
        <v/>
      </c>
    </row>
  </sheetData>
  <mergeCells count="2">
    <mergeCell ref="A1:C2"/>
    <mergeCell ref="A3:C4"/>
  </mergeCells>
  <conditionalFormatting sqref="H7:H37">
    <cfRule type="expression" priority="2" aboveAverage="0" equalAverage="0" bottom="0" percent="0" rank="0" text="" dxfId="31">
      <formula>$H7="Open"</formula>
    </cfRule>
    <cfRule type="expression" priority="3" aboveAverage="0" equalAverage="0" bottom="0" percent="0" rank="0" text="" dxfId="32">
      <formula>$H7="In Progress"</formula>
    </cfRule>
    <cfRule type="expression" priority="4" aboveAverage="0" equalAverage="0" bottom="0" percent="0" rank="0" text="" dxfId="0">
      <formula>$H7="In Review"</formula>
    </cfRule>
    <cfRule type="expression" priority="5" aboveAverage="0" equalAverage="0" bottom="0" percent="0" rank="0" text="" dxfId="1">
      <formula>$H7="Final"</formula>
    </cfRule>
  </conditionalFormatting>
  <conditionalFormatting sqref="E7:E307">
    <cfRule type="cellIs" priority="6" operator="equal" aboveAverage="0" equalAverage="0" bottom="0" percent="0" rank="0" text="" dxfId="51">
      <formula>"Unresolved"</formula>
    </cfRule>
    <cfRule type="cellIs" priority="7" operator="equal" aboveAverage="0" equalAverage="0" bottom="0" percent="0" rank="0" text="" dxfId="52">
      <formula>"Fail"</formula>
    </cfRule>
    <cfRule type="cellIs" priority="8" operator="equal" aboveAverage="0" equalAverage="0" bottom="0" percent="0" rank="0" text="" dxfId="53">
      <formula>"Pass"</formula>
    </cfRule>
    <cfRule type="cellIs" priority="9" operator="equal" aboveAverage="0" equalAverage="0" bottom="0" percent="0" rank="0" text="" dxfId="54">
      <formula>"In progress"</formula>
    </cfRule>
    <cfRule type="cellIs" priority="10" operator="equal" aboveAverage="0" equalAverage="0" bottom="0" percent="0" rank="0" text="" dxfId="55">
      <formula>"In review"</formula>
    </cfRule>
    <cfRule type="cellIs" priority="11" operator="equal" aboveAverage="0" equalAverage="0" bottom="0" percent="0" rank="0" text="" dxfId="56">
      <formula>"Complete"</formula>
    </cfRule>
  </conditionalFormatting>
  <dataValidations count="1">
    <dataValidation allowBlank="true" error="Use the dropdown values." errorStyle="stop" errorTitle="Choose a listed value" operator="between" showDropDown="false" showErrorMessage="true" showInputMessage="false" sqref="E7:E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&amp;L&amp;"Arial,Bold"&amp;12&amp;K000000Pricing &amp;&amp; Deliverables</oddHeader>
    <oddFooter>&amp;L&amp;"Calibri"&amp;11&amp;K000000Pricing &amp;&amp; Deliverables&amp;R&amp;"Calibri"&amp;11&amp;K000000Page &amp;P of &amp;N</oddFooter>
  </headerFooter>
  <tableParts>
    <tablePart r:id="rId1"/>
  </tableParts>
</worksheet>
</file>

<file path=xl/worksheets/sheet8.xml><?xml version="1.0" encoding="utf-8"?>
<worksheet xmlns="http://schemas.openxmlformats.org/spreadsheetml/2006/main" xmlns:r="http://schemas.openxmlformats.org/officeDocument/2006/relationships">
  <sheetPr filterMode="false">
    <tabColor rgb="FF236D79"/>
    <pageSetUpPr fitToPage="true"/>
  </sheetPr>
  <dimension ref="A1:L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8.34"/>
    <col collapsed="false" customWidth="true" hidden="false" outlineLevel="0" max="2" min="2" style="0" width="37.22"/>
    <col collapsed="false" customWidth="true" hidden="false" outlineLevel="0" max="3" min="3" style="0" width="37.79"/>
    <col collapsed="false" customWidth="true" hidden="false" outlineLevel="0" max="4" min="4" style="0" width="23.89"/>
    <col collapsed="false" customWidth="true" hidden="false" outlineLevel="0" max="5" min="5" style="0" width="17.78"/>
    <col collapsed="false" customWidth="true" hidden="false" outlineLevel="0" max="6" min="6" style="0" width="12.78"/>
    <col collapsed="false" customWidth="true" hidden="false" outlineLevel="0" max="7" min="7" style="0" width="23.33"/>
    <col collapsed="false" customWidth="true" hidden="true" outlineLevel="1" max="8" min="8" style="0" width="11.11"/>
    <col collapsed="false" customWidth="true" hidden="true" outlineLevel="1" max="9" min="9" style="0" width="8.89"/>
    <col collapsed="false" customWidth="true" hidden="true" outlineLevel="1" max="10" min="10" style="0" width="11.67"/>
    <col collapsed="false" customWidth="true" hidden="true" outlineLevel="1" max="11" min="11" style="0" width="14.44"/>
    <col collapsed="false" customWidth="true" hidden="true" outlineLevel="1" max="12" min="12" style="0" width="20"/>
  </cols>
  <sheetData>
    <row r="1" customFormat="false" ht="23" hidden="false" customHeight="true" outlineLevel="0" collapsed="false">
      <c r="A1" s="28" t="s">
        <v>119</v>
      </c>
      <c r="B1" s="28" t="s">
        <v>119</v>
      </c>
      <c r="C1" s="28" t="s">
        <v>119</v>
      </c>
      <c r="D1" s="29"/>
      <c r="E1" s="29"/>
      <c r="F1" s="29"/>
      <c r="G1" s="29"/>
      <c r="H1" s="29"/>
      <c r="I1" s="29"/>
      <c r="J1" s="29"/>
      <c r="K1" s="29"/>
      <c r="L1" s="29"/>
    </row>
    <row r="2" customFormat="false" ht="23" hidden="false" customHeight="true" outlineLevel="0" collapsed="false">
      <c r="A2" s="28" t="s">
        <v>119</v>
      </c>
      <c r="B2" s="28" t="s">
        <v>119</v>
      </c>
      <c r="C2" s="28" t="s">
        <v>119</v>
      </c>
      <c r="D2" s="29"/>
      <c r="E2" s="29"/>
      <c r="F2" s="29"/>
      <c r="G2" s="29"/>
      <c r="H2" s="29"/>
      <c r="I2" s="29"/>
      <c r="J2" s="29"/>
      <c r="K2" s="29"/>
      <c r="L2" s="29"/>
    </row>
    <row r="3" customFormat="false" ht="22" hidden="false" customHeight="true" outlineLevel="0" collapsed="false">
      <c r="A3" s="11" t="s">
        <v>69</v>
      </c>
      <c r="B3" s="11" t="s">
        <v>69</v>
      </c>
      <c r="C3" s="11" t="s">
        <v>69</v>
      </c>
      <c r="D3" s="29"/>
      <c r="E3" s="29"/>
      <c r="F3" s="29"/>
      <c r="G3" s="29"/>
      <c r="H3" s="29"/>
      <c r="I3" s="29"/>
      <c r="J3" s="29"/>
      <c r="K3" s="29"/>
      <c r="L3" s="29"/>
    </row>
    <row r="4" customFormat="false" ht="22" hidden="false" customHeight="true" outlineLevel="0" collapsed="false">
      <c r="A4" s="11" t="s">
        <v>69</v>
      </c>
      <c r="B4" s="11" t="s">
        <v>69</v>
      </c>
      <c r="C4" s="11" t="s">
        <v>69</v>
      </c>
      <c r="D4" s="29"/>
      <c r="E4" s="29"/>
      <c r="F4" s="29"/>
      <c r="G4" s="29"/>
      <c r="H4" s="29"/>
      <c r="I4" s="29"/>
      <c r="J4" s="29"/>
      <c r="K4" s="29"/>
      <c r="L4" s="29"/>
    </row>
    <row r="5" customFormat="false" ht="44" hidden="false" customHeight="true" outlineLevel="0" collapsed="false">
      <c r="A5" s="29"/>
      <c r="B5" s="29"/>
      <c r="C5" s="29"/>
      <c r="D5" s="29"/>
      <c r="E5" s="29"/>
      <c r="F5" s="29"/>
      <c r="G5" s="29"/>
      <c r="H5" s="29"/>
      <c r="I5" s="29"/>
      <c r="J5" s="29"/>
      <c r="K5" s="29"/>
      <c r="L5" s="29"/>
    </row>
    <row r="6" customFormat="false" ht="42" hidden="false" customHeight="true" outlineLevel="0" collapsed="false">
      <c r="A6" s="30" t="s">
        <v>114</v>
      </c>
      <c r="B6" s="30" t="s">
        <v>120</v>
      </c>
      <c r="C6" s="30" t="s">
        <v>121</v>
      </c>
      <c r="D6" s="30" t="s">
        <v>122</v>
      </c>
      <c r="E6" s="30" t="s">
        <v>123</v>
      </c>
      <c r="F6" s="30" t="s">
        <v>108</v>
      </c>
      <c r="G6" s="30" t="s">
        <v>124</v>
      </c>
      <c r="H6" s="30" t="s">
        <v>125</v>
      </c>
      <c r="I6" s="30" t="s">
        <v>126</v>
      </c>
      <c r="J6" s="30" t="s">
        <v>86</v>
      </c>
      <c r="K6" s="30" t="s">
        <v>127</v>
      </c>
      <c r="L6" s="30" t="s">
        <v>82</v>
      </c>
    </row>
    <row r="7" customFormat="false" ht="44" hidden="false" customHeight="true" outlineLevel="0" collapsed="false">
      <c r="A7" s="31"/>
      <c r="B7" s="33"/>
      <c r="C7" s="33"/>
      <c r="D7" s="33"/>
      <c r="E7" s="33"/>
      <c r="F7" s="34"/>
      <c r="G7" s="34"/>
      <c r="H7" s="33"/>
      <c r="I7" s="33"/>
      <c r="J7" s="33"/>
      <c r="K7" s="33"/>
      <c r="L7" s="35" t="str">
        <f aca="false">IF(A7="",IF(SUMPRODUCT(--(B7:D7&lt;&gt;""))+SUMPRODUCT(--(F7:K7&lt;&gt;""))&gt;0,"Missing ID",""),IF(COUNTIF($A$7:$A$307,A7)&gt;1,"Duplicate ID",IF(AND(F7="Complete",G7=""),"Evidence missing",IF(AND(F7&lt;&gt;"Not started",F7&lt;&gt;"In progress",F7&lt;&gt;"In review",F7&lt;&gt;"Complete"),"Choose a status",""))))</f>
        <v/>
      </c>
    </row>
    <row r="8" customFormat="false" ht="44" hidden="false" customHeight="true" outlineLevel="0" collapsed="false">
      <c r="A8" s="36"/>
      <c r="B8" s="38"/>
      <c r="C8" s="38"/>
      <c r="D8" s="38"/>
      <c r="E8" s="38"/>
      <c r="F8" s="34"/>
      <c r="G8" s="34"/>
      <c r="H8" s="38"/>
      <c r="I8" s="38"/>
      <c r="J8" s="38"/>
      <c r="K8" s="38"/>
      <c r="L8" s="35" t="str">
        <f aca="false">IF(A8="",IF(SUMPRODUCT(--(B8:D8&lt;&gt;""))+SUMPRODUCT(--(F8:K8&lt;&gt;""))&gt;0,"Missing ID",""),IF(COUNTIF($A$7:$A$307,A8)&gt;1,"Duplicate ID",IF(AND(F8="Complete",G8=""),"Evidence missing",IF(AND(F8&lt;&gt;"Not started",F8&lt;&gt;"In progress",F8&lt;&gt;"In review",F8&lt;&gt;"Complete"),"Choose a status",""))))</f>
        <v/>
      </c>
    </row>
    <row r="9" customFormat="false" ht="44" hidden="false" customHeight="true" outlineLevel="0" collapsed="false">
      <c r="A9" s="31"/>
      <c r="B9" s="33"/>
      <c r="C9" s="33"/>
      <c r="D9" s="33"/>
      <c r="E9" s="33"/>
      <c r="F9" s="34"/>
      <c r="G9" s="34"/>
      <c r="H9" s="33"/>
      <c r="I9" s="33"/>
      <c r="J9" s="33"/>
      <c r="K9" s="33"/>
      <c r="L9" s="35" t="str">
        <f aca="false">IF(A9="",IF(SUMPRODUCT(--(B9:D9&lt;&gt;""))+SUMPRODUCT(--(F9:K9&lt;&gt;""))&gt;0,"Missing ID",""),IF(COUNTIF($A$7:$A$307,A9)&gt;1,"Duplicate ID",IF(AND(F9="Complete",G9=""),"Evidence missing",IF(AND(F9&lt;&gt;"Not started",F9&lt;&gt;"In progress",F9&lt;&gt;"In review",F9&lt;&gt;"Complete"),"Choose a status",""))))</f>
        <v/>
      </c>
    </row>
    <row r="10" customFormat="false" ht="44" hidden="false" customHeight="true" outlineLevel="0" collapsed="false">
      <c r="A10" s="36"/>
      <c r="B10" s="38"/>
      <c r="C10" s="38"/>
      <c r="D10" s="38"/>
      <c r="E10" s="38"/>
      <c r="F10" s="34"/>
      <c r="G10" s="34"/>
      <c r="H10" s="38"/>
      <c r="I10" s="38"/>
      <c r="J10" s="38"/>
      <c r="K10" s="38"/>
      <c r="L10" s="35" t="str">
        <f aca="false">IF(A10="",IF(SUMPRODUCT(--(B10:D10&lt;&gt;""))+SUMPRODUCT(--(F10:K10&lt;&gt;""))&gt;0,"Missing ID",""),IF(COUNTIF($A$7:$A$307,A10)&gt;1,"Duplicate ID",IF(AND(F10="Complete",G10=""),"Evidence missing",IF(AND(F10&lt;&gt;"Not started",F10&lt;&gt;"In progress",F10&lt;&gt;"In review",F10&lt;&gt;"Complete"),"Choose a status",""))))</f>
        <v/>
      </c>
    </row>
    <row r="11" customFormat="false" ht="44" hidden="false" customHeight="true" outlineLevel="0" collapsed="false">
      <c r="A11" s="31"/>
      <c r="B11" s="33"/>
      <c r="C11" s="33"/>
      <c r="D11" s="33"/>
      <c r="E11" s="33"/>
      <c r="F11" s="34"/>
      <c r="G11" s="34"/>
      <c r="H11" s="33"/>
      <c r="I11" s="33"/>
      <c r="J11" s="33"/>
      <c r="K11" s="33"/>
      <c r="L11" s="35" t="str">
        <f aca="false">IF(A11="",IF(SUMPRODUCT(--(B11:D11&lt;&gt;""))+SUMPRODUCT(--(F11:K11&lt;&gt;""))&gt;0,"Missing ID",""),IF(COUNTIF($A$7:$A$307,A11)&gt;1,"Duplicate ID",IF(AND(F11="Complete",G11=""),"Evidence missing",IF(AND(F11&lt;&gt;"Not started",F11&lt;&gt;"In progress",F11&lt;&gt;"In review",F11&lt;&gt;"Complete"),"Choose a status",""))))</f>
        <v/>
      </c>
    </row>
    <row r="12" customFormat="false" ht="44" hidden="false" customHeight="true" outlineLevel="0" collapsed="false">
      <c r="A12" s="36"/>
      <c r="B12" s="38"/>
      <c r="C12" s="38"/>
      <c r="D12" s="38"/>
      <c r="E12" s="38"/>
      <c r="F12" s="34"/>
      <c r="G12" s="34"/>
      <c r="H12" s="38"/>
      <c r="I12" s="38"/>
      <c r="J12" s="38"/>
      <c r="K12" s="38"/>
      <c r="L12" s="35" t="str">
        <f aca="false">IF(A12="",IF(SUMPRODUCT(--(B12:D12&lt;&gt;""))+SUMPRODUCT(--(F12:K12&lt;&gt;""))&gt;0,"Missing ID",""),IF(COUNTIF($A$7:$A$307,A12)&gt;1,"Duplicate ID",IF(AND(F12="Complete",G12=""),"Evidence missing",IF(AND(F12&lt;&gt;"Not started",F12&lt;&gt;"In progress",F12&lt;&gt;"In review",F12&lt;&gt;"Complete"),"Choose a status",""))))</f>
        <v/>
      </c>
    </row>
    <row r="13" customFormat="false" ht="44" hidden="false" customHeight="true" outlineLevel="0" collapsed="false">
      <c r="A13" s="31"/>
      <c r="B13" s="33"/>
      <c r="C13" s="33"/>
      <c r="D13" s="33"/>
      <c r="E13" s="33"/>
      <c r="F13" s="34"/>
      <c r="G13" s="34"/>
      <c r="H13" s="33"/>
      <c r="I13" s="33"/>
      <c r="J13" s="33"/>
      <c r="K13" s="33"/>
      <c r="L13" s="35" t="str">
        <f aca="false">IF(A13="",IF(SUMPRODUCT(--(B13:D13&lt;&gt;""))+SUMPRODUCT(--(F13:K13&lt;&gt;""))&gt;0,"Missing ID",""),IF(COUNTIF($A$7:$A$307,A13)&gt;1,"Duplicate ID",IF(AND(F13="Complete",G13=""),"Evidence missing",IF(AND(F13&lt;&gt;"Not started",F13&lt;&gt;"In progress",F13&lt;&gt;"In review",F13&lt;&gt;"Complete"),"Choose a status",""))))</f>
        <v/>
      </c>
    </row>
    <row r="14" customFormat="false" ht="44" hidden="false" customHeight="true" outlineLevel="0" collapsed="false">
      <c r="A14" s="36"/>
      <c r="B14" s="38"/>
      <c r="C14" s="38"/>
      <c r="D14" s="38"/>
      <c r="E14" s="38"/>
      <c r="F14" s="34"/>
      <c r="G14" s="34"/>
      <c r="H14" s="38"/>
      <c r="I14" s="38"/>
      <c r="J14" s="38"/>
      <c r="K14" s="38"/>
      <c r="L14" s="35" t="str">
        <f aca="false">IF(A14="",IF(SUMPRODUCT(--(B14:D14&lt;&gt;""))+SUMPRODUCT(--(F14:K14&lt;&gt;""))&gt;0,"Missing ID",""),IF(COUNTIF($A$7:$A$307,A14)&gt;1,"Duplicate ID",IF(AND(F14="Complete",G14=""),"Evidence missing",IF(AND(F14&lt;&gt;"Not started",F14&lt;&gt;"In progress",F14&lt;&gt;"In review",F14&lt;&gt;"Complete"),"Choose a status",""))))</f>
        <v/>
      </c>
    </row>
    <row r="15" customFormat="false" ht="44" hidden="false" customHeight="true" outlineLevel="0" collapsed="false">
      <c r="A15" s="29"/>
      <c r="B15" s="29"/>
      <c r="C15" s="29"/>
      <c r="D15" s="29"/>
      <c r="E15" s="29"/>
      <c r="F15" s="34"/>
      <c r="G15" s="34"/>
      <c r="H15" s="29"/>
      <c r="I15" s="29"/>
      <c r="J15" s="29"/>
      <c r="K15" s="29"/>
      <c r="L15" s="35" t="str">
        <f aca="false">IF(A15="",IF(SUMPRODUCT(--(B15:D15&lt;&gt;""))+SUMPRODUCT(--(F15:K15&lt;&gt;""))&gt;0,"Missing ID",""),IF(COUNTIF($A$7:$A$307,A15)&gt;1,"Duplicate ID",IF(AND(F15="Complete",G15=""),"Evidence missing",IF(AND(F15&lt;&gt;"Not started",F15&lt;&gt;"In progress",F15&lt;&gt;"In review",F15&lt;&gt;"Complete"),"Choose a status",""))))</f>
        <v/>
      </c>
    </row>
    <row r="16" customFormat="false" ht="44" hidden="false" customHeight="true" outlineLevel="0" collapsed="false">
      <c r="A16" s="29"/>
      <c r="B16" s="29"/>
      <c r="C16" s="29"/>
      <c r="D16" s="29"/>
      <c r="E16" s="29"/>
      <c r="F16" s="34"/>
      <c r="G16" s="34"/>
      <c r="H16" s="29"/>
      <c r="I16" s="29"/>
      <c r="J16" s="29"/>
      <c r="K16" s="29"/>
      <c r="L16" s="35" t="str">
        <f aca="false">IF(A16="",IF(SUMPRODUCT(--(B16:D16&lt;&gt;""))+SUMPRODUCT(--(F16:K16&lt;&gt;""))&gt;0,"Missing ID",""),IF(COUNTIF($A$7:$A$307,A16)&gt;1,"Duplicate ID",IF(AND(F16="Complete",G16=""),"Evidence missing",IF(AND(F16&lt;&gt;"Not started",F16&lt;&gt;"In progress",F16&lt;&gt;"In review",F16&lt;&gt;"Complete"),"Choose a status",""))))</f>
        <v/>
      </c>
    </row>
    <row r="17" customFormat="false" ht="44" hidden="false" customHeight="true" outlineLevel="0" collapsed="false">
      <c r="A17" s="29"/>
      <c r="B17" s="29"/>
      <c r="C17" s="29"/>
      <c r="D17" s="29"/>
      <c r="E17" s="29"/>
      <c r="F17" s="34"/>
      <c r="G17" s="34"/>
      <c r="H17" s="29"/>
      <c r="I17" s="29"/>
      <c r="J17" s="29"/>
      <c r="K17" s="29"/>
      <c r="L17" s="35" t="str">
        <f aca="false">IF(A17="",IF(SUMPRODUCT(--(B17:D17&lt;&gt;""))+SUMPRODUCT(--(F17:K17&lt;&gt;""))&gt;0,"Missing ID",""),IF(COUNTIF($A$7:$A$307,A17)&gt;1,"Duplicate ID",IF(AND(F17="Complete",G17=""),"Evidence missing",IF(AND(F17&lt;&gt;"Not started",F17&lt;&gt;"In progress",F17&lt;&gt;"In review",F17&lt;&gt;"Complete"),"Choose a status",""))))</f>
        <v/>
      </c>
    </row>
    <row r="18" customFormat="false" ht="44" hidden="false" customHeight="true" outlineLevel="0" collapsed="false">
      <c r="A18" s="29"/>
      <c r="B18" s="29"/>
      <c r="C18" s="29"/>
      <c r="D18" s="29"/>
      <c r="E18" s="29"/>
      <c r="F18" s="34"/>
      <c r="G18" s="34"/>
      <c r="H18" s="29"/>
      <c r="I18" s="29"/>
      <c r="J18" s="29"/>
      <c r="K18" s="29"/>
      <c r="L18" s="35" t="str">
        <f aca="false">IF(A18="",IF(SUMPRODUCT(--(B18:D18&lt;&gt;""))+SUMPRODUCT(--(F18:K18&lt;&gt;""))&gt;0,"Missing ID",""),IF(COUNTIF($A$7:$A$307,A18)&gt;1,"Duplicate ID",IF(AND(F18="Complete",G18=""),"Evidence missing",IF(AND(F18&lt;&gt;"Not started",F18&lt;&gt;"In progress",F18&lt;&gt;"In review",F18&lt;&gt;"Complete"),"Choose a status",""))))</f>
        <v/>
      </c>
    </row>
    <row r="19" customFormat="false" ht="44" hidden="false" customHeight="true" outlineLevel="0" collapsed="false">
      <c r="A19" s="29"/>
      <c r="B19" s="29"/>
      <c r="C19" s="29"/>
      <c r="D19" s="29"/>
      <c r="E19" s="29"/>
      <c r="F19" s="34"/>
      <c r="G19" s="34"/>
      <c r="H19" s="29"/>
      <c r="I19" s="29"/>
      <c r="J19" s="29"/>
      <c r="K19" s="29"/>
      <c r="L19" s="35" t="str">
        <f aca="false">IF(A19="",IF(SUMPRODUCT(--(B19:D19&lt;&gt;""))+SUMPRODUCT(--(F19:K19&lt;&gt;""))&gt;0,"Missing ID",""),IF(COUNTIF($A$7:$A$307,A19)&gt;1,"Duplicate ID",IF(AND(F19="Complete",G19=""),"Evidence missing",IF(AND(F19&lt;&gt;"Not started",F19&lt;&gt;"In progress",F19&lt;&gt;"In review",F19&lt;&gt;"Complete"),"Choose a status",""))))</f>
        <v/>
      </c>
    </row>
    <row r="20" customFormat="false" ht="44" hidden="false" customHeight="true" outlineLevel="0" collapsed="false">
      <c r="A20" s="29"/>
      <c r="B20" s="29"/>
      <c r="C20" s="29"/>
      <c r="D20" s="29"/>
      <c r="E20" s="29"/>
      <c r="F20" s="34"/>
      <c r="G20" s="34"/>
      <c r="H20" s="29"/>
      <c r="I20" s="29"/>
      <c r="J20" s="29"/>
      <c r="K20" s="29"/>
      <c r="L20" s="35" t="str">
        <f aca="false">IF(A20="",IF(SUMPRODUCT(--(B20:D20&lt;&gt;""))+SUMPRODUCT(--(F20:K20&lt;&gt;""))&gt;0,"Missing ID",""),IF(COUNTIF($A$7:$A$307,A20)&gt;1,"Duplicate ID",IF(AND(F20="Complete",G20=""),"Evidence missing",IF(AND(F20&lt;&gt;"Not started",F20&lt;&gt;"In progress",F20&lt;&gt;"In review",F20&lt;&gt;"Complete"),"Choose a status",""))))</f>
        <v/>
      </c>
    </row>
    <row r="21" customFormat="false" ht="44" hidden="false" customHeight="true" outlineLevel="0" collapsed="false">
      <c r="A21" s="29"/>
      <c r="B21" s="29"/>
      <c r="C21" s="29"/>
      <c r="D21" s="29"/>
      <c r="E21" s="29"/>
      <c r="F21" s="34"/>
      <c r="G21" s="34"/>
      <c r="H21" s="29"/>
      <c r="I21" s="29"/>
      <c r="J21" s="29"/>
      <c r="K21" s="29"/>
      <c r="L21" s="35" t="str">
        <f aca="false">IF(A21="",IF(SUMPRODUCT(--(B21:D21&lt;&gt;""))+SUMPRODUCT(--(F21:K21&lt;&gt;""))&gt;0,"Missing ID",""),IF(COUNTIF($A$7:$A$307,A21)&gt;1,"Duplicate ID",IF(AND(F21="Complete",G21=""),"Evidence missing",IF(AND(F21&lt;&gt;"Not started",F21&lt;&gt;"In progress",F21&lt;&gt;"In review",F21&lt;&gt;"Complete"),"Choose a status",""))))</f>
        <v/>
      </c>
    </row>
    <row r="22" customFormat="false" ht="44" hidden="false" customHeight="true" outlineLevel="0" collapsed="false">
      <c r="A22" s="29"/>
      <c r="B22" s="29"/>
      <c r="C22" s="29"/>
      <c r="D22" s="29"/>
      <c r="E22" s="29"/>
      <c r="F22" s="34"/>
      <c r="G22" s="34"/>
      <c r="H22" s="29"/>
      <c r="I22" s="29"/>
      <c r="J22" s="29"/>
      <c r="K22" s="29"/>
      <c r="L22" s="35" t="str">
        <f aca="false">IF(A22="",IF(SUMPRODUCT(--(B22:D22&lt;&gt;""))+SUMPRODUCT(--(F22:K22&lt;&gt;""))&gt;0,"Missing ID",""),IF(COUNTIF($A$7:$A$307,A22)&gt;1,"Duplicate ID",IF(AND(F22="Complete",G22=""),"Evidence missing",IF(AND(F22&lt;&gt;"Not started",F22&lt;&gt;"In progress",F22&lt;&gt;"In review",F22&lt;&gt;"Complete"),"Choose a status",""))))</f>
        <v/>
      </c>
    </row>
    <row r="23" customFormat="false" ht="44" hidden="false" customHeight="true" outlineLevel="0" collapsed="false">
      <c r="A23" s="29"/>
      <c r="B23" s="29"/>
      <c r="C23" s="29"/>
      <c r="D23" s="29"/>
      <c r="E23" s="29"/>
      <c r="F23" s="34"/>
      <c r="G23" s="34"/>
      <c r="H23" s="29"/>
      <c r="I23" s="29"/>
      <c r="J23" s="29"/>
      <c r="K23" s="29"/>
      <c r="L23" s="35" t="str">
        <f aca="false">IF(A23="",IF(SUMPRODUCT(--(B23:D23&lt;&gt;""))+SUMPRODUCT(--(F23:K23&lt;&gt;""))&gt;0,"Missing ID",""),IF(COUNTIF($A$7:$A$307,A23)&gt;1,"Duplicate ID",IF(AND(F23="Complete",G23=""),"Evidence missing",IF(AND(F23&lt;&gt;"Not started",F23&lt;&gt;"In progress",F23&lt;&gt;"In review",F23&lt;&gt;"Complete"),"Choose a status",""))))</f>
        <v/>
      </c>
    </row>
    <row r="24" customFormat="false" ht="44" hidden="false" customHeight="true" outlineLevel="0" collapsed="false">
      <c r="A24" s="29"/>
      <c r="B24" s="29"/>
      <c r="C24" s="29"/>
      <c r="D24" s="29"/>
      <c r="E24" s="29"/>
      <c r="F24" s="34"/>
      <c r="G24" s="34"/>
      <c r="H24" s="29"/>
      <c r="I24" s="29"/>
      <c r="J24" s="29"/>
      <c r="K24" s="29"/>
      <c r="L24" s="35" t="str">
        <f aca="false">IF(A24="",IF(SUMPRODUCT(--(B24:D24&lt;&gt;""))+SUMPRODUCT(--(F24:K24&lt;&gt;""))&gt;0,"Missing ID",""),IF(COUNTIF($A$7:$A$307,A24)&gt;1,"Duplicate ID",IF(AND(F24="Complete",G24=""),"Evidence missing",IF(AND(F24&lt;&gt;"Not started",F24&lt;&gt;"In progress",F24&lt;&gt;"In review",F24&lt;&gt;"Complete"),"Choose a status",""))))</f>
        <v/>
      </c>
    </row>
    <row r="25" customFormat="false" ht="44" hidden="false" customHeight="true" outlineLevel="0" collapsed="false">
      <c r="A25" s="29"/>
      <c r="B25" s="29"/>
      <c r="C25" s="29"/>
      <c r="D25" s="29"/>
      <c r="E25" s="29"/>
      <c r="F25" s="34"/>
      <c r="G25" s="34"/>
      <c r="H25" s="29"/>
      <c r="I25" s="29"/>
      <c r="J25" s="29"/>
      <c r="K25" s="29"/>
      <c r="L25" s="35" t="str">
        <f aca="false">IF(A25="",IF(SUMPRODUCT(--(B25:D25&lt;&gt;""))+SUMPRODUCT(--(F25:K25&lt;&gt;""))&gt;0,"Missing ID",""),IF(COUNTIF($A$7:$A$307,A25)&gt;1,"Duplicate ID",IF(AND(F25="Complete",G25=""),"Evidence missing",IF(AND(F25&lt;&gt;"Not started",F25&lt;&gt;"In progress",F25&lt;&gt;"In review",F25&lt;&gt;"Complete"),"Choose a status",""))))</f>
        <v/>
      </c>
    </row>
    <row r="26" customFormat="false" ht="44" hidden="false" customHeight="true" outlineLevel="0" collapsed="false">
      <c r="A26" s="29"/>
      <c r="B26" s="29"/>
      <c r="C26" s="29"/>
      <c r="D26" s="29"/>
      <c r="E26" s="29"/>
      <c r="F26" s="34"/>
      <c r="G26" s="34"/>
      <c r="H26" s="29"/>
      <c r="I26" s="29"/>
      <c r="J26" s="29"/>
      <c r="K26" s="29"/>
      <c r="L26" s="35" t="str">
        <f aca="false">IF(A26="",IF(SUMPRODUCT(--(B26:D26&lt;&gt;""))+SUMPRODUCT(--(F26:K26&lt;&gt;""))&gt;0,"Missing ID",""),IF(COUNTIF($A$7:$A$307,A26)&gt;1,"Duplicate ID",IF(AND(F26="Complete",G26=""),"Evidence missing",IF(AND(F26&lt;&gt;"Not started",F26&lt;&gt;"In progress",F26&lt;&gt;"In review",F26&lt;&gt;"Complete"),"Choose a status",""))))</f>
        <v/>
      </c>
    </row>
    <row r="27" customFormat="false" ht="44" hidden="false" customHeight="true" outlineLevel="0" collapsed="false">
      <c r="A27" s="29"/>
      <c r="B27" s="29"/>
      <c r="C27" s="29"/>
      <c r="D27" s="29"/>
      <c r="E27" s="29"/>
      <c r="F27" s="34"/>
      <c r="G27" s="34"/>
      <c r="H27" s="29"/>
      <c r="I27" s="29"/>
      <c r="J27" s="29"/>
      <c r="K27" s="29"/>
      <c r="L27" s="35" t="str">
        <f aca="false">IF(A27="",IF(SUMPRODUCT(--(B27:D27&lt;&gt;""))+SUMPRODUCT(--(F27:K27&lt;&gt;""))&gt;0,"Missing ID",""),IF(COUNTIF($A$7:$A$307,A27)&gt;1,"Duplicate ID",IF(AND(F27="Complete",G27=""),"Evidence missing",IF(AND(F27&lt;&gt;"Not started",F27&lt;&gt;"In progress",F27&lt;&gt;"In review",F27&lt;&gt;"Complete"),"Choose a status",""))))</f>
        <v/>
      </c>
    </row>
    <row r="28" customFormat="false" ht="44" hidden="false" customHeight="true" outlineLevel="0" collapsed="false">
      <c r="A28" s="29"/>
      <c r="B28" s="29"/>
      <c r="C28" s="29"/>
      <c r="D28" s="29"/>
      <c r="E28" s="29"/>
      <c r="F28" s="34"/>
      <c r="G28" s="34"/>
      <c r="H28" s="29"/>
      <c r="I28" s="29"/>
      <c r="J28" s="29"/>
      <c r="K28" s="29"/>
      <c r="L28" s="35" t="str">
        <f aca="false">IF(A28="",IF(SUMPRODUCT(--(B28:D28&lt;&gt;""))+SUMPRODUCT(--(F28:K28&lt;&gt;""))&gt;0,"Missing ID",""),IF(COUNTIF($A$7:$A$307,A28)&gt;1,"Duplicate ID",IF(AND(F28="Complete",G28=""),"Evidence missing",IF(AND(F28&lt;&gt;"Not started",F28&lt;&gt;"In progress",F28&lt;&gt;"In review",F28&lt;&gt;"Complete"),"Choose a status",""))))</f>
        <v/>
      </c>
    </row>
    <row r="29" customFormat="false" ht="44" hidden="false" customHeight="true" outlineLevel="0" collapsed="false">
      <c r="A29" s="29"/>
      <c r="B29" s="29"/>
      <c r="C29" s="29"/>
      <c r="D29" s="29"/>
      <c r="E29" s="29"/>
      <c r="F29" s="34"/>
      <c r="G29" s="34"/>
      <c r="H29" s="29"/>
      <c r="I29" s="29"/>
      <c r="J29" s="29"/>
      <c r="K29" s="29"/>
      <c r="L29" s="35" t="str">
        <f aca="false">IF(A29="",IF(SUMPRODUCT(--(B29:D29&lt;&gt;""))+SUMPRODUCT(--(F29:K29&lt;&gt;""))&gt;0,"Missing ID",""),IF(COUNTIF($A$7:$A$307,A29)&gt;1,"Duplicate ID",IF(AND(F29="Complete",G29=""),"Evidence missing",IF(AND(F29&lt;&gt;"Not started",F29&lt;&gt;"In progress",F29&lt;&gt;"In review",F29&lt;&gt;"Complete"),"Choose a status",""))))</f>
        <v/>
      </c>
    </row>
    <row r="30" customFormat="false" ht="44" hidden="false" customHeight="true" outlineLevel="0" collapsed="false">
      <c r="A30" s="29"/>
      <c r="B30" s="29"/>
      <c r="C30" s="29"/>
      <c r="D30" s="29"/>
      <c r="E30" s="29"/>
      <c r="F30" s="34"/>
      <c r="G30" s="34"/>
      <c r="H30" s="29"/>
      <c r="I30" s="29"/>
      <c r="J30" s="29"/>
      <c r="K30" s="29"/>
      <c r="L30" s="35" t="str">
        <f aca="false">IF(A30="",IF(SUMPRODUCT(--(B30:D30&lt;&gt;""))+SUMPRODUCT(--(F30:K30&lt;&gt;""))&gt;0,"Missing ID",""),IF(COUNTIF($A$7:$A$307,A30)&gt;1,"Duplicate ID",IF(AND(F30="Complete",G30=""),"Evidence missing",IF(AND(F30&lt;&gt;"Not started",F30&lt;&gt;"In progress",F30&lt;&gt;"In review",F30&lt;&gt;"Complete"),"Choose a status",""))))</f>
        <v/>
      </c>
    </row>
    <row r="31" customFormat="false" ht="44" hidden="false" customHeight="true" outlineLevel="0" collapsed="false">
      <c r="A31" s="29"/>
      <c r="B31" s="29"/>
      <c r="C31" s="29"/>
      <c r="D31" s="29"/>
      <c r="E31" s="29"/>
      <c r="F31" s="34"/>
      <c r="G31" s="34"/>
      <c r="H31" s="29"/>
      <c r="I31" s="29"/>
      <c r="J31" s="29"/>
      <c r="K31" s="29"/>
      <c r="L31" s="35" t="str">
        <f aca="false">IF(A31="",IF(SUMPRODUCT(--(B31:D31&lt;&gt;""))+SUMPRODUCT(--(F31:K31&lt;&gt;""))&gt;0,"Missing ID",""),IF(COUNTIF($A$7:$A$307,A31)&gt;1,"Duplicate ID",IF(AND(F31="Complete",G31=""),"Evidence missing",IF(AND(F31&lt;&gt;"Not started",F31&lt;&gt;"In progress",F31&lt;&gt;"In review",F31&lt;&gt;"Complete"),"Choose a status",""))))</f>
        <v/>
      </c>
    </row>
    <row r="32" customFormat="false" ht="44" hidden="false" customHeight="true" outlineLevel="0" collapsed="false">
      <c r="A32" s="29"/>
      <c r="B32" s="29"/>
      <c r="C32" s="29"/>
      <c r="D32" s="29"/>
      <c r="E32" s="29"/>
      <c r="F32" s="34"/>
      <c r="G32" s="34"/>
      <c r="H32" s="29"/>
      <c r="I32" s="29"/>
      <c r="J32" s="29"/>
      <c r="K32" s="29"/>
      <c r="L32" s="35" t="str">
        <f aca="false">IF(A32="",IF(SUMPRODUCT(--(B32:D32&lt;&gt;""))+SUMPRODUCT(--(F32:K32&lt;&gt;""))&gt;0,"Missing ID",""),IF(COUNTIF($A$7:$A$307,A32)&gt;1,"Duplicate ID",IF(AND(F32="Complete",G32=""),"Evidence missing",IF(AND(F32&lt;&gt;"Not started",F32&lt;&gt;"In progress",F32&lt;&gt;"In review",F32&lt;&gt;"Complete"),"Choose a status",""))))</f>
        <v/>
      </c>
    </row>
    <row r="33" customFormat="false" ht="44" hidden="false" customHeight="true" outlineLevel="0" collapsed="false">
      <c r="A33" s="29"/>
      <c r="B33" s="29"/>
      <c r="C33" s="29"/>
      <c r="D33" s="29"/>
      <c r="E33" s="29"/>
      <c r="F33" s="34"/>
      <c r="G33" s="34"/>
      <c r="H33" s="29"/>
      <c r="I33" s="29"/>
      <c r="J33" s="29"/>
      <c r="K33" s="29"/>
      <c r="L33" s="35" t="str">
        <f aca="false">IF(A33="",IF(SUMPRODUCT(--(B33:D33&lt;&gt;""))+SUMPRODUCT(--(F33:K33&lt;&gt;""))&gt;0,"Missing ID",""),IF(COUNTIF($A$7:$A$307,A33)&gt;1,"Duplicate ID",IF(AND(F33="Complete",G33=""),"Evidence missing",IF(AND(F33&lt;&gt;"Not started",F33&lt;&gt;"In progress",F33&lt;&gt;"In review",F33&lt;&gt;"Complete"),"Choose a status",""))))</f>
        <v/>
      </c>
    </row>
    <row r="34" customFormat="false" ht="44" hidden="false" customHeight="true" outlineLevel="0" collapsed="false">
      <c r="A34" s="29"/>
      <c r="B34" s="29"/>
      <c r="C34" s="29"/>
      <c r="D34" s="29"/>
      <c r="E34" s="29"/>
      <c r="F34" s="34"/>
      <c r="G34" s="34"/>
      <c r="H34" s="29"/>
      <c r="I34" s="29"/>
      <c r="J34" s="29"/>
      <c r="K34" s="29"/>
      <c r="L34" s="35" t="str">
        <f aca="false">IF(A34="",IF(SUMPRODUCT(--(B34:D34&lt;&gt;""))+SUMPRODUCT(--(F34:K34&lt;&gt;""))&gt;0,"Missing ID",""),IF(COUNTIF($A$7:$A$307,A34)&gt;1,"Duplicate ID",IF(AND(F34="Complete",G34=""),"Evidence missing",IF(AND(F34&lt;&gt;"Not started",F34&lt;&gt;"In progress",F34&lt;&gt;"In review",F34&lt;&gt;"Complete"),"Choose a status",""))))</f>
        <v/>
      </c>
    </row>
    <row r="35" customFormat="false" ht="44" hidden="false" customHeight="true" outlineLevel="0" collapsed="false">
      <c r="A35" s="29"/>
      <c r="B35" s="29"/>
      <c r="C35" s="29"/>
      <c r="D35" s="29"/>
      <c r="E35" s="29"/>
      <c r="F35" s="34"/>
      <c r="G35" s="34"/>
      <c r="H35" s="29"/>
      <c r="I35" s="29"/>
      <c r="J35" s="29"/>
      <c r="K35" s="29"/>
      <c r="L35" s="35" t="str">
        <f aca="false">IF(A35="",IF(SUMPRODUCT(--(B35:D35&lt;&gt;""))+SUMPRODUCT(--(F35:K35&lt;&gt;""))&gt;0,"Missing ID",""),IF(COUNTIF($A$7:$A$307,A35)&gt;1,"Duplicate ID",IF(AND(F35="Complete",G35=""),"Evidence missing",IF(AND(F35&lt;&gt;"Not started",F35&lt;&gt;"In progress",F35&lt;&gt;"In review",F35&lt;&gt;"Complete"),"Choose a status",""))))</f>
        <v/>
      </c>
    </row>
    <row r="36" customFormat="false" ht="44" hidden="false" customHeight="true" outlineLevel="0" collapsed="false">
      <c r="A36" s="29"/>
      <c r="B36" s="29"/>
      <c r="C36" s="29"/>
      <c r="D36" s="29"/>
      <c r="E36" s="29"/>
      <c r="F36" s="34"/>
      <c r="G36" s="34"/>
      <c r="H36" s="29"/>
      <c r="I36" s="29"/>
      <c r="J36" s="29"/>
      <c r="K36" s="29"/>
      <c r="L36" s="35" t="str">
        <f aca="false">IF(A36="",IF(SUMPRODUCT(--(B36:D36&lt;&gt;""))+SUMPRODUCT(--(F36:K36&lt;&gt;""))&gt;0,"Missing ID",""),IF(COUNTIF($A$7:$A$307,A36)&gt;1,"Duplicate ID",IF(AND(F36="Complete",G36=""),"Evidence missing",IF(AND(F36&lt;&gt;"Not started",F36&lt;&gt;"In progress",F36&lt;&gt;"In review",F36&lt;&gt;"Complete"),"Choose a status",""))))</f>
        <v/>
      </c>
    </row>
    <row r="37" customFormat="false" ht="44" hidden="false" customHeight="true" outlineLevel="0" collapsed="false">
      <c r="A37" s="29"/>
      <c r="B37" s="29"/>
      <c r="C37" s="29"/>
      <c r="D37" s="29"/>
      <c r="E37" s="29"/>
      <c r="F37" s="34"/>
      <c r="G37" s="34"/>
      <c r="H37" s="29"/>
      <c r="I37" s="29"/>
      <c r="J37" s="29"/>
      <c r="K37" s="29"/>
      <c r="L37" s="35" t="str">
        <f aca="false">IF(A37="",IF(SUMPRODUCT(--(B37:D37&lt;&gt;""))+SUMPRODUCT(--(F37:K37&lt;&gt;""))&gt;0,"Missing ID",""),IF(COUNTIF($A$7:$A$307,A37)&gt;1,"Duplicate ID",IF(AND(F37="Complete",G37=""),"Evidence missing",IF(AND(F37&lt;&gt;"Not started",F37&lt;&gt;"In progress",F37&lt;&gt;"In review",F37&lt;&gt;"Complete"),"Choose a status",""))))</f>
        <v/>
      </c>
    </row>
    <row r="38" customFormat="false" ht="44" hidden="false" customHeight="true" outlineLevel="0" collapsed="false">
      <c r="A38" s="29"/>
      <c r="B38" s="29"/>
      <c r="C38" s="29"/>
      <c r="D38" s="29"/>
      <c r="E38" s="29"/>
      <c r="F38" s="34"/>
      <c r="G38" s="34"/>
      <c r="H38" s="29"/>
      <c r="I38" s="29"/>
      <c r="J38" s="29"/>
      <c r="K38" s="29"/>
      <c r="L38" s="35" t="str">
        <f aca="false">IF(A38="",IF(SUMPRODUCT(--(B38:D38&lt;&gt;""))+SUMPRODUCT(--(F38:K38&lt;&gt;""))&gt;0,"Missing ID",""),IF(COUNTIF($A$7:$A$307,A38)&gt;1,"Duplicate ID",IF(AND(F38="Complete",G38=""),"Evidence missing",IF(AND(F38&lt;&gt;"Not started",F38&lt;&gt;"In progress",F38&lt;&gt;"In review",F38&lt;&gt;"Complete"),"Choose a status",""))))</f>
        <v/>
      </c>
    </row>
    <row r="39" customFormat="false" ht="44" hidden="false" customHeight="true" outlineLevel="0" collapsed="false">
      <c r="A39" s="29"/>
      <c r="B39" s="29"/>
      <c r="C39" s="29"/>
      <c r="D39" s="29"/>
      <c r="E39" s="29"/>
      <c r="F39" s="34"/>
      <c r="G39" s="34"/>
      <c r="H39" s="29"/>
      <c r="I39" s="29"/>
      <c r="J39" s="29"/>
      <c r="K39" s="29"/>
      <c r="L39" s="35" t="str">
        <f aca="false">IF(A39="",IF(SUMPRODUCT(--(B39:D39&lt;&gt;""))+SUMPRODUCT(--(F39:K39&lt;&gt;""))&gt;0,"Missing ID",""),IF(COUNTIF($A$7:$A$307,A39)&gt;1,"Duplicate ID",IF(AND(F39="Complete",G39=""),"Evidence missing",IF(AND(F39&lt;&gt;"Not started",F39&lt;&gt;"In progress",F39&lt;&gt;"In review",F39&lt;&gt;"Complete"),"Choose a status",""))))</f>
        <v/>
      </c>
    </row>
    <row r="40" customFormat="false" ht="44" hidden="false" customHeight="true" outlineLevel="0" collapsed="false">
      <c r="A40" s="29"/>
      <c r="B40" s="29"/>
      <c r="C40" s="29"/>
      <c r="D40" s="29"/>
      <c r="E40" s="29"/>
      <c r="F40" s="34"/>
      <c r="G40" s="34"/>
      <c r="H40" s="29"/>
      <c r="I40" s="29"/>
      <c r="J40" s="29"/>
      <c r="K40" s="29"/>
      <c r="L40" s="35" t="str">
        <f aca="false">IF(A40="",IF(SUMPRODUCT(--(B40:D40&lt;&gt;""))+SUMPRODUCT(--(F40:K40&lt;&gt;""))&gt;0,"Missing ID",""),IF(COUNTIF($A$7:$A$307,A40)&gt;1,"Duplicate ID",IF(AND(F40="Complete",G40=""),"Evidence missing",IF(AND(F40&lt;&gt;"Not started",F40&lt;&gt;"In progress",F40&lt;&gt;"In review",F40&lt;&gt;"Complete"),"Choose a status",""))))</f>
        <v/>
      </c>
    </row>
    <row r="41" customFormat="false" ht="44" hidden="false" customHeight="true" outlineLevel="0" collapsed="false">
      <c r="A41" s="29"/>
      <c r="B41" s="29"/>
      <c r="C41" s="29"/>
      <c r="D41" s="29"/>
      <c r="E41" s="29"/>
      <c r="F41" s="34"/>
      <c r="G41" s="34"/>
      <c r="H41" s="29"/>
      <c r="I41" s="29"/>
      <c r="J41" s="29"/>
      <c r="K41" s="29"/>
      <c r="L41" s="35" t="str">
        <f aca="false">IF(A41="",IF(SUMPRODUCT(--(B41:D41&lt;&gt;""))+SUMPRODUCT(--(F41:K41&lt;&gt;""))&gt;0,"Missing ID",""),IF(COUNTIF($A$7:$A$307,A41)&gt;1,"Duplicate ID",IF(AND(F41="Complete",G41=""),"Evidence missing",IF(AND(F41&lt;&gt;"Not started",F41&lt;&gt;"In progress",F41&lt;&gt;"In review",F41&lt;&gt;"Complete"),"Choose a status",""))))</f>
        <v/>
      </c>
    </row>
    <row r="42" customFormat="false" ht="44" hidden="false" customHeight="true" outlineLevel="0" collapsed="false">
      <c r="A42" s="29"/>
      <c r="B42" s="29"/>
      <c r="C42" s="29"/>
      <c r="D42" s="29"/>
      <c r="E42" s="29"/>
      <c r="F42" s="34"/>
      <c r="G42" s="34"/>
      <c r="H42" s="29"/>
      <c r="I42" s="29"/>
      <c r="J42" s="29"/>
      <c r="K42" s="29"/>
      <c r="L42" s="35" t="str">
        <f aca="false">IF(A42="",IF(SUMPRODUCT(--(B42:D42&lt;&gt;""))+SUMPRODUCT(--(F42:K42&lt;&gt;""))&gt;0,"Missing ID",""),IF(COUNTIF($A$7:$A$307,A42)&gt;1,"Duplicate ID",IF(AND(F42="Complete",G42=""),"Evidence missing",IF(AND(F42&lt;&gt;"Not started",F42&lt;&gt;"In progress",F42&lt;&gt;"In review",F42&lt;&gt;"Complete"),"Choose a status",""))))</f>
        <v/>
      </c>
    </row>
    <row r="43" customFormat="false" ht="44" hidden="false" customHeight="true" outlineLevel="0" collapsed="false">
      <c r="A43" s="29"/>
      <c r="B43" s="29"/>
      <c r="C43" s="29"/>
      <c r="D43" s="29"/>
      <c r="E43" s="29"/>
      <c r="F43" s="34"/>
      <c r="G43" s="34"/>
      <c r="H43" s="29"/>
      <c r="I43" s="29"/>
      <c r="J43" s="29"/>
      <c r="K43" s="29"/>
      <c r="L43" s="35" t="str">
        <f aca="false">IF(A43="",IF(SUMPRODUCT(--(B43:D43&lt;&gt;""))+SUMPRODUCT(--(F43:K43&lt;&gt;""))&gt;0,"Missing ID",""),IF(COUNTIF($A$7:$A$307,A43)&gt;1,"Duplicate ID",IF(AND(F43="Complete",G43=""),"Evidence missing",IF(AND(F43&lt;&gt;"Not started",F43&lt;&gt;"In progress",F43&lt;&gt;"In review",F43&lt;&gt;"Complete"),"Choose a status",""))))</f>
        <v/>
      </c>
    </row>
    <row r="44" customFormat="false" ht="44" hidden="false" customHeight="true" outlineLevel="0" collapsed="false">
      <c r="A44" s="29"/>
      <c r="B44" s="29"/>
      <c r="C44" s="29"/>
      <c r="D44" s="29"/>
      <c r="E44" s="29"/>
      <c r="F44" s="34"/>
      <c r="G44" s="34"/>
      <c r="H44" s="29"/>
      <c r="I44" s="29"/>
      <c r="J44" s="29"/>
      <c r="K44" s="29"/>
      <c r="L44" s="35" t="str">
        <f aca="false">IF(A44="",IF(SUMPRODUCT(--(B44:D44&lt;&gt;""))+SUMPRODUCT(--(F44:K44&lt;&gt;""))&gt;0,"Missing ID",""),IF(COUNTIF($A$7:$A$307,A44)&gt;1,"Duplicate ID",IF(AND(F44="Complete",G44=""),"Evidence missing",IF(AND(F44&lt;&gt;"Not started",F44&lt;&gt;"In progress",F44&lt;&gt;"In review",F44&lt;&gt;"Complete"),"Choose a status",""))))</f>
        <v/>
      </c>
    </row>
    <row r="45" customFormat="false" ht="44" hidden="false" customHeight="true" outlineLevel="0" collapsed="false">
      <c r="A45" s="29"/>
      <c r="B45" s="29"/>
      <c r="C45" s="29"/>
      <c r="D45" s="29"/>
      <c r="E45" s="29"/>
      <c r="F45" s="34"/>
      <c r="G45" s="34"/>
      <c r="H45" s="29"/>
      <c r="I45" s="29"/>
      <c r="J45" s="29"/>
      <c r="K45" s="29"/>
      <c r="L45" s="35" t="str">
        <f aca="false">IF(A45="",IF(SUMPRODUCT(--(B45:D45&lt;&gt;""))+SUMPRODUCT(--(F45:K45&lt;&gt;""))&gt;0,"Missing ID",""),IF(COUNTIF($A$7:$A$307,A45)&gt;1,"Duplicate ID",IF(AND(F45="Complete",G45=""),"Evidence missing",IF(AND(F45&lt;&gt;"Not started",F45&lt;&gt;"In progress",F45&lt;&gt;"In review",F45&lt;&gt;"Complete"),"Choose a status",""))))</f>
        <v/>
      </c>
    </row>
    <row r="46" customFormat="false" ht="44" hidden="false" customHeight="true" outlineLevel="0" collapsed="false">
      <c r="A46" s="29"/>
      <c r="B46" s="29"/>
      <c r="C46" s="29"/>
      <c r="D46" s="29"/>
      <c r="E46" s="29"/>
      <c r="F46" s="34"/>
      <c r="G46" s="34"/>
      <c r="H46" s="29"/>
      <c r="I46" s="29"/>
      <c r="J46" s="29"/>
      <c r="K46" s="29"/>
      <c r="L46" s="35" t="str">
        <f aca="false">IF(A46="",IF(SUMPRODUCT(--(B46:D46&lt;&gt;""))+SUMPRODUCT(--(F46:K46&lt;&gt;""))&gt;0,"Missing ID",""),IF(COUNTIF($A$7:$A$307,A46)&gt;1,"Duplicate ID",IF(AND(F46="Complete",G46=""),"Evidence missing",IF(AND(F46&lt;&gt;"Not started",F46&lt;&gt;"In progress",F46&lt;&gt;"In review",F46&lt;&gt;"Complete"),"Choose a status",""))))</f>
        <v/>
      </c>
    </row>
    <row r="47" customFormat="false" ht="44" hidden="false" customHeight="true" outlineLevel="0" collapsed="false">
      <c r="A47" s="29"/>
      <c r="B47" s="29"/>
      <c r="C47" s="29"/>
      <c r="D47" s="29"/>
      <c r="E47" s="29"/>
      <c r="F47" s="34"/>
      <c r="G47" s="34"/>
      <c r="H47" s="29"/>
      <c r="I47" s="29"/>
      <c r="J47" s="29"/>
      <c r="K47" s="29"/>
      <c r="L47" s="35" t="str">
        <f aca="false">IF(A47="",IF(SUMPRODUCT(--(B47:D47&lt;&gt;""))+SUMPRODUCT(--(F47:K47&lt;&gt;""))&gt;0,"Missing ID",""),IF(COUNTIF($A$7:$A$307,A47)&gt;1,"Duplicate ID",IF(AND(F47="Complete",G47=""),"Evidence missing",IF(AND(F47&lt;&gt;"Not started",F47&lt;&gt;"In progress",F47&lt;&gt;"In review",F47&lt;&gt;"Complete"),"Choose a status",""))))</f>
        <v/>
      </c>
    </row>
    <row r="48" customFormat="false" ht="44" hidden="false" customHeight="true" outlineLevel="0" collapsed="false">
      <c r="A48" s="29"/>
      <c r="B48" s="29"/>
      <c r="C48" s="29"/>
      <c r="D48" s="29"/>
      <c r="E48" s="29"/>
      <c r="F48" s="34"/>
      <c r="G48" s="34"/>
      <c r="H48" s="29"/>
      <c r="I48" s="29"/>
      <c r="J48" s="29"/>
      <c r="K48" s="29"/>
      <c r="L48" s="35" t="str">
        <f aca="false">IF(A48="",IF(SUMPRODUCT(--(B48:D48&lt;&gt;""))+SUMPRODUCT(--(F48:K48&lt;&gt;""))&gt;0,"Missing ID",""),IF(COUNTIF($A$7:$A$307,A48)&gt;1,"Duplicate ID",IF(AND(F48="Complete",G48=""),"Evidence missing",IF(AND(F48&lt;&gt;"Not started",F48&lt;&gt;"In progress",F48&lt;&gt;"In review",F48&lt;&gt;"Complete"),"Choose a status",""))))</f>
        <v/>
      </c>
    </row>
    <row r="49" customFormat="false" ht="44" hidden="false" customHeight="true" outlineLevel="0" collapsed="false">
      <c r="A49" s="29"/>
      <c r="B49" s="29"/>
      <c r="C49" s="29"/>
      <c r="D49" s="29"/>
      <c r="E49" s="29"/>
      <c r="F49" s="34"/>
      <c r="G49" s="34"/>
      <c r="H49" s="29"/>
      <c r="I49" s="29"/>
      <c r="J49" s="29"/>
      <c r="K49" s="29"/>
      <c r="L49" s="35" t="str">
        <f aca="false">IF(A49="",IF(SUMPRODUCT(--(B49:D49&lt;&gt;""))+SUMPRODUCT(--(F49:K49&lt;&gt;""))&gt;0,"Missing ID",""),IF(COUNTIF($A$7:$A$307,A49)&gt;1,"Duplicate ID",IF(AND(F49="Complete",G49=""),"Evidence missing",IF(AND(F49&lt;&gt;"Not started",F49&lt;&gt;"In progress",F49&lt;&gt;"In review",F49&lt;&gt;"Complete"),"Choose a status",""))))</f>
        <v/>
      </c>
    </row>
    <row r="50" customFormat="false" ht="44" hidden="false" customHeight="true" outlineLevel="0" collapsed="false">
      <c r="A50" s="29"/>
      <c r="B50" s="29"/>
      <c r="C50" s="29"/>
      <c r="D50" s="29"/>
      <c r="E50" s="29"/>
      <c r="F50" s="34"/>
      <c r="G50" s="34"/>
      <c r="H50" s="29"/>
      <c r="I50" s="29"/>
      <c r="J50" s="29"/>
      <c r="K50" s="29"/>
      <c r="L50" s="35" t="str">
        <f aca="false">IF(A50="",IF(SUMPRODUCT(--(B50:D50&lt;&gt;""))+SUMPRODUCT(--(F50:K50&lt;&gt;""))&gt;0,"Missing ID",""),IF(COUNTIF($A$7:$A$307,A50)&gt;1,"Duplicate ID",IF(AND(F50="Complete",G50=""),"Evidence missing",IF(AND(F50&lt;&gt;"Not started",F50&lt;&gt;"In progress",F50&lt;&gt;"In review",F50&lt;&gt;"Complete"),"Choose a status",""))))</f>
        <v/>
      </c>
    </row>
    <row r="51" customFormat="false" ht="44" hidden="false" customHeight="true" outlineLevel="0" collapsed="false">
      <c r="A51" s="29"/>
      <c r="B51" s="29"/>
      <c r="C51" s="29"/>
      <c r="D51" s="29"/>
      <c r="E51" s="29"/>
      <c r="F51" s="34"/>
      <c r="G51" s="34"/>
      <c r="H51" s="29"/>
      <c r="I51" s="29"/>
      <c r="J51" s="29"/>
      <c r="K51" s="29"/>
      <c r="L51" s="35" t="str">
        <f aca="false">IF(A51="",IF(SUMPRODUCT(--(B51:D51&lt;&gt;""))+SUMPRODUCT(--(F51:K51&lt;&gt;""))&gt;0,"Missing ID",""),IF(COUNTIF($A$7:$A$307,A51)&gt;1,"Duplicate ID",IF(AND(F51="Complete",G51=""),"Evidence missing",IF(AND(F51&lt;&gt;"Not started",F51&lt;&gt;"In progress",F51&lt;&gt;"In review",F51&lt;&gt;"Complete"),"Choose a status",""))))</f>
        <v/>
      </c>
    </row>
    <row r="52" customFormat="false" ht="44" hidden="false" customHeight="true" outlineLevel="0" collapsed="false">
      <c r="A52" s="29"/>
      <c r="B52" s="29"/>
      <c r="C52" s="29"/>
      <c r="D52" s="29"/>
      <c r="E52" s="29"/>
      <c r="F52" s="34"/>
      <c r="G52" s="34"/>
      <c r="H52" s="29"/>
      <c r="I52" s="29"/>
      <c r="J52" s="29"/>
      <c r="K52" s="29"/>
      <c r="L52" s="35" t="str">
        <f aca="false">IF(A52="",IF(SUMPRODUCT(--(B52:D52&lt;&gt;""))+SUMPRODUCT(--(F52:K52&lt;&gt;""))&gt;0,"Missing ID",""),IF(COUNTIF($A$7:$A$307,A52)&gt;1,"Duplicate ID",IF(AND(F52="Complete",G52=""),"Evidence missing",IF(AND(F52&lt;&gt;"Not started",F52&lt;&gt;"In progress",F52&lt;&gt;"In review",F52&lt;&gt;"Complete"),"Choose a status",""))))</f>
        <v/>
      </c>
    </row>
    <row r="53" customFormat="false" ht="44" hidden="false" customHeight="true" outlineLevel="0" collapsed="false">
      <c r="A53" s="29"/>
      <c r="B53" s="29"/>
      <c r="C53" s="29"/>
      <c r="D53" s="29"/>
      <c r="E53" s="29"/>
      <c r="F53" s="34"/>
      <c r="G53" s="34"/>
      <c r="H53" s="29"/>
      <c r="I53" s="29"/>
      <c r="J53" s="29"/>
      <c r="K53" s="29"/>
      <c r="L53" s="35" t="str">
        <f aca="false">IF(A53="",IF(SUMPRODUCT(--(B53:D53&lt;&gt;""))+SUMPRODUCT(--(F53:K53&lt;&gt;""))&gt;0,"Missing ID",""),IF(COUNTIF($A$7:$A$307,A53)&gt;1,"Duplicate ID",IF(AND(F53="Complete",G53=""),"Evidence missing",IF(AND(F53&lt;&gt;"Not started",F53&lt;&gt;"In progress",F53&lt;&gt;"In review",F53&lt;&gt;"Complete"),"Choose a status",""))))</f>
        <v/>
      </c>
    </row>
    <row r="54" customFormat="false" ht="44" hidden="false" customHeight="true" outlineLevel="0" collapsed="false">
      <c r="A54" s="29"/>
      <c r="B54" s="29"/>
      <c r="C54" s="29"/>
      <c r="D54" s="29"/>
      <c r="E54" s="29"/>
      <c r="F54" s="34"/>
      <c r="G54" s="34"/>
      <c r="H54" s="29"/>
      <c r="I54" s="29"/>
      <c r="J54" s="29"/>
      <c r="K54" s="29"/>
      <c r="L54" s="35" t="str">
        <f aca="false">IF(A54="",IF(SUMPRODUCT(--(B54:D54&lt;&gt;""))+SUMPRODUCT(--(F54:K54&lt;&gt;""))&gt;0,"Missing ID",""),IF(COUNTIF($A$7:$A$307,A54)&gt;1,"Duplicate ID",IF(AND(F54="Complete",G54=""),"Evidence missing",IF(AND(F54&lt;&gt;"Not started",F54&lt;&gt;"In progress",F54&lt;&gt;"In review",F54&lt;&gt;"Complete"),"Choose a status",""))))</f>
        <v/>
      </c>
    </row>
    <row r="55" customFormat="false" ht="44" hidden="false" customHeight="true" outlineLevel="0" collapsed="false">
      <c r="A55" s="29"/>
      <c r="B55" s="29"/>
      <c r="C55" s="29"/>
      <c r="D55" s="29"/>
      <c r="E55" s="29"/>
      <c r="F55" s="34"/>
      <c r="G55" s="34"/>
      <c r="H55" s="29"/>
      <c r="I55" s="29"/>
      <c r="J55" s="29"/>
      <c r="K55" s="29"/>
      <c r="L55" s="35" t="str">
        <f aca="false">IF(A55="",IF(SUMPRODUCT(--(B55:D55&lt;&gt;""))+SUMPRODUCT(--(F55:K55&lt;&gt;""))&gt;0,"Missing ID",""),IF(COUNTIF($A$7:$A$307,A55)&gt;1,"Duplicate ID",IF(AND(F55="Complete",G55=""),"Evidence missing",IF(AND(F55&lt;&gt;"Not started",F55&lt;&gt;"In progress",F55&lt;&gt;"In review",F55&lt;&gt;"Complete"),"Choose a status",""))))</f>
        <v/>
      </c>
    </row>
    <row r="56" customFormat="false" ht="44" hidden="false" customHeight="true" outlineLevel="0" collapsed="false">
      <c r="A56" s="29"/>
      <c r="B56" s="29"/>
      <c r="C56" s="29"/>
      <c r="D56" s="29"/>
      <c r="E56" s="29"/>
      <c r="F56" s="34"/>
      <c r="G56" s="34"/>
      <c r="H56" s="29"/>
      <c r="I56" s="29"/>
      <c r="J56" s="29"/>
      <c r="K56" s="29"/>
      <c r="L56" s="35" t="str">
        <f aca="false">IF(A56="",IF(SUMPRODUCT(--(B56:D56&lt;&gt;""))+SUMPRODUCT(--(F56:K56&lt;&gt;""))&gt;0,"Missing ID",""),IF(COUNTIF($A$7:$A$307,A56)&gt;1,"Duplicate ID",IF(AND(F56="Complete",G56=""),"Evidence missing",IF(AND(F56&lt;&gt;"Not started",F56&lt;&gt;"In progress",F56&lt;&gt;"In review",F56&lt;&gt;"Complete"),"Choose a status",""))))</f>
        <v/>
      </c>
    </row>
    <row r="57" customFormat="false" ht="44" hidden="false" customHeight="true" outlineLevel="0" collapsed="false">
      <c r="A57" s="29"/>
      <c r="B57" s="29"/>
      <c r="C57" s="29"/>
      <c r="D57" s="29"/>
      <c r="E57" s="29"/>
      <c r="F57" s="34"/>
      <c r="G57" s="34"/>
      <c r="H57" s="29"/>
      <c r="I57" s="29"/>
      <c r="J57" s="29"/>
      <c r="K57" s="29"/>
      <c r="L57" s="35" t="str">
        <f aca="false">IF(A57="",IF(SUMPRODUCT(--(B57:D57&lt;&gt;""))+SUMPRODUCT(--(F57:K57&lt;&gt;""))&gt;0,"Missing ID",""),IF(COUNTIF($A$7:$A$307,A57)&gt;1,"Duplicate ID",IF(AND(F57="Complete",G57=""),"Evidence missing",IF(AND(F57&lt;&gt;"Not started",F57&lt;&gt;"In progress",F57&lt;&gt;"In review",F57&lt;&gt;"Complete"),"Choose a status",""))))</f>
        <v/>
      </c>
    </row>
    <row r="58" customFormat="false" ht="44" hidden="false" customHeight="true" outlineLevel="0" collapsed="false">
      <c r="A58" s="29"/>
      <c r="B58" s="29"/>
      <c r="C58" s="29"/>
      <c r="D58" s="29"/>
      <c r="E58" s="29"/>
      <c r="F58" s="34"/>
      <c r="G58" s="34"/>
      <c r="H58" s="29"/>
      <c r="I58" s="29"/>
      <c r="J58" s="29"/>
      <c r="K58" s="29"/>
      <c r="L58" s="35" t="str">
        <f aca="false">IF(A58="",IF(SUMPRODUCT(--(B58:D58&lt;&gt;""))+SUMPRODUCT(--(F58:K58&lt;&gt;""))&gt;0,"Missing ID",""),IF(COUNTIF($A$7:$A$307,A58)&gt;1,"Duplicate ID",IF(AND(F58="Complete",G58=""),"Evidence missing",IF(AND(F58&lt;&gt;"Not started",F58&lt;&gt;"In progress",F58&lt;&gt;"In review",F58&lt;&gt;"Complete"),"Choose a status",""))))</f>
        <v/>
      </c>
    </row>
    <row r="59" customFormat="false" ht="44" hidden="false" customHeight="true" outlineLevel="0" collapsed="false">
      <c r="A59" s="29"/>
      <c r="B59" s="29"/>
      <c r="C59" s="29"/>
      <c r="D59" s="29"/>
      <c r="E59" s="29"/>
      <c r="F59" s="34"/>
      <c r="G59" s="34"/>
      <c r="H59" s="29"/>
      <c r="I59" s="29"/>
      <c r="J59" s="29"/>
      <c r="K59" s="29"/>
      <c r="L59" s="35" t="str">
        <f aca="false">IF(A59="",IF(SUMPRODUCT(--(B59:D59&lt;&gt;""))+SUMPRODUCT(--(F59:K59&lt;&gt;""))&gt;0,"Missing ID",""),IF(COUNTIF($A$7:$A$307,A59)&gt;1,"Duplicate ID",IF(AND(F59="Complete",G59=""),"Evidence missing",IF(AND(F59&lt;&gt;"Not started",F59&lt;&gt;"In progress",F59&lt;&gt;"In review",F59&lt;&gt;"Complete"),"Choose a status",""))))</f>
        <v/>
      </c>
    </row>
    <row r="60" customFormat="false" ht="44" hidden="false" customHeight="true" outlineLevel="0" collapsed="false">
      <c r="A60" s="29"/>
      <c r="B60" s="29"/>
      <c r="C60" s="29"/>
      <c r="D60" s="29"/>
      <c r="E60" s="29"/>
      <c r="F60" s="34"/>
      <c r="G60" s="34"/>
      <c r="H60" s="29"/>
      <c r="I60" s="29"/>
      <c r="J60" s="29"/>
      <c r="K60" s="29"/>
      <c r="L60" s="35" t="str">
        <f aca="false">IF(A60="",IF(SUMPRODUCT(--(B60:D60&lt;&gt;""))+SUMPRODUCT(--(F60:K60&lt;&gt;""))&gt;0,"Missing ID",""),IF(COUNTIF($A$7:$A$307,A60)&gt;1,"Duplicate ID",IF(AND(F60="Complete",G60=""),"Evidence missing",IF(AND(F60&lt;&gt;"Not started",F60&lt;&gt;"In progress",F60&lt;&gt;"In review",F60&lt;&gt;"Complete"),"Choose a status",""))))</f>
        <v/>
      </c>
    </row>
    <row r="61" customFormat="false" ht="44" hidden="false" customHeight="true" outlineLevel="0" collapsed="false">
      <c r="A61" s="29"/>
      <c r="B61" s="29"/>
      <c r="C61" s="29"/>
      <c r="D61" s="29"/>
      <c r="E61" s="29"/>
      <c r="F61" s="34"/>
      <c r="G61" s="34"/>
      <c r="H61" s="29"/>
      <c r="I61" s="29"/>
      <c r="J61" s="29"/>
      <c r="K61" s="29"/>
      <c r="L61" s="35" t="str">
        <f aca="false">IF(A61="",IF(SUMPRODUCT(--(B61:D61&lt;&gt;""))+SUMPRODUCT(--(F61:K61&lt;&gt;""))&gt;0,"Missing ID",""),IF(COUNTIF($A$7:$A$307,A61)&gt;1,"Duplicate ID",IF(AND(F61="Complete",G61=""),"Evidence missing",IF(AND(F61&lt;&gt;"Not started",F61&lt;&gt;"In progress",F61&lt;&gt;"In review",F61&lt;&gt;"Complete"),"Choose a status",""))))</f>
        <v/>
      </c>
    </row>
    <row r="62" customFormat="false" ht="44" hidden="false" customHeight="true" outlineLevel="0" collapsed="false">
      <c r="A62" s="29"/>
      <c r="B62" s="29"/>
      <c r="C62" s="29"/>
      <c r="D62" s="29"/>
      <c r="E62" s="29"/>
      <c r="F62" s="34"/>
      <c r="G62" s="34"/>
      <c r="H62" s="29"/>
      <c r="I62" s="29"/>
      <c r="J62" s="29"/>
      <c r="K62" s="29"/>
      <c r="L62" s="35" t="str">
        <f aca="false">IF(A62="",IF(SUMPRODUCT(--(B62:D62&lt;&gt;""))+SUMPRODUCT(--(F62:K62&lt;&gt;""))&gt;0,"Missing ID",""),IF(COUNTIF($A$7:$A$307,A62)&gt;1,"Duplicate ID",IF(AND(F62="Complete",G62=""),"Evidence missing",IF(AND(F62&lt;&gt;"Not started",F62&lt;&gt;"In progress",F62&lt;&gt;"In review",F62&lt;&gt;"Complete"),"Choose a status",""))))</f>
        <v/>
      </c>
    </row>
    <row r="63" customFormat="false" ht="44" hidden="false" customHeight="true" outlineLevel="0" collapsed="false">
      <c r="A63" s="29"/>
      <c r="B63" s="29"/>
      <c r="C63" s="29"/>
      <c r="D63" s="29"/>
      <c r="E63" s="29"/>
      <c r="F63" s="34"/>
      <c r="G63" s="34"/>
      <c r="H63" s="29"/>
      <c r="I63" s="29"/>
      <c r="J63" s="29"/>
      <c r="K63" s="29"/>
      <c r="L63" s="35" t="str">
        <f aca="false">IF(A63="",IF(SUMPRODUCT(--(B63:D63&lt;&gt;""))+SUMPRODUCT(--(F63:K63&lt;&gt;""))&gt;0,"Missing ID",""),IF(COUNTIF($A$7:$A$307,A63)&gt;1,"Duplicate ID",IF(AND(F63="Complete",G63=""),"Evidence missing",IF(AND(F63&lt;&gt;"Not started",F63&lt;&gt;"In progress",F63&lt;&gt;"In review",F63&lt;&gt;"Complete"),"Choose a status",""))))</f>
        <v/>
      </c>
    </row>
    <row r="64" customFormat="false" ht="44" hidden="false" customHeight="true" outlineLevel="0" collapsed="false">
      <c r="A64" s="29"/>
      <c r="B64" s="29"/>
      <c r="C64" s="29"/>
      <c r="D64" s="29"/>
      <c r="E64" s="29"/>
      <c r="F64" s="34"/>
      <c r="G64" s="34"/>
      <c r="H64" s="29"/>
      <c r="I64" s="29"/>
      <c r="J64" s="29"/>
      <c r="K64" s="29"/>
      <c r="L64" s="35" t="str">
        <f aca="false">IF(A64="",IF(SUMPRODUCT(--(B64:D64&lt;&gt;""))+SUMPRODUCT(--(F64:K64&lt;&gt;""))&gt;0,"Missing ID",""),IF(COUNTIF($A$7:$A$307,A64)&gt;1,"Duplicate ID",IF(AND(F64="Complete",G64=""),"Evidence missing",IF(AND(F64&lt;&gt;"Not started",F64&lt;&gt;"In progress",F64&lt;&gt;"In review",F64&lt;&gt;"Complete"),"Choose a status",""))))</f>
        <v/>
      </c>
    </row>
    <row r="65" customFormat="false" ht="44" hidden="false" customHeight="true" outlineLevel="0" collapsed="false">
      <c r="A65" s="29"/>
      <c r="B65" s="29"/>
      <c r="C65" s="29"/>
      <c r="D65" s="29"/>
      <c r="E65" s="29"/>
      <c r="F65" s="34"/>
      <c r="G65" s="34"/>
      <c r="H65" s="29"/>
      <c r="I65" s="29"/>
      <c r="J65" s="29"/>
      <c r="K65" s="29"/>
      <c r="L65" s="35" t="str">
        <f aca="false">IF(A65="",IF(SUMPRODUCT(--(B65:D65&lt;&gt;""))+SUMPRODUCT(--(F65:K65&lt;&gt;""))&gt;0,"Missing ID",""),IF(COUNTIF($A$7:$A$307,A65)&gt;1,"Duplicate ID",IF(AND(F65="Complete",G65=""),"Evidence missing",IF(AND(F65&lt;&gt;"Not started",F65&lt;&gt;"In progress",F65&lt;&gt;"In review",F65&lt;&gt;"Complete"),"Choose a status",""))))</f>
        <v/>
      </c>
    </row>
    <row r="66" customFormat="false" ht="44" hidden="false" customHeight="true" outlineLevel="0" collapsed="false">
      <c r="A66" s="29"/>
      <c r="B66" s="29"/>
      <c r="C66" s="29"/>
      <c r="D66" s="29"/>
      <c r="E66" s="29"/>
      <c r="F66" s="34"/>
      <c r="G66" s="34"/>
      <c r="H66" s="29"/>
      <c r="I66" s="29"/>
      <c r="J66" s="29"/>
      <c r="K66" s="29"/>
      <c r="L66" s="35" t="str">
        <f aca="false">IF(A66="",IF(SUMPRODUCT(--(B66:D66&lt;&gt;""))+SUMPRODUCT(--(F66:K66&lt;&gt;""))&gt;0,"Missing ID",""),IF(COUNTIF($A$7:$A$307,A66)&gt;1,"Duplicate ID",IF(AND(F66="Complete",G66=""),"Evidence missing",IF(AND(F66&lt;&gt;"Not started",F66&lt;&gt;"In progress",F66&lt;&gt;"In review",F66&lt;&gt;"Complete"),"Choose a status",""))))</f>
        <v/>
      </c>
    </row>
    <row r="67" customFormat="false" ht="44" hidden="false" customHeight="true" outlineLevel="0" collapsed="false">
      <c r="A67" s="29"/>
      <c r="B67" s="29"/>
      <c r="C67" s="29"/>
      <c r="D67" s="29"/>
      <c r="E67" s="29"/>
      <c r="F67" s="34"/>
      <c r="G67" s="34"/>
      <c r="H67" s="29"/>
      <c r="I67" s="29"/>
      <c r="J67" s="29"/>
      <c r="K67" s="29"/>
      <c r="L67" s="35" t="str">
        <f aca="false">IF(A67="",IF(SUMPRODUCT(--(B67:D67&lt;&gt;""))+SUMPRODUCT(--(F67:K67&lt;&gt;""))&gt;0,"Missing ID",""),IF(COUNTIF($A$7:$A$307,A67)&gt;1,"Duplicate ID",IF(AND(F67="Complete",G67=""),"Evidence missing",IF(AND(F67&lt;&gt;"Not started",F67&lt;&gt;"In progress",F67&lt;&gt;"In review",F67&lt;&gt;"Complete"),"Choose a status",""))))</f>
        <v/>
      </c>
    </row>
    <row r="68" customFormat="false" ht="44" hidden="false" customHeight="true" outlineLevel="0" collapsed="false">
      <c r="A68" s="29"/>
      <c r="B68" s="29"/>
      <c r="C68" s="29"/>
      <c r="D68" s="29"/>
      <c r="E68" s="29"/>
      <c r="F68" s="34"/>
      <c r="G68" s="34"/>
      <c r="H68" s="29"/>
      <c r="I68" s="29"/>
      <c r="J68" s="29"/>
      <c r="K68" s="29"/>
      <c r="L68" s="35" t="str">
        <f aca="false">IF(A68="",IF(SUMPRODUCT(--(B68:D68&lt;&gt;""))+SUMPRODUCT(--(F68:K68&lt;&gt;""))&gt;0,"Missing ID",""),IF(COUNTIF($A$7:$A$307,A68)&gt;1,"Duplicate ID",IF(AND(F68="Complete",G68=""),"Evidence missing",IF(AND(F68&lt;&gt;"Not started",F68&lt;&gt;"In progress",F68&lt;&gt;"In review",F68&lt;&gt;"Complete"),"Choose a status",""))))</f>
        <v/>
      </c>
    </row>
    <row r="69" customFormat="false" ht="44" hidden="false" customHeight="true" outlineLevel="0" collapsed="false">
      <c r="A69" s="29"/>
      <c r="B69" s="29"/>
      <c r="C69" s="29"/>
      <c r="D69" s="29"/>
      <c r="E69" s="29"/>
      <c r="F69" s="34"/>
      <c r="G69" s="34"/>
      <c r="H69" s="29"/>
      <c r="I69" s="29"/>
      <c r="J69" s="29"/>
      <c r="K69" s="29"/>
      <c r="L69" s="35" t="str">
        <f aca="false">IF(A69="",IF(SUMPRODUCT(--(B69:D69&lt;&gt;""))+SUMPRODUCT(--(F69:K69&lt;&gt;""))&gt;0,"Missing ID",""),IF(COUNTIF($A$7:$A$307,A69)&gt;1,"Duplicate ID",IF(AND(F69="Complete",G69=""),"Evidence missing",IF(AND(F69&lt;&gt;"Not started",F69&lt;&gt;"In progress",F69&lt;&gt;"In review",F69&lt;&gt;"Complete"),"Choose a status",""))))</f>
        <v/>
      </c>
    </row>
    <row r="70" customFormat="false" ht="44" hidden="false" customHeight="true" outlineLevel="0" collapsed="false">
      <c r="A70" s="29"/>
      <c r="B70" s="29"/>
      <c r="C70" s="29"/>
      <c r="D70" s="29"/>
      <c r="E70" s="29"/>
      <c r="F70" s="34"/>
      <c r="G70" s="34"/>
      <c r="H70" s="29"/>
      <c r="I70" s="29"/>
      <c r="J70" s="29"/>
      <c r="K70" s="29"/>
      <c r="L70" s="35" t="str">
        <f aca="false">IF(A70="",IF(SUMPRODUCT(--(B70:D70&lt;&gt;""))+SUMPRODUCT(--(F70:K70&lt;&gt;""))&gt;0,"Missing ID",""),IF(COUNTIF($A$7:$A$307,A70)&gt;1,"Duplicate ID",IF(AND(F70="Complete",G70=""),"Evidence missing",IF(AND(F70&lt;&gt;"Not started",F70&lt;&gt;"In progress",F70&lt;&gt;"In review",F70&lt;&gt;"Complete"),"Choose a status",""))))</f>
        <v/>
      </c>
    </row>
    <row r="71" customFormat="false" ht="44" hidden="false" customHeight="true" outlineLevel="0" collapsed="false">
      <c r="A71" s="29"/>
      <c r="B71" s="29"/>
      <c r="C71" s="29"/>
      <c r="D71" s="29"/>
      <c r="E71" s="29"/>
      <c r="F71" s="34"/>
      <c r="G71" s="34"/>
      <c r="H71" s="29"/>
      <c r="I71" s="29"/>
      <c r="J71" s="29"/>
      <c r="K71" s="29"/>
      <c r="L71" s="35" t="str">
        <f aca="false">IF(A71="",IF(SUMPRODUCT(--(B71:D71&lt;&gt;""))+SUMPRODUCT(--(F71:K71&lt;&gt;""))&gt;0,"Missing ID",""),IF(COUNTIF($A$7:$A$307,A71)&gt;1,"Duplicate ID",IF(AND(F71="Complete",G71=""),"Evidence missing",IF(AND(F71&lt;&gt;"Not started",F71&lt;&gt;"In progress",F71&lt;&gt;"In review",F71&lt;&gt;"Complete"),"Choose a status",""))))</f>
        <v/>
      </c>
    </row>
    <row r="72" customFormat="false" ht="44" hidden="false" customHeight="true" outlineLevel="0" collapsed="false">
      <c r="A72" s="29"/>
      <c r="B72" s="29"/>
      <c r="C72" s="29"/>
      <c r="D72" s="29"/>
      <c r="E72" s="29"/>
      <c r="F72" s="34"/>
      <c r="G72" s="34"/>
      <c r="H72" s="29"/>
      <c r="I72" s="29"/>
      <c r="J72" s="29"/>
      <c r="K72" s="29"/>
      <c r="L72" s="35" t="str">
        <f aca="false">IF(A72="",IF(SUMPRODUCT(--(B72:D72&lt;&gt;""))+SUMPRODUCT(--(F72:K72&lt;&gt;""))&gt;0,"Missing ID",""),IF(COUNTIF($A$7:$A$307,A72)&gt;1,"Duplicate ID",IF(AND(F72="Complete",G72=""),"Evidence missing",IF(AND(F72&lt;&gt;"Not started",F72&lt;&gt;"In progress",F72&lt;&gt;"In review",F72&lt;&gt;"Complete"),"Choose a status",""))))</f>
        <v/>
      </c>
    </row>
    <row r="73" customFormat="false" ht="44" hidden="false" customHeight="true" outlineLevel="0" collapsed="false">
      <c r="A73" s="29"/>
      <c r="B73" s="29"/>
      <c r="C73" s="29"/>
      <c r="D73" s="29"/>
      <c r="E73" s="29"/>
      <c r="F73" s="34"/>
      <c r="G73" s="34"/>
      <c r="H73" s="29"/>
      <c r="I73" s="29"/>
      <c r="J73" s="29"/>
      <c r="K73" s="29"/>
      <c r="L73" s="35" t="str">
        <f aca="false">IF(A73="",IF(SUMPRODUCT(--(B73:D73&lt;&gt;""))+SUMPRODUCT(--(F73:K73&lt;&gt;""))&gt;0,"Missing ID",""),IF(COUNTIF($A$7:$A$307,A73)&gt;1,"Duplicate ID",IF(AND(F73="Complete",G73=""),"Evidence missing",IF(AND(F73&lt;&gt;"Not started",F73&lt;&gt;"In progress",F73&lt;&gt;"In review",F73&lt;&gt;"Complete"),"Choose a status",""))))</f>
        <v/>
      </c>
    </row>
    <row r="74" customFormat="false" ht="44" hidden="false" customHeight="true" outlineLevel="0" collapsed="false">
      <c r="A74" s="29"/>
      <c r="B74" s="29"/>
      <c r="C74" s="29"/>
      <c r="D74" s="29"/>
      <c r="E74" s="29"/>
      <c r="F74" s="34"/>
      <c r="G74" s="34"/>
      <c r="H74" s="29"/>
      <c r="I74" s="29"/>
      <c r="J74" s="29"/>
      <c r="K74" s="29"/>
      <c r="L74" s="35" t="str">
        <f aca="false">IF(A74="",IF(SUMPRODUCT(--(B74:D74&lt;&gt;""))+SUMPRODUCT(--(F74:K74&lt;&gt;""))&gt;0,"Missing ID",""),IF(COUNTIF($A$7:$A$307,A74)&gt;1,"Duplicate ID",IF(AND(F74="Complete",G74=""),"Evidence missing",IF(AND(F74&lt;&gt;"Not started",F74&lt;&gt;"In progress",F74&lt;&gt;"In review",F74&lt;&gt;"Complete"),"Choose a status",""))))</f>
        <v/>
      </c>
    </row>
    <row r="75" customFormat="false" ht="44" hidden="false" customHeight="true" outlineLevel="0" collapsed="false">
      <c r="A75" s="29"/>
      <c r="B75" s="29"/>
      <c r="C75" s="29"/>
      <c r="D75" s="29"/>
      <c r="E75" s="29"/>
      <c r="F75" s="34"/>
      <c r="G75" s="34"/>
      <c r="H75" s="29"/>
      <c r="I75" s="29"/>
      <c r="J75" s="29"/>
      <c r="K75" s="29"/>
      <c r="L75" s="35" t="str">
        <f aca="false">IF(A75="",IF(SUMPRODUCT(--(B75:D75&lt;&gt;""))+SUMPRODUCT(--(F75:K75&lt;&gt;""))&gt;0,"Missing ID",""),IF(COUNTIF($A$7:$A$307,A75)&gt;1,"Duplicate ID",IF(AND(F75="Complete",G75=""),"Evidence missing",IF(AND(F75&lt;&gt;"Not started",F75&lt;&gt;"In progress",F75&lt;&gt;"In review",F75&lt;&gt;"Complete"),"Choose a status",""))))</f>
        <v/>
      </c>
    </row>
    <row r="76" customFormat="false" ht="44" hidden="false" customHeight="true" outlineLevel="0" collapsed="false">
      <c r="A76" s="29"/>
      <c r="B76" s="29"/>
      <c r="C76" s="29"/>
      <c r="D76" s="29"/>
      <c r="E76" s="29"/>
      <c r="F76" s="34"/>
      <c r="G76" s="34"/>
      <c r="H76" s="29"/>
      <c r="I76" s="29"/>
      <c r="J76" s="29"/>
      <c r="K76" s="29"/>
      <c r="L76" s="35" t="str">
        <f aca="false">IF(A76="",IF(SUMPRODUCT(--(B76:D76&lt;&gt;""))+SUMPRODUCT(--(F76:K76&lt;&gt;""))&gt;0,"Missing ID",""),IF(COUNTIF($A$7:$A$307,A76)&gt;1,"Duplicate ID",IF(AND(F76="Complete",G76=""),"Evidence missing",IF(AND(F76&lt;&gt;"Not started",F76&lt;&gt;"In progress",F76&lt;&gt;"In review",F76&lt;&gt;"Complete"),"Choose a status",""))))</f>
        <v/>
      </c>
    </row>
    <row r="77" customFormat="false" ht="44" hidden="false" customHeight="true" outlineLevel="0" collapsed="false">
      <c r="A77" s="29"/>
      <c r="B77" s="29"/>
      <c r="C77" s="29"/>
      <c r="D77" s="29"/>
      <c r="E77" s="29"/>
      <c r="F77" s="34"/>
      <c r="G77" s="34"/>
      <c r="H77" s="29"/>
      <c r="I77" s="29"/>
      <c r="J77" s="29"/>
      <c r="K77" s="29"/>
      <c r="L77" s="35" t="str">
        <f aca="false">IF(A77="",IF(SUMPRODUCT(--(B77:D77&lt;&gt;""))+SUMPRODUCT(--(F77:K77&lt;&gt;""))&gt;0,"Missing ID",""),IF(COUNTIF($A$7:$A$307,A77)&gt;1,"Duplicate ID",IF(AND(F77="Complete",G77=""),"Evidence missing",IF(AND(F77&lt;&gt;"Not started",F77&lt;&gt;"In progress",F77&lt;&gt;"In review",F77&lt;&gt;"Complete"),"Choose a status",""))))</f>
        <v/>
      </c>
    </row>
    <row r="78" customFormat="false" ht="44" hidden="false" customHeight="true" outlineLevel="0" collapsed="false">
      <c r="A78" s="29"/>
      <c r="B78" s="29"/>
      <c r="C78" s="29"/>
      <c r="D78" s="29"/>
      <c r="E78" s="29"/>
      <c r="F78" s="34"/>
      <c r="G78" s="34"/>
      <c r="H78" s="29"/>
      <c r="I78" s="29"/>
      <c r="J78" s="29"/>
      <c r="K78" s="29"/>
      <c r="L78" s="35" t="str">
        <f aca="false">IF(A78="",IF(SUMPRODUCT(--(B78:D78&lt;&gt;""))+SUMPRODUCT(--(F78:K78&lt;&gt;""))&gt;0,"Missing ID",""),IF(COUNTIF($A$7:$A$307,A78)&gt;1,"Duplicate ID",IF(AND(F78="Complete",G78=""),"Evidence missing",IF(AND(F78&lt;&gt;"Not started",F78&lt;&gt;"In progress",F78&lt;&gt;"In review",F78&lt;&gt;"Complete"),"Choose a status",""))))</f>
        <v/>
      </c>
    </row>
    <row r="79" customFormat="false" ht="44" hidden="false" customHeight="true" outlineLevel="0" collapsed="false">
      <c r="A79" s="29"/>
      <c r="B79" s="29"/>
      <c r="C79" s="29"/>
      <c r="D79" s="29"/>
      <c r="E79" s="29"/>
      <c r="F79" s="34"/>
      <c r="G79" s="34"/>
      <c r="H79" s="29"/>
      <c r="I79" s="29"/>
      <c r="J79" s="29"/>
      <c r="K79" s="29"/>
      <c r="L79" s="35" t="str">
        <f aca="false">IF(A79="",IF(SUMPRODUCT(--(B79:D79&lt;&gt;""))+SUMPRODUCT(--(F79:K79&lt;&gt;""))&gt;0,"Missing ID",""),IF(COUNTIF($A$7:$A$307,A79)&gt;1,"Duplicate ID",IF(AND(F79="Complete",G79=""),"Evidence missing",IF(AND(F79&lt;&gt;"Not started",F79&lt;&gt;"In progress",F79&lt;&gt;"In review",F79&lt;&gt;"Complete"),"Choose a status",""))))</f>
        <v/>
      </c>
    </row>
    <row r="80" customFormat="false" ht="44" hidden="false" customHeight="true" outlineLevel="0" collapsed="false">
      <c r="A80" s="29"/>
      <c r="B80" s="29"/>
      <c r="C80" s="29"/>
      <c r="D80" s="29"/>
      <c r="E80" s="29"/>
      <c r="F80" s="34"/>
      <c r="G80" s="34"/>
      <c r="H80" s="29"/>
      <c r="I80" s="29"/>
      <c r="J80" s="29"/>
      <c r="K80" s="29"/>
      <c r="L80" s="35" t="str">
        <f aca="false">IF(A80="",IF(SUMPRODUCT(--(B80:D80&lt;&gt;""))+SUMPRODUCT(--(F80:K80&lt;&gt;""))&gt;0,"Missing ID",""),IF(COUNTIF($A$7:$A$307,A80)&gt;1,"Duplicate ID",IF(AND(F80="Complete",G80=""),"Evidence missing",IF(AND(F80&lt;&gt;"Not started",F80&lt;&gt;"In progress",F80&lt;&gt;"In review",F80&lt;&gt;"Complete"),"Choose a status",""))))</f>
        <v/>
      </c>
    </row>
    <row r="81" customFormat="false" ht="44" hidden="false" customHeight="true" outlineLevel="0" collapsed="false">
      <c r="A81" s="29"/>
      <c r="B81" s="29"/>
      <c r="C81" s="29"/>
      <c r="D81" s="29"/>
      <c r="E81" s="29"/>
      <c r="F81" s="34"/>
      <c r="G81" s="34"/>
      <c r="H81" s="29"/>
      <c r="I81" s="29"/>
      <c r="J81" s="29"/>
      <c r="K81" s="29"/>
      <c r="L81" s="35" t="str">
        <f aca="false">IF(A81="",IF(SUMPRODUCT(--(B81:D81&lt;&gt;""))+SUMPRODUCT(--(F81:K81&lt;&gt;""))&gt;0,"Missing ID",""),IF(COUNTIF($A$7:$A$307,A81)&gt;1,"Duplicate ID",IF(AND(F81="Complete",G81=""),"Evidence missing",IF(AND(F81&lt;&gt;"Not started",F81&lt;&gt;"In progress",F81&lt;&gt;"In review",F81&lt;&gt;"Complete"),"Choose a status",""))))</f>
        <v/>
      </c>
    </row>
    <row r="82" customFormat="false" ht="44" hidden="false" customHeight="true" outlineLevel="0" collapsed="false">
      <c r="A82" s="29"/>
      <c r="B82" s="29"/>
      <c r="C82" s="29"/>
      <c r="D82" s="29"/>
      <c r="E82" s="29"/>
      <c r="F82" s="34"/>
      <c r="G82" s="34"/>
      <c r="H82" s="29"/>
      <c r="I82" s="29"/>
      <c r="J82" s="29"/>
      <c r="K82" s="29"/>
      <c r="L82" s="35" t="str">
        <f aca="false">IF(A82="",IF(SUMPRODUCT(--(B82:D82&lt;&gt;""))+SUMPRODUCT(--(F82:K82&lt;&gt;""))&gt;0,"Missing ID",""),IF(COUNTIF($A$7:$A$307,A82)&gt;1,"Duplicate ID",IF(AND(F82="Complete",G82=""),"Evidence missing",IF(AND(F82&lt;&gt;"Not started",F82&lt;&gt;"In progress",F82&lt;&gt;"In review",F82&lt;&gt;"Complete"),"Choose a status",""))))</f>
        <v/>
      </c>
    </row>
    <row r="83" customFormat="false" ht="44" hidden="false" customHeight="true" outlineLevel="0" collapsed="false">
      <c r="A83" s="29"/>
      <c r="B83" s="29"/>
      <c r="C83" s="29"/>
      <c r="D83" s="29"/>
      <c r="E83" s="29"/>
      <c r="F83" s="34"/>
      <c r="G83" s="34"/>
      <c r="H83" s="29"/>
      <c r="I83" s="29"/>
      <c r="J83" s="29"/>
      <c r="K83" s="29"/>
      <c r="L83" s="35" t="str">
        <f aca="false">IF(A83="",IF(SUMPRODUCT(--(B83:D83&lt;&gt;""))+SUMPRODUCT(--(F83:K83&lt;&gt;""))&gt;0,"Missing ID",""),IF(COUNTIF($A$7:$A$307,A83)&gt;1,"Duplicate ID",IF(AND(F83="Complete",G83=""),"Evidence missing",IF(AND(F83&lt;&gt;"Not started",F83&lt;&gt;"In progress",F83&lt;&gt;"In review",F83&lt;&gt;"Complete"),"Choose a status",""))))</f>
        <v/>
      </c>
    </row>
    <row r="84" customFormat="false" ht="44" hidden="false" customHeight="true" outlineLevel="0" collapsed="false">
      <c r="A84" s="29"/>
      <c r="B84" s="29"/>
      <c r="C84" s="29"/>
      <c r="D84" s="29"/>
      <c r="E84" s="29"/>
      <c r="F84" s="34"/>
      <c r="G84" s="34"/>
      <c r="H84" s="29"/>
      <c r="I84" s="29"/>
      <c r="J84" s="29"/>
      <c r="K84" s="29"/>
      <c r="L84" s="35" t="str">
        <f aca="false">IF(A84="",IF(SUMPRODUCT(--(B84:D84&lt;&gt;""))+SUMPRODUCT(--(F84:K84&lt;&gt;""))&gt;0,"Missing ID",""),IF(COUNTIF($A$7:$A$307,A84)&gt;1,"Duplicate ID",IF(AND(F84="Complete",G84=""),"Evidence missing",IF(AND(F84&lt;&gt;"Not started",F84&lt;&gt;"In progress",F84&lt;&gt;"In review",F84&lt;&gt;"Complete"),"Choose a status",""))))</f>
        <v/>
      </c>
    </row>
    <row r="85" customFormat="false" ht="44" hidden="false" customHeight="true" outlineLevel="0" collapsed="false">
      <c r="A85" s="29"/>
      <c r="B85" s="29"/>
      <c r="C85" s="29"/>
      <c r="D85" s="29"/>
      <c r="E85" s="29"/>
      <c r="F85" s="34"/>
      <c r="G85" s="34"/>
      <c r="H85" s="29"/>
      <c r="I85" s="29"/>
      <c r="J85" s="29"/>
      <c r="K85" s="29"/>
      <c r="L85" s="35" t="str">
        <f aca="false">IF(A85="",IF(SUMPRODUCT(--(B85:D85&lt;&gt;""))+SUMPRODUCT(--(F85:K85&lt;&gt;""))&gt;0,"Missing ID",""),IF(COUNTIF($A$7:$A$307,A85)&gt;1,"Duplicate ID",IF(AND(F85="Complete",G85=""),"Evidence missing",IF(AND(F85&lt;&gt;"Not started",F85&lt;&gt;"In progress",F85&lt;&gt;"In review",F85&lt;&gt;"Complete"),"Choose a status",""))))</f>
        <v/>
      </c>
    </row>
    <row r="86" customFormat="false" ht="44" hidden="false" customHeight="true" outlineLevel="0" collapsed="false">
      <c r="A86" s="29"/>
      <c r="B86" s="29"/>
      <c r="C86" s="29"/>
      <c r="D86" s="29"/>
      <c r="E86" s="29"/>
      <c r="F86" s="34"/>
      <c r="G86" s="34"/>
      <c r="H86" s="29"/>
      <c r="I86" s="29"/>
      <c r="J86" s="29"/>
      <c r="K86" s="29"/>
      <c r="L86" s="35" t="str">
        <f aca="false">IF(A86="",IF(SUMPRODUCT(--(B86:D86&lt;&gt;""))+SUMPRODUCT(--(F86:K86&lt;&gt;""))&gt;0,"Missing ID",""),IF(COUNTIF($A$7:$A$307,A86)&gt;1,"Duplicate ID",IF(AND(F86="Complete",G86=""),"Evidence missing",IF(AND(F86&lt;&gt;"Not started",F86&lt;&gt;"In progress",F86&lt;&gt;"In review",F86&lt;&gt;"Complete"),"Choose a status",""))))</f>
        <v/>
      </c>
    </row>
    <row r="87" customFormat="false" ht="44" hidden="false" customHeight="true" outlineLevel="0" collapsed="false">
      <c r="A87" s="29"/>
      <c r="B87" s="29"/>
      <c r="C87" s="29"/>
      <c r="D87" s="29"/>
      <c r="E87" s="29"/>
      <c r="F87" s="34"/>
      <c r="G87" s="34"/>
      <c r="H87" s="29"/>
      <c r="I87" s="29"/>
      <c r="J87" s="29"/>
      <c r="K87" s="29"/>
      <c r="L87" s="35" t="str">
        <f aca="false">IF(A87="",IF(SUMPRODUCT(--(B87:D87&lt;&gt;""))+SUMPRODUCT(--(F87:K87&lt;&gt;""))&gt;0,"Missing ID",""),IF(COUNTIF($A$7:$A$307,A87)&gt;1,"Duplicate ID",IF(AND(F87="Complete",G87=""),"Evidence missing",IF(AND(F87&lt;&gt;"Not started",F87&lt;&gt;"In progress",F87&lt;&gt;"In review",F87&lt;&gt;"Complete"),"Choose a status",""))))</f>
        <v/>
      </c>
    </row>
    <row r="88" customFormat="false" ht="44" hidden="false" customHeight="true" outlineLevel="0" collapsed="false">
      <c r="A88" s="29"/>
      <c r="B88" s="29"/>
      <c r="C88" s="29"/>
      <c r="D88" s="29"/>
      <c r="E88" s="29"/>
      <c r="F88" s="34"/>
      <c r="G88" s="34"/>
      <c r="H88" s="29"/>
      <c r="I88" s="29"/>
      <c r="J88" s="29"/>
      <c r="K88" s="29"/>
      <c r="L88" s="35" t="str">
        <f aca="false">IF(A88="",IF(SUMPRODUCT(--(B88:D88&lt;&gt;""))+SUMPRODUCT(--(F88:K88&lt;&gt;""))&gt;0,"Missing ID",""),IF(COUNTIF($A$7:$A$307,A88)&gt;1,"Duplicate ID",IF(AND(F88="Complete",G88=""),"Evidence missing",IF(AND(F88&lt;&gt;"Not started",F88&lt;&gt;"In progress",F88&lt;&gt;"In review",F88&lt;&gt;"Complete"),"Choose a status",""))))</f>
        <v/>
      </c>
    </row>
    <row r="89" customFormat="false" ht="44" hidden="false" customHeight="true" outlineLevel="0" collapsed="false">
      <c r="A89" s="29"/>
      <c r="B89" s="29"/>
      <c r="C89" s="29"/>
      <c r="D89" s="29"/>
      <c r="E89" s="29"/>
      <c r="F89" s="34"/>
      <c r="G89" s="34"/>
      <c r="H89" s="29"/>
      <c r="I89" s="29"/>
      <c r="J89" s="29"/>
      <c r="K89" s="29"/>
      <c r="L89" s="35" t="str">
        <f aca="false">IF(A89="",IF(SUMPRODUCT(--(B89:D89&lt;&gt;""))+SUMPRODUCT(--(F89:K89&lt;&gt;""))&gt;0,"Missing ID",""),IF(COUNTIF($A$7:$A$307,A89)&gt;1,"Duplicate ID",IF(AND(F89="Complete",G89=""),"Evidence missing",IF(AND(F89&lt;&gt;"Not started",F89&lt;&gt;"In progress",F89&lt;&gt;"In review",F89&lt;&gt;"Complete"),"Choose a status",""))))</f>
        <v/>
      </c>
    </row>
    <row r="90" customFormat="false" ht="44" hidden="false" customHeight="true" outlineLevel="0" collapsed="false">
      <c r="A90" s="29"/>
      <c r="B90" s="29"/>
      <c r="C90" s="29"/>
      <c r="D90" s="29"/>
      <c r="E90" s="29"/>
      <c r="F90" s="34"/>
      <c r="G90" s="34"/>
      <c r="H90" s="29"/>
      <c r="I90" s="29"/>
      <c r="J90" s="29"/>
      <c r="K90" s="29"/>
      <c r="L90" s="35" t="str">
        <f aca="false">IF(A90="",IF(SUMPRODUCT(--(B90:D90&lt;&gt;""))+SUMPRODUCT(--(F90:K90&lt;&gt;""))&gt;0,"Missing ID",""),IF(COUNTIF($A$7:$A$307,A90)&gt;1,"Duplicate ID",IF(AND(F90="Complete",G90=""),"Evidence missing",IF(AND(F90&lt;&gt;"Not started",F90&lt;&gt;"In progress",F90&lt;&gt;"In review",F90&lt;&gt;"Complete"),"Choose a status",""))))</f>
        <v/>
      </c>
    </row>
    <row r="91" customFormat="false" ht="44" hidden="false" customHeight="true" outlineLevel="0" collapsed="false">
      <c r="A91" s="29"/>
      <c r="B91" s="29"/>
      <c r="C91" s="29"/>
      <c r="D91" s="29"/>
      <c r="E91" s="29"/>
      <c r="F91" s="34"/>
      <c r="G91" s="34"/>
      <c r="H91" s="29"/>
      <c r="I91" s="29"/>
      <c r="J91" s="29"/>
      <c r="K91" s="29"/>
      <c r="L91" s="35" t="str">
        <f aca="false">IF(A91="",IF(SUMPRODUCT(--(B91:D91&lt;&gt;""))+SUMPRODUCT(--(F91:K91&lt;&gt;""))&gt;0,"Missing ID",""),IF(COUNTIF($A$7:$A$307,A91)&gt;1,"Duplicate ID",IF(AND(F91="Complete",G91=""),"Evidence missing",IF(AND(F91&lt;&gt;"Not started",F91&lt;&gt;"In progress",F91&lt;&gt;"In review",F91&lt;&gt;"Complete"),"Choose a status",""))))</f>
        <v/>
      </c>
    </row>
    <row r="92" customFormat="false" ht="44" hidden="false" customHeight="true" outlineLevel="0" collapsed="false">
      <c r="A92" s="29"/>
      <c r="B92" s="29"/>
      <c r="C92" s="29"/>
      <c r="D92" s="29"/>
      <c r="E92" s="29"/>
      <c r="F92" s="34"/>
      <c r="G92" s="34"/>
      <c r="H92" s="29"/>
      <c r="I92" s="29"/>
      <c r="J92" s="29"/>
      <c r="K92" s="29"/>
      <c r="L92" s="35" t="str">
        <f aca="false">IF(A92="",IF(SUMPRODUCT(--(B92:D92&lt;&gt;""))+SUMPRODUCT(--(F92:K92&lt;&gt;""))&gt;0,"Missing ID",""),IF(COUNTIF($A$7:$A$307,A92)&gt;1,"Duplicate ID",IF(AND(F92="Complete",G92=""),"Evidence missing",IF(AND(F92&lt;&gt;"Not started",F92&lt;&gt;"In progress",F92&lt;&gt;"In review",F92&lt;&gt;"Complete"),"Choose a status",""))))</f>
        <v/>
      </c>
    </row>
    <row r="93" customFormat="false" ht="44" hidden="false" customHeight="true" outlineLevel="0" collapsed="false">
      <c r="A93" s="29"/>
      <c r="B93" s="29"/>
      <c r="C93" s="29"/>
      <c r="D93" s="29"/>
      <c r="E93" s="29"/>
      <c r="F93" s="34"/>
      <c r="G93" s="34"/>
      <c r="H93" s="29"/>
      <c r="I93" s="29"/>
      <c r="J93" s="29"/>
      <c r="K93" s="29"/>
      <c r="L93" s="35" t="str">
        <f aca="false">IF(A93="",IF(SUMPRODUCT(--(B93:D93&lt;&gt;""))+SUMPRODUCT(--(F93:K93&lt;&gt;""))&gt;0,"Missing ID",""),IF(COUNTIF($A$7:$A$307,A93)&gt;1,"Duplicate ID",IF(AND(F93="Complete",G93=""),"Evidence missing",IF(AND(F93&lt;&gt;"Not started",F93&lt;&gt;"In progress",F93&lt;&gt;"In review",F93&lt;&gt;"Complete"),"Choose a status",""))))</f>
        <v/>
      </c>
    </row>
    <row r="94" customFormat="false" ht="44" hidden="false" customHeight="true" outlineLevel="0" collapsed="false">
      <c r="A94" s="29"/>
      <c r="B94" s="29"/>
      <c r="C94" s="29"/>
      <c r="D94" s="29"/>
      <c r="E94" s="29"/>
      <c r="F94" s="34"/>
      <c r="G94" s="34"/>
      <c r="H94" s="29"/>
      <c r="I94" s="29"/>
      <c r="J94" s="29"/>
      <c r="K94" s="29"/>
      <c r="L94" s="35" t="str">
        <f aca="false">IF(A94="",IF(SUMPRODUCT(--(B94:D94&lt;&gt;""))+SUMPRODUCT(--(F94:K94&lt;&gt;""))&gt;0,"Missing ID",""),IF(COUNTIF($A$7:$A$307,A94)&gt;1,"Duplicate ID",IF(AND(F94="Complete",G94=""),"Evidence missing",IF(AND(F94&lt;&gt;"Not started",F94&lt;&gt;"In progress",F94&lt;&gt;"In review",F94&lt;&gt;"Complete"),"Choose a status",""))))</f>
        <v/>
      </c>
    </row>
    <row r="95" customFormat="false" ht="44" hidden="false" customHeight="true" outlineLevel="0" collapsed="false">
      <c r="A95" s="29"/>
      <c r="B95" s="29"/>
      <c r="C95" s="29"/>
      <c r="D95" s="29"/>
      <c r="E95" s="29"/>
      <c r="F95" s="34"/>
      <c r="G95" s="34"/>
      <c r="H95" s="29"/>
      <c r="I95" s="29"/>
      <c r="J95" s="29"/>
      <c r="K95" s="29"/>
      <c r="L95" s="35" t="str">
        <f aca="false">IF(A95="",IF(SUMPRODUCT(--(B95:D95&lt;&gt;""))+SUMPRODUCT(--(F95:K95&lt;&gt;""))&gt;0,"Missing ID",""),IF(COUNTIF($A$7:$A$307,A95)&gt;1,"Duplicate ID",IF(AND(F95="Complete",G95=""),"Evidence missing",IF(AND(F95&lt;&gt;"Not started",F95&lt;&gt;"In progress",F95&lt;&gt;"In review",F95&lt;&gt;"Complete"),"Choose a status",""))))</f>
        <v/>
      </c>
    </row>
    <row r="96" customFormat="false" ht="44" hidden="false" customHeight="true" outlineLevel="0" collapsed="false">
      <c r="A96" s="29"/>
      <c r="B96" s="29"/>
      <c r="C96" s="29"/>
      <c r="D96" s="29"/>
      <c r="E96" s="29"/>
      <c r="F96" s="34"/>
      <c r="G96" s="34"/>
      <c r="H96" s="29"/>
      <c r="I96" s="29"/>
      <c r="J96" s="29"/>
      <c r="K96" s="29"/>
      <c r="L96" s="35" t="str">
        <f aca="false">IF(A96="",IF(SUMPRODUCT(--(B96:D96&lt;&gt;""))+SUMPRODUCT(--(F96:K96&lt;&gt;""))&gt;0,"Missing ID",""),IF(COUNTIF($A$7:$A$307,A96)&gt;1,"Duplicate ID",IF(AND(F96="Complete",G96=""),"Evidence missing",IF(AND(F96&lt;&gt;"Not started",F96&lt;&gt;"In progress",F96&lt;&gt;"In review",F96&lt;&gt;"Complete"),"Choose a status",""))))</f>
        <v/>
      </c>
    </row>
    <row r="97" customFormat="false" ht="44" hidden="false" customHeight="true" outlineLevel="0" collapsed="false">
      <c r="A97" s="29"/>
      <c r="B97" s="29"/>
      <c r="C97" s="29"/>
      <c r="D97" s="29"/>
      <c r="E97" s="29"/>
      <c r="F97" s="34"/>
      <c r="G97" s="34"/>
      <c r="H97" s="29"/>
      <c r="I97" s="29"/>
      <c r="J97" s="29"/>
      <c r="K97" s="29"/>
      <c r="L97" s="35" t="str">
        <f aca="false">IF(A97="",IF(SUMPRODUCT(--(B97:D97&lt;&gt;""))+SUMPRODUCT(--(F97:K97&lt;&gt;""))&gt;0,"Missing ID",""),IF(COUNTIF($A$7:$A$307,A97)&gt;1,"Duplicate ID",IF(AND(F97="Complete",G97=""),"Evidence missing",IF(AND(F97&lt;&gt;"Not started",F97&lt;&gt;"In progress",F97&lt;&gt;"In review",F97&lt;&gt;"Complete"),"Choose a status",""))))</f>
        <v/>
      </c>
    </row>
    <row r="98" customFormat="false" ht="44" hidden="false" customHeight="true" outlineLevel="0" collapsed="false">
      <c r="A98" s="29"/>
      <c r="B98" s="29"/>
      <c r="C98" s="29"/>
      <c r="D98" s="29"/>
      <c r="E98" s="29"/>
      <c r="F98" s="34"/>
      <c r="G98" s="34"/>
      <c r="H98" s="29"/>
      <c r="I98" s="29"/>
      <c r="J98" s="29"/>
      <c r="K98" s="29"/>
      <c r="L98" s="35" t="str">
        <f aca="false">IF(A98="",IF(SUMPRODUCT(--(B98:D98&lt;&gt;""))+SUMPRODUCT(--(F98:K98&lt;&gt;""))&gt;0,"Missing ID",""),IF(COUNTIF($A$7:$A$307,A98)&gt;1,"Duplicate ID",IF(AND(F98="Complete",G98=""),"Evidence missing",IF(AND(F98&lt;&gt;"Not started",F98&lt;&gt;"In progress",F98&lt;&gt;"In review",F98&lt;&gt;"Complete"),"Choose a status",""))))</f>
        <v/>
      </c>
    </row>
    <row r="99" customFormat="false" ht="44" hidden="false" customHeight="true" outlineLevel="0" collapsed="false">
      <c r="A99" s="29"/>
      <c r="B99" s="29"/>
      <c r="C99" s="29"/>
      <c r="D99" s="29"/>
      <c r="E99" s="29"/>
      <c r="F99" s="34"/>
      <c r="G99" s="34"/>
      <c r="H99" s="29"/>
      <c r="I99" s="29"/>
      <c r="J99" s="29"/>
      <c r="K99" s="29"/>
      <c r="L99" s="35" t="str">
        <f aca="false">IF(A99="",IF(SUMPRODUCT(--(B99:D99&lt;&gt;""))+SUMPRODUCT(--(F99:K99&lt;&gt;""))&gt;0,"Missing ID",""),IF(COUNTIF($A$7:$A$307,A99)&gt;1,"Duplicate ID",IF(AND(F99="Complete",G99=""),"Evidence missing",IF(AND(F99&lt;&gt;"Not started",F99&lt;&gt;"In progress",F99&lt;&gt;"In review",F99&lt;&gt;"Complete"),"Choose a status",""))))</f>
        <v/>
      </c>
    </row>
    <row r="100" customFormat="false" ht="44" hidden="false" customHeight="true" outlineLevel="0" collapsed="false">
      <c r="A100" s="29"/>
      <c r="B100" s="29"/>
      <c r="C100" s="29"/>
      <c r="D100" s="29"/>
      <c r="E100" s="29"/>
      <c r="F100" s="34"/>
      <c r="G100" s="34"/>
      <c r="H100" s="29"/>
      <c r="I100" s="29"/>
      <c r="J100" s="29"/>
      <c r="K100" s="29"/>
      <c r="L100" s="35" t="str">
        <f aca="false">IF(A100="",IF(SUMPRODUCT(--(B100:D100&lt;&gt;""))+SUMPRODUCT(--(F100:K100&lt;&gt;""))&gt;0,"Missing ID",""),IF(COUNTIF($A$7:$A$307,A100)&gt;1,"Duplicate ID",IF(AND(F100="Complete",G100=""),"Evidence missing",IF(AND(F100&lt;&gt;"Not started",F100&lt;&gt;"In progress",F100&lt;&gt;"In review",F100&lt;&gt;"Complete"),"Choose a status",""))))</f>
        <v/>
      </c>
    </row>
    <row r="101" customFormat="false" ht="44" hidden="false" customHeight="true" outlineLevel="0" collapsed="false">
      <c r="A101" s="29"/>
      <c r="B101" s="29"/>
      <c r="C101" s="29"/>
      <c r="D101" s="29"/>
      <c r="E101" s="29"/>
      <c r="F101" s="34"/>
      <c r="G101" s="34"/>
      <c r="H101" s="29"/>
      <c r="I101" s="29"/>
      <c r="J101" s="29"/>
      <c r="K101" s="29"/>
      <c r="L101" s="35" t="str">
        <f aca="false">IF(A101="",IF(SUMPRODUCT(--(B101:D101&lt;&gt;""))+SUMPRODUCT(--(F101:K101&lt;&gt;""))&gt;0,"Missing ID",""),IF(COUNTIF($A$7:$A$307,A101)&gt;1,"Duplicate ID",IF(AND(F101="Complete",G101=""),"Evidence missing",IF(AND(F101&lt;&gt;"Not started",F101&lt;&gt;"In progress",F101&lt;&gt;"In review",F101&lt;&gt;"Complete"),"Choose a status",""))))</f>
        <v/>
      </c>
    </row>
    <row r="102" customFormat="false" ht="44" hidden="false" customHeight="true" outlineLevel="0" collapsed="false">
      <c r="A102" s="29"/>
      <c r="B102" s="29"/>
      <c r="C102" s="29"/>
      <c r="D102" s="29"/>
      <c r="E102" s="29"/>
      <c r="F102" s="34"/>
      <c r="G102" s="34"/>
      <c r="H102" s="29"/>
      <c r="I102" s="29"/>
      <c r="J102" s="29"/>
      <c r="K102" s="29"/>
      <c r="L102" s="35" t="str">
        <f aca="false">IF(A102="",IF(SUMPRODUCT(--(B102:D102&lt;&gt;""))+SUMPRODUCT(--(F102:K102&lt;&gt;""))&gt;0,"Missing ID",""),IF(COUNTIF($A$7:$A$307,A102)&gt;1,"Duplicate ID",IF(AND(F102="Complete",G102=""),"Evidence missing",IF(AND(F102&lt;&gt;"Not started",F102&lt;&gt;"In progress",F102&lt;&gt;"In review",F102&lt;&gt;"Complete"),"Choose a status",""))))</f>
        <v/>
      </c>
    </row>
    <row r="103" customFormat="false" ht="44" hidden="false" customHeight="true" outlineLevel="0" collapsed="false">
      <c r="A103" s="29"/>
      <c r="B103" s="29"/>
      <c r="C103" s="29"/>
      <c r="D103" s="29"/>
      <c r="E103" s="29"/>
      <c r="F103" s="34"/>
      <c r="G103" s="34"/>
      <c r="H103" s="29"/>
      <c r="I103" s="29"/>
      <c r="J103" s="29"/>
      <c r="K103" s="29"/>
      <c r="L103" s="35" t="str">
        <f aca="false">IF(A103="",IF(SUMPRODUCT(--(B103:D103&lt;&gt;""))+SUMPRODUCT(--(F103:K103&lt;&gt;""))&gt;0,"Missing ID",""),IF(COUNTIF($A$7:$A$307,A103)&gt;1,"Duplicate ID",IF(AND(F103="Complete",G103=""),"Evidence missing",IF(AND(F103&lt;&gt;"Not started",F103&lt;&gt;"In progress",F103&lt;&gt;"In review",F103&lt;&gt;"Complete"),"Choose a status",""))))</f>
        <v/>
      </c>
    </row>
    <row r="104" customFormat="false" ht="44" hidden="false" customHeight="true" outlineLevel="0" collapsed="false">
      <c r="A104" s="29"/>
      <c r="B104" s="29"/>
      <c r="C104" s="29"/>
      <c r="D104" s="29"/>
      <c r="E104" s="29"/>
      <c r="F104" s="34"/>
      <c r="G104" s="34"/>
      <c r="H104" s="29"/>
      <c r="I104" s="29"/>
      <c r="J104" s="29"/>
      <c r="K104" s="29"/>
      <c r="L104" s="35" t="str">
        <f aca="false">IF(A104="",IF(SUMPRODUCT(--(B104:D104&lt;&gt;""))+SUMPRODUCT(--(F104:K104&lt;&gt;""))&gt;0,"Missing ID",""),IF(COUNTIF($A$7:$A$307,A104)&gt;1,"Duplicate ID",IF(AND(F104="Complete",G104=""),"Evidence missing",IF(AND(F104&lt;&gt;"Not started",F104&lt;&gt;"In progress",F104&lt;&gt;"In review",F104&lt;&gt;"Complete"),"Choose a status",""))))</f>
        <v/>
      </c>
    </row>
    <row r="105" customFormat="false" ht="44" hidden="false" customHeight="true" outlineLevel="0" collapsed="false">
      <c r="A105" s="29"/>
      <c r="B105" s="29"/>
      <c r="C105" s="29"/>
      <c r="D105" s="29"/>
      <c r="E105" s="29"/>
      <c r="F105" s="34"/>
      <c r="G105" s="34"/>
      <c r="H105" s="29"/>
      <c r="I105" s="29"/>
      <c r="J105" s="29"/>
      <c r="K105" s="29"/>
      <c r="L105" s="35" t="str">
        <f aca="false">IF(A105="",IF(SUMPRODUCT(--(B105:D105&lt;&gt;""))+SUMPRODUCT(--(F105:K105&lt;&gt;""))&gt;0,"Missing ID",""),IF(COUNTIF($A$7:$A$307,A105)&gt;1,"Duplicate ID",IF(AND(F105="Complete",G105=""),"Evidence missing",IF(AND(F105&lt;&gt;"Not started",F105&lt;&gt;"In progress",F105&lt;&gt;"In review",F105&lt;&gt;"Complete"),"Choose a status",""))))</f>
        <v/>
      </c>
    </row>
    <row r="106" customFormat="false" ht="44" hidden="false" customHeight="true" outlineLevel="0" collapsed="false">
      <c r="A106" s="29"/>
      <c r="B106" s="29"/>
      <c r="C106" s="29"/>
      <c r="D106" s="29"/>
      <c r="E106" s="29"/>
      <c r="F106" s="34"/>
      <c r="G106" s="34"/>
      <c r="H106" s="29"/>
      <c r="I106" s="29"/>
      <c r="J106" s="29"/>
      <c r="K106" s="29"/>
      <c r="L106" s="35" t="str">
        <f aca="false">IF(A106="",IF(SUMPRODUCT(--(B106:D106&lt;&gt;""))+SUMPRODUCT(--(F106:K106&lt;&gt;""))&gt;0,"Missing ID",""),IF(COUNTIF($A$7:$A$307,A106)&gt;1,"Duplicate ID",IF(AND(F106="Complete",G106=""),"Evidence missing",IF(AND(F106&lt;&gt;"Not started",F106&lt;&gt;"In progress",F106&lt;&gt;"In review",F106&lt;&gt;"Complete"),"Choose a status",""))))</f>
        <v/>
      </c>
    </row>
    <row r="107" customFormat="false" ht="44" hidden="false" customHeight="true" outlineLevel="0" collapsed="false">
      <c r="A107" s="29"/>
      <c r="B107" s="29"/>
      <c r="C107" s="29"/>
      <c r="D107" s="29"/>
      <c r="E107" s="29"/>
      <c r="F107" s="34"/>
      <c r="G107" s="34"/>
      <c r="H107" s="29"/>
      <c r="I107" s="29"/>
      <c r="J107" s="29"/>
      <c r="K107" s="29"/>
      <c r="L107" s="35" t="str">
        <f aca="false">IF(A107="",IF(SUMPRODUCT(--(B107:D107&lt;&gt;""))+SUMPRODUCT(--(F107:K107&lt;&gt;""))&gt;0,"Missing ID",""),IF(COUNTIF($A$7:$A$307,A107)&gt;1,"Duplicate ID",IF(AND(F107="Complete",G107=""),"Evidence missing",IF(AND(F107&lt;&gt;"Not started",F107&lt;&gt;"In progress",F107&lt;&gt;"In review",F107&lt;&gt;"Complete"),"Choose a status",""))))</f>
        <v/>
      </c>
    </row>
    <row r="108" customFormat="false" ht="44" hidden="false" customHeight="true" outlineLevel="0" collapsed="false">
      <c r="A108" s="29"/>
      <c r="B108" s="29"/>
      <c r="C108" s="29"/>
      <c r="D108" s="29"/>
      <c r="E108" s="29"/>
      <c r="F108" s="34"/>
      <c r="G108" s="34"/>
      <c r="H108" s="29"/>
      <c r="I108" s="29"/>
      <c r="J108" s="29"/>
      <c r="K108" s="29"/>
      <c r="L108" s="35" t="str">
        <f aca="false">IF(A108="",IF(SUMPRODUCT(--(B108:D108&lt;&gt;""))+SUMPRODUCT(--(F108:K108&lt;&gt;""))&gt;0,"Missing ID",""),IF(COUNTIF($A$7:$A$307,A108)&gt;1,"Duplicate ID",IF(AND(F108="Complete",G108=""),"Evidence missing",IF(AND(F108&lt;&gt;"Not started",F108&lt;&gt;"In progress",F108&lt;&gt;"In review",F108&lt;&gt;"Complete"),"Choose a status",""))))</f>
        <v/>
      </c>
    </row>
    <row r="109" customFormat="false" ht="44" hidden="false" customHeight="true" outlineLevel="0" collapsed="false">
      <c r="A109" s="29"/>
      <c r="B109" s="29"/>
      <c r="C109" s="29"/>
      <c r="D109" s="29"/>
      <c r="E109" s="29"/>
      <c r="F109" s="34"/>
      <c r="G109" s="34"/>
      <c r="H109" s="29"/>
      <c r="I109" s="29"/>
      <c r="J109" s="29"/>
      <c r="K109" s="29"/>
      <c r="L109" s="35" t="str">
        <f aca="false">IF(A109="",IF(SUMPRODUCT(--(B109:D109&lt;&gt;""))+SUMPRODUCT(--(F109:K109&lt;&gt;""))&gt;0,"Missing ID",""),IF(COUNTIF($A$7:$A$307,A109)&gt;1,"Duplicate ID",IF(AND(F109="Complete",G109=""),"Evidence missing",IF(AND(F109&lt;&gt;"Not started",F109&lt;&gt;"In progress",F109&lt;&gt;"In review",F109&lt;&gt;"Complete"),"Choose a status",""))))</f>
        <v/>
      </c>
    </row>
    <row r="110" customFormat="false" ht="44" hidden="false" customHeight="true" outlineLevel="0" collapsed="false">
      <c r="A110" s="29"/>
      <c r="B110" s="29"/>
      <c r="C110" s="29"/>
      <c r="D110" s="29"/>
      <c r="E110" s="29"/>
      <c r="F110" s="34"/>
      <c r="G110" s="34"/>
      <c r="H110" s="29"/>
      <c r="I110" s="29"/>
      <c r="J110" s="29"/>
      <c r="K110" s="29"/>
      <c r="L110" s="35" t="str">
        <f aca="false">IF(A110="",IF(SUMPRODUCT(--(B110:D110&lt;&gt;""))+SUMPRODUCT(--(F110:K110&lt;&gt;""))&gt;0,"Missing ID",""),IF(COUNTIF($A$7:$A$307,A110)&gt;1,"Duplicate ID",IF(AND(F110="Complete",G110=""),"Evidence missing",IF(AND(F110&lt;&gt;"Not started",F110&lt;&gt;"In progress",F110&lt;&gt;"In review",F110&lt;&gt;"Complete"),"Choose a status",""))))</f>
        <v/>
      </c>
    </row>
    <row r="111" customFormat="false" ht="44" hidden="false" customHeight="true" outlineLevel="0" collapsed="false">
      <c r="A111" s="29"/>
      <c r="B111" s="29"/>
      <c r="C111" s="29"/>
      <c r="D111" s="29"/>
      <c r="E111" s="29"/>
      <c r="F111" s="34"/>
      <c r="G111" s="34"/>
      <c r="H111" s="29"/>
      <c r="I111" s="29"/>
      <c r="J111" s="29"/>
      <c r="K111" s="29"/>
      <c r="L111" s="35" t="str">
        <f aca="false">IF(A111="",IF(SUMPRODUCT(--(B111:D111&lt;&gt;""))+SUMPRODUCT(--(F111:K111&lt;&gt;""))&gt;0,"Missing ID",""),IF(COUNTIF($A$7:$A$307,A111)&gt;1,"Duplicate ID",IF(AND(F111="Complete",G111=""),"Evidence missing",IF(AND(F111&lt;&gt;"Not started",F111&lt;&gt;"In progress",F111&lt;&gt;"In review",F111&lt;&gt;"Complete"),"Choose a status",""))))</f>
        <v/>
      </c>
    </row>
    <row r="112" customFormat="false" ht="44" hidden="false" customHeight="true" outlineLevel="0" collapsed="false">
      <c r="A112" s="29"/>
      <c r="B112" s="29"/>
      <c r="C112" s="29"/>
      <c r="D112" s="29"/>
      <c r="E112" s="29"/>
      <c r="F112" s="34"/>
      <c r="G112" s="34"/>
      <c r="H112" s="29"/>
      <c r="I112" s="29"/>
      <c r="J112" s="29"/>
      <c r="K112" s="29"/>
      <c r="L112" s="35" t="str">
        <f aca="false">IF(A112="",IF(SUMPRODUCT(--(B112:D112&lt;&gt;""))+SUMPRODUCT(--(F112:K112&lt;&gt;""))&gt;0,"Missing ID",""),IF(COUNTIF($A$7:$A$307,A112)&gt;1,"Duplicate ID",IF(AND(F112="Complete",G112=""),"Evidence missing",IF(AND(F112&lt;&gt;"Not started",F112&lt;&gt;"In progress",F112&lt;&gt;"In review",F112&lt;&gt;"Complete"),"Choose a status",""))))</f>
        <v/>
      </c>
    </row>
    <row r="113" customFormat="false" ht="44" hidden="false" customHeight="true" outlineLevel="0" collapsed="false">
      <c r="A113" s="29"/>
      <c r="B113" s="29"/>
      <c r="C113" s="29"/>
      <c r="D113" s="29"/>
      <c r="E113" s="29"/>
      <c r="F113" s="34"/>
      <c r="G113" s="34"/>
      <c r="H113" s="29"/>
      <c r="I113" s="29"/>
      <c r="J113" s="29"/>
      <c r="K113" s="29"/>
      <c r="L113" s="35" t="str">
        <f aca="false">IF(A113="",IF(SUMPRODUCT(--(B113:D113&lt;&gt;""))+SUMPRODUCT(--(F113:K113&lt;&gt;""))&gt;0,"Missing ID",""),IF(COUNTIF($A$7:$A$307,A113)&gt;1,"Duplicate ID",IF(AND(F113="Complete",G113=""),"Evidence missing",IF(AND(F113&lt;&gt;"Not started",F113&lt;&gt;"In progress",F113&lt;&gt;"In review",F113&lt;&gt;"Complete"),"Choose a status",""))))</f>
        <v/>
      </c>
    </row>
    <row r="114" customFormat="false" ht="44" hidden="false" customHeight="true" outlineLevel="0" collapsed="false">
      <c r="A114" s="29"/>
      <c r="B114" s="29"/>
      <c r="C114" s="29"/>
      <c r="D114" s="29"/>
      <c r="E114" s="29"/>
      <c r="F114" s="34"/>
      <c r="G114" s="34"/>
      <c r="H114" s="29"/>
      <c r="I114" s="29"/>
      <c r="J114" s="29"/>
      <c r="K114" s="29"/>
      <c r="L114" s="35" t="str">
        <f aca="false">IF(A114="",IF(SUMPRODUCT(--(B114:D114&lt;&gt;""))+SUMPRODUCT(--(F114:K114&lt;&gt;""))&gt;0,"Missing ID",""),IF(COUNTIF($A$7:$A$307,A114)&gt;1,"Duplicate ID",IF(AND(F114="Complete",G114=""),"Evidence missing",IF(AND(F114&lt;&gt;"Not started",F114&lt;&gt;"In progress",F114&lt;&gt;"In review",F114&lt;&gt;"Complete"),"Choose a status",""))))</f>
        <v/>
      </c>
    </row>
    <row r="115" customFormat="false" ht="44" hidden="false" customHeight="true" outlineLevel="0" collapsed="false">
      <c r="A115" s="29"/>
      <c r="B115" s="29"/>
      <c r="C115" s="29"/>
      <c r="D115" s="29"/>
      <c r="E115" s="29"/>
      <c r="F115" s="34"/>
      <c r="G115" s="34"/>
      <c r="H115" s="29"/>
      <c r="I115" s="29"/>
      <c r="J115" s="29"/>
      <c r="K115" s="29"/>
      <c r="L115" s="35" t="str">
        <f aca="false">IF(A115="",IF(SUMPRODUCT(--(B115:D115&lt;&gt;""))+SUMPRODUCT(--(F115:K115&lt;&gt;""))&gt;0,"Missing ID",""),IF(COUNTIF($A$7:$A$307,A115)&gt;1,"Duplicate ID",IF(AND(F115="Complete",G115=""),"Evidence missing",IF(AND(F115&lt;&gt;"Not started",F115&lt;&gt;"In progress",F115&lt;&gt;"In review",F115&lt;&gt;"Complete"),"Choose a status",""))))</f>
        <v/>
      </c>
    </row>
    <row r="116" customFormat="false" ht="44" hidden="false" customHeight="true" outlineLevel="0" collapsed="false">
      <c r="A116" s="29"/>
      <c r="B116" s="29"/>
      <c r="C116" s="29"/>
      <c r="D116" s="29"/>
      <c r="E116" s="29"/>
      <c r="F116" s="34"/>
      <c r="G116" s="34"/>
      <c r="H116" s="29"/>
      <c r="I116" s="29"/>
      <c r="J116" s="29"/>
      <c r="K116" s="29"/>
      <c r="L116" s="35" t="str">
        <f aca="false">IF(A116="",IF(SUMPRODUCT(--(B116:D116&lt;&gt;""))+SUMPRODUCT(--(F116:K116&lt;&gt;""))&gt;0,"Missing ID",""),IF(COUNTIF($A$7:$A$307,A116)&gt;1,"Duplicate ID",IF(AND(F116="Complete",G116=""),"Evidence missing",IF(AND(F116&lt;&gt;"Not started",F116&lt;&gt;"In progress",F116&lt;&gt;"In review",F116&lt;&gt;"Complete"),"Choose a status",""))))</f>
        <v/>
      </c>
    </row>
    <row r="117" customFormat="false" ht="44" hidden="false" customHeight="true" outlineLevel="0" collapsed="false">
      <c r="A117" s="29"/>
      <c r="B117" s="29"/>
      <c r="C117" s="29"/>
      <c r="D117" s="29"/>
      <c r="E117" s="29"/>
      <c r="F117" s="34"/>
      <c r="G117" s="34"/>
      <c r="H117" s="29"/>
      <c r="I117" s="29"/>
      <c r="J117" s="29"/>
      <c r="K117" s="29"/>
      <c r="L117" s="35" t="str">
        <f aca="false">IF(A117="",IF(SUMPRODUCT(--(B117:D117&lt;&gt;""))+SUMPRODUCT(--(F117:K117&lt;&gt;""))&gt;0,"Missing ID",""),IF(COUNTIF($A$7:$A$307,A117)&gt;1,"Duplicate ID",IF(AND(F117="Complete",G117=""),"Evidence missing",IF(AND(F117&lt;&gt;"Not started",F117&lt;&gt;"In progress",F117&lt;&gt;"In review",F117&lt;&gt;"Complete"),"Choose a status",""))))</f>
        <v/>
      </c>
    </row>
    <row r="118" customFormat="false" ht="44" hidden="false" customHeight="true" outlineLevel="0" collapsed="false">
      <c r="A118" s="29"/>
      <c r="B118" s="29"/>
      <c r="C118" s="29"/>
      <c r="D118" s="29"/>
      <c r="E118" s="29"/>
      <c r="F118" s="34"/>
      <c r="G118" s="34"/>
      <c r="H118" s="29"/>
      <c r="I118" s="29"/>
      <c r="J118" s="29"/>
      <c r="K118" s="29"/>
      <c r="L118" s="35" t="str">
        <f aca="false">IF(A118="",IF(SUMPRODUCT(--(B118:D118&lt;&gt;""))+SUMPRODUCT(--(F118:K118&lt;&gt;""))&gt;0,"Missing ID",""),IF(COUNTIF($A$7:$A$307,A118)&gt;1,"Duplicate ID",IF(AND(F118="Complete",G118=""),"Evidence missing",IF(AND(F118&lt;&gt;"Not started",F118&lt;&gt;"In progress",F118&lt;&gt;"In review",F118&lt;&gt;"Complete"),"Choose a status",""))))</f>
        <v/>
      </c>
    </row>
    <row r="119" customFormat="false" ht="44" hidden="false" customHeight="true" outlineLevel="0" collapsed="false">
      <c r="A119" s="29"/>
      <c r="B119" s="29"/>
      <c r="C119" s="29"/>
      <c r="D119" s="29"/>
      <c r="E119" s="29"/>
      <c r="F119" s="34"/>
      <c r="G119" s="34"/>
      <c r="H119" s="29"/>
      <c r="I119" s="29"/>
      <c r="J119" s="29"/>
      <c r="K119" s="29"/>
      <c r="L119" s="35" t="str">
        <f aca="false">IF(A119="",IF(SUMPRODUCT(--(B119:D119&lt;&gt;""))+SUMPRODUCT(--(F119:K119&lt;&gt;""))&gt;0,"Missing ID",""),IF(COUNTIF($A$7:$A$307,A119)&gt;1,"Duplicate ID",IF(AND(F119="Complete",G119=""),"Evidence missing",IF(AND(F119&lt;&gt;"Not started",F119&lt;&gt;"In progress",F119&lt;&gt;"In review",F119&lt;&gt;"Complete"),"Choose a status",""))))</f>
        <v/>
      </c>
    </row>
    <row r="120" customFormat="false" ht="44" hidden="false" customHeight="true" outlineLevel="0" collapsed="false">
      <c r="A120" s="29"/>
      <c r="B120" s="29"/>
      <c r="C120" s="29"/>
      <c r="D120" s="29"/>
      <c r="E120" s="29"/>
      <c r="F120" s="34"/>
      <c r="G120" s="34"/>
      <c r="H120" s="29"/>
      <c r="I120" s="29"/>
      <c r="J120" s="29"/>
      <c r="K120" s="29"/>
      <c r="L120" s="35" t="str">
        <f aca="false">IF(A120="",IF(SUMPRODUCT(--(B120:D120&lt;&gt;""))+SUMPRODUCT(--(F120:K120&lt;&gt;""))&gt;0,"Missing ID",""),IF(COUNTIF($A$7:$A$307,A120)&gt;1,"Duplicate ID",IF(AND(F120="Complete",G120=""),"Evidence missing",IF(AND(F120&lt;&gt;"Not started",F120&lt;&gt;"In progress",F120&lt;&gt;"In review",F120&lt;&gt;"Complete"),"Choose a status",""))))</f>
        <v/>
      </c>
    </row>
    <row r="121" customFormat="false" ht="44" hidden="false" customHeight="true" outlineLevel="0" collapsed="false">
      <c r="A121" s="29"/>
      <c r="B121" s="29"/>
      <c r="C121" s="29"/>
      <c r="D121" s="29"/>
      <c r="E121" s="29"/>
      <c r="F121" s="34"/>
      <c r="G121" s="34"/>
      <c r="H121" s="29"/>
      <c r="I121" s="29"/>
      <c r="J121" s="29"/>
      <c r="K121" s="29"/>
      <c r="L121" s="35" t="str">
        <f aca="false">IF(A121="",IF(SUMPRODUCT(--(B121:D121&lt;&gt;""))+SUMPRODUCT(--(F121:K121&lt;&gt;""))&gt;0,"Missing ID",""),IF(COUNTIF($A$7:$A$307,A121)&gt;1,"Duplicate ID",IF(AND(F121="Complete",G121=""),"Evidence missing",IF(AND(F121&lt;&gt;"Not started",F121&lt;&gt;"In progress",F121&lt;&gt;"In review",F121&lt;&gt;"Complete"),"Choose a status",""))))</f>
        <v/>
      </c>
    </row>
    <row r="122" customFormat="false" ht="44" hidden="false" customHeight="true" outlineLevel="0" collapsed="false">
      <c r="A122" s="29"/>
      <c r="B122" s="29"/>
      <c r="C122" s="29"/>
      <c r="D122" s="29"/>
      <c r="E122" s="29"/>
      <c r="F122" s="34"/>
      <c r="G122" s="34"/>
      <c r="H122" s="29"/>
      <c r="I122" s="29"/>
      <c r="J122" s="29"/>
      <c r="K122" s="29"/>
      <c r="L122" s="35" t="str">
        <f aca="false">IF(A122="",IF(SUMPRODUCT(--(B122:D122&lt;&gt;""))+SUMPRODUCT(--(F122:K122&lt;&gt;""))&gt;0,"Missing ID",""),IF(COUNTIF($A$7:$A$307,A122)&gt;1,"Duplicate ID",IF(AND(F122="Complete",G122=""),"Evidence missing",IF(AND(F122&lt;&gt;"Not started",F122&lt;&gt;"In progress",F122&lt;&gt;"In review",F122&lt;&gt;"Complete"),"Choose a status",""))))</f>
        <v/>
      </c>
    </row>
    <row r="123" customFormat="false" ht="44" hidden="false" customHeight="true" outlineLevel="0" collapsed="false">
      <c r="A123" s="29"/>
      <c r="B123" s="29"/>
      <c r="C123" s="29"/>
      <c r="D123" s="29"/>
      <c r="E123" s="29"/>
      <c r="F123" s="34"/>
      <c r="G123" s="34"/>
      <c r="H123" s="29"/>
      <c r="I123" s="29"/>
      <c r="J123" s="29"/>
      <c r="K123" s="29"/>
      <c r="L123" s="35" t="str">
        <f aca="false">IF(A123="",IF(SUMPRODUCT(--(B123:D123&lt;&gt;""))+SUMPRODUCT(--(F123:K123&lt;&gt;""))&gt;0,"Missing ID",""),IF(COUNTIF($A$7:$A$307,A123)&gt;1,"Duplicate ID",IF(AND(F123="Complete",G123=""),"Evidence missing",IF(AND(F123&lt;&gt;"Not started",F123&lt;&gt;"In progress",F123&lt;&gt;"In review",F123&lt;&gt;"Complete"),"Choose a status",""))))</f>
        <v/>
      </c>
    </row>
    <row r="124" customFormat="false" ht="44" hidden="false" customHeight="true" outlineLevel="0" collapsed="false">
      <c r="A124" s="29"/>
      <c r="B124" s="29"/>
      <c r="C124" s="29"/>
      <c r="D124" s="29"/>
      <c r="E124" s="29"/>
      <c r="F124" s="34"/>
      <c r="G124" s="34"/>
      <c r="H124" s="29"/>
      <c r="I124" s="29"/>
      <c r="J124" s="29"/>
      <c r="K124" s="29"/>
      <c r="L124" s="35" t="str">
        <f aca="false">IF(A124="",IF(SUMPRODUCT(--(B124:D124&lt;&gt;""))+SUMPRODUCT(--(F124:K124&lt;&gt;""))&gt;0,"Missing ID",""),IF(COUNTIF($A$7:$A$307,A124)&gt;1,"Duplicate ID",IF(AND(F124="Complete",G124=""),"Evidence missing",IF(AND(F124&lt;&gt;"Not started",F124&lt;&gt;"In progress",F124&lt;&gt;"In review",F124&lt;&gt;"Complete"),"Choose a status",""))))</f>
        <v/>
      </c>
    </row>
    <row r="125" customFormat="false" ht="44" hidden="false" customHeight="true" outlineLevel="0" collapsed="false">
      <c r="A125" s="29"/>
      <c r="B125" s="29"/>
      <c r="C125" s="29"/>
      <c r="D125" s="29"/>
      <c r="E125" s="29"/>
      <c r="F125" s="34"/>
      <c r="G125" s="34"/>
      <c r="H125" s="29"/>
      <c r="I125" s="29"/>
      <c r="J125" s="29"/>
      <c r="K125" s="29"/>
      <c r="L125" s="35" t="str">
        <f aca="false">IF(A125="",IF(SUMPRODUCT(--(B125:D125&lt;&gt;""))+SUMPRODUCT(--(F125:K125&lt;&gt;""))&gt;0,"Missing ID",""),IF(COUNTIF($A$7:$A$307,A125)&gt;1,"Duplicate ID",IF(AND(F125="Complete",G125=""),"Evidence missing",IF(AND(F125&lt;&gt;"Not started",F125&lt;&gt;"In progress",F125&lt;&gt;"In review",F125&lt;&gt;"Complete"),"Choose a status",""))))</f>
        <v/>
      </c>
    </row>
    <row r="126" customFormat="false" ht="44" hidden="false" customHeight="true" outlineLevel="0" collapsed="false">
      <c r="A126" s="29"/>
      <c r="B126" s="29"/>
      <c r="C126" s="29"/>
      <c r="D126" s="29"/>
      <c r="E126" s="29"/>
      <c r="F126" s="34"/>
      <c r="G126" s="34"/>
      <c r="H126" s="29"/>
      <c r="I126" s="29"/>
      <c r="J126" s="29"/>
      <c r="K126" s="29"/>
      <c r="L126" s="35" t="str">
        <f aca="false">IF(A126="",IF(SUMPRODUCT(--(B126:D126&lt;&gt;""))+SUMPRODUCT(--(F126:K126&lt;&gt;""))&gt;0,"Missing ID",""),IF(COUNTIF($A$7:$A$307,A126)&gt;1,"Duplicate ID",IF(AND(F126="Complete",G126=""),"Evidence missing",IF(AND(F126&lt;&gt;"Not started",F126&lt;&gt;"In progress",F126&lt;&gt;"In review",F126&lt;&gt;"Complete"),"Choose a status",""))))</f>
        <v/>
      </c>
    </row>
    <row r="127" customFormat="false" ht="44" hidden="false" customHeight="true" outlineLevel="0" collapsed="false">
      <c r="A127" s="29"/>
      <c r="B127" s="29"/>
      <c r="C127" s="29"/>
      <c r="D127" s="29"/>
      <c r="E127" s="29"/>
      <c r="F127" s="34"/>
      <c r="G127" s="34"/>
      <c r="H127" s="29"/>
      <c r="I127" s="29"/>
      <c r="J127" s="29"/>
      <c r="K127" s="29"/>
      <c r="L127" s="35" t="str">
        <f aca="false">IF(A127="",IF(SUMPRODUCT(--(B127:D127&lt;&gt;""))+SUMPRODUCT(--(F127:K127&lt;&gt;""))&gt;0,"Missing ID",""),IF(COUNTIF($A$7:$A$307,A127)&gt;1,"Duplicate ID",IF(AND(F127="Complete",G127=""),"Evidence missing",IF(AND(F127&lt;&gt;"Not started",F127&lt;&gt;"In progress",F127&lt;&gt;"In review",F127&lt;&gt;"Complete"),"Choose a status",""))))</f>
        <v/>
      </c>
    </row>
    <row r="128" customFormat="false" ht="44" hidden="false" customHeight="true" outlineLevel="0" collapsed="false">
      <c r="A128" s="29"/>
      <c r="B128" s="29"/>
      <c r="C128" s="29"/>
      <c r="D128" s="29"/>
      <c r="E128" s="29"/>
      <c r="F128" s="34"/>
      <c r="G128" s="34"/>
      <c r="H128" s="29"/>
      <c r="I128" s="29"/>
      <c r="J128" s="29"/>
      <c r="K128" s="29"/>
      <c r="L128" s="35" t="str">
        <f aca="false">IF(A128="",IF(SUMPRODUCT(--(B128:D128&lt;&gt;""))+SUMPRODUCT(--(F128:K128&lt;&gt;""))&gt;0,"Missing ID",""),IF(COUNTIF($A$7:$A$307,A128)&gt;1,"Duplicate ID",IF(AND(F128="Complete",G128=""),"Evidence missing",IF(AND(F128&lt;&gt;"Not started",F128&lt;&gt;"In progress",F128&lt;&gt;"In review",F128&lt;&gt;"Complete"),"Choose a status",""))))</f>
        <v/>
      </c>
    </row>
    <row r="129" customFormat="false" ht="44" hidden="false" customHeight="true" outlineLevel="0" collapsed="false">
      <c r="A129" s="29"/>
      <c r="B129" s="29"/>
      <c r="C129" s="29"/>
      <c r="D129" s="29"/>
      <c r="E129" s="29"/>
      <c r="F129" s="34"/>
      <c r="G129" s="34"/>
      <c r="H129" s="29"/>
      <c r="I129" s="29"/>
      <c r="J129" s="29"/>
      <c r="K129" s="29"/>
      <c r="L129" s="35" t="str">
        <f aca="false">IF(A129="",IF(SUMPRODUCT(--(B129:D129&lt;&gt;""))+SUMPRODUCT(--(F129:K129&lt;&gt;""))&gt;0,"Missing ID",""),IF(COUNTIF($A$7:$A$307,A129)&gt;1,"Duplicate ID",IF(AND(F129="Complete",G129=""),"Evidence missing",IF(AND(F129&lt;&gt;"Not started",F129&lt;&gt;"In progress",F129&lt;&gt;"In review",F129&lt;&gt;"Complete"),"Choose a status",""))))</f>
        <v/>
      </c>
    </row>
    <row r="130" customFormat="false" ht="44" hidden="false" customHeight="true" outlineLevel="0" collapsed="false">
      <c r="A130" s="29"/>
      <c r="B130" s="29"/>
      <c r="C130" s="29"/>
      <c r="D130" s="29"/>
      <c r="E130" s="29"/>
      <c r="F130" s="34"/>
      <c r="G130" s="34"/>
      <c r="H130" s="29"/>
      <c r="I130" s="29"/>
      <c r="J130" s="29"/>
      <c r="K130" s="29"/>
      <c r="L130" s="35" t="str">
        <f aca="false">IF(A130="",IF(SUMPRODUCT(--(B130:D130&lt;&gt;""))+SUMPRODUCT(--(F130:K130&lt;&gt;""))&gt;0,"Missing ID",""),IF(COUNTIF($A$7:$A$307,A130)&gt;1,"Duplicate ID",IF(AND(F130="Complete",G130=""),"Evidence missing",IF(AND(F130&lt;&gt;"Not started",F130&lt;&gt;"In progress",F130&lt;&gt;"In review",F130&lt;&gt;"Complete"),"Choose a status",""))))</f>
        <v/>
      </c>
    </row>
    <row r="131" customFormat="false" ht="44" hidden="false" customHeight="true" outlineLevel="0" collapsed="false">
      <c r="A131" s="29"/>
      <c r="B131" s="29"/>
      <c r="C131" s="29"/>
      <c r="D131" s="29"/>
      <c r="E131" s="29"/>
      <c r="F131" s="34"/>
      <c r="G131" s="34"/>
      <c r="H131" s="29"/>
      <c r="I131" s="29"/>
      <c r="J131" s="29"/>
      <c r="K131" s="29"/>
      <c r="L131" s="35" t="str">
        <f aca="false">IF(A131="",IF(SUMPRODUCT(--(B131:D131&lt;&gt;""))+SUMPRODUCT(--(F131:K131&lt;&gt;""))&gt;0,"Missing ID",""),IF(COUNTIF($A$7:$A$307,A131)&gt;1,"Duplicate ID",IF(AND(F131="Complete",G131=""),"Evidence missing",IF(AND(F131&lt;&gt;"Not started",F131&lt;&gt;"In progress",F131&lt;&gt;"In review",F131&lt;&gt;"Complete"),"Choose a status",""))))</f>
        <v/>
      </c>
    </row>
    <row r="132" customFormat="false" ht="44" hidden="false" customHeight="true" outlineLevel="0" collapsed="false">
      <c r="A132" s="29"/>
      <c r="B132" s="29"/>
      <c r="C132" s="29"/>
      <c r="D132" s="29"/>
      <c r="E132" s="29"/>
      <c r="F132" s="34"/>
      <c r="G132" s="34"/>
      <c r="H132" s="29"/>
      <c r="I132" s="29"/>
      <c r="J132" s="29"/>
      <c r="K132" s="29"/>
      <c r="L132" s="35" t="str">
        <f aca="false">IF(A132="",IF(SUMPRODUCT(--(B132:D132&lt;&gt;""))+SUMPRODUCT(--(F132:K132&lt;&gt;""))&gt;0,"Missing ID",""),IF(COUNTIF($A$7:$A$307,A132)&gt;1,"Duplicate ID",IF(AND(F132="Complete",G132=""),"Evidence missing",IF(AND(F132&lt;&gt;"Not started",F132&lt;&gt;"In progress",F132&lt;&gt;"In review",F132&lt;&gt;"Complete"),"Choose a status",""))))</f>
        <v/>
      </c>
    </row>
    <row r="133" customFormat="false" ht="44" hidden="false" customHeight="true" outlineLevel="0" collapsed="false">
      <c r="A133" s="29"/>
      <c r="B133" s="29"/>
      <c r="C133" s="29"/>
      <c r="D133" s="29"/>
      <c r="E133" s="29"/>
      <c r="F133" s="34"/>
      <c r="G133" s="34"/>
      <c r="H133" s="29"/>
      <c r="I133" s="29"/>
      <c r="J133" s="29"/>
      <c r="K133" s="29"/>
      <c r="L133" s="35" t="str">
        <f aca="false">IF(A133="",IF(SUMPRODUCT(--(B133:D133&lt;&gt;""))+SUMPRODUCT(--(F133:K133&lt;&gt;""))&gt;0,"Missing ID",""),IF(COUNTIF($A$7:$A$307,A133)&gt;1,"Duplicate ID",IF(AND(F133="Complete",G133=""),"Evidence missing",IF(AND(F133&lt;&gt;"Not started",F133&lt;&gt;"In progress",F133&lt;&gt;"In review",F133&lt;&gt;"Complete"),"Choose a status",""))))</f>
        <v/>
      </c>
    </row>
    <row r="134" customFormat="false" ht="44" hidden="false" customHeight="true" outlineLevel="0" collapsed="false">
      <c r="A134" s="29"/>
      <c r="B134" s="29"/>
      <c r="C134" s="29"/>
      <c r="D134" s="29"/>
      <c r="E134" s="29"/>
      <c r="F134" s="34"/>
      <c r="G134" s="34"/>
      <c r="H134" s="29"/>
      <c r="I134" s="29"/>
      <c r="J134" s="29"/>
      <c r="K134" s="29"/>
      <c r="L134" s="35" t="str">
        <f aca="false">IF(A134="",IF(SUMPRODUCT(--(B134:D134&lt;&gt;""))+SUMPRODUCT(--(F134:K134&lt;&gt;""))&gt;0,"Missing ID",""),IF(COUNTIF($A$7:$A$307,A134)&gt;1,"Duplicate ID",IF(AND(F134="Complete",G134=""),"Evidence missing",IF(AND(F134&lt;&gt;"Not started",F134&lt;&gt;"In progress",F134&lt;&gt;"In review",F134&lt;&gt;"Complete"),"Choose a status",""))))</f>
        <v/>
      </c>
    </row>
    <row r="135" customFormat="false" ht="44" hidden="false" customHeight="true" outlineLevel="0" collapsed="false">
      <c r="A135" s="29"/>
      <c r="B135" s="29"/>
      <c r="C135" s="29"/>
      <c r="D135" s="29"/>
      <c r="E135" s="29"/>
      <c r="F135" s="34"/>
      <c r="G135" s="34"/>
      <c r="H135" s="29"/>
      <c r="I135" s="29"/>
      <c r="J135" s="29"/>
      <c r="K135" s="29"/>
      <c r="L135" s="35" t="str">
        <f aca="false">IF(A135="",IF(SUMPRODUCT(--(B135:D135&lt;&gt;""))+SUMPRODUCT(--(F135:K135&lt;&gt;""))&gt;0,"Missing ID",""),IF(COUNTIF($A$7:$A$307,A135)&gt;1,"Duplicate ID",IF(AND(F135="Complete",G135=""),"Evidence missing",IF(AND(F135&lt;&gt;"Not started",F135&lt;&gt;"In progress",F135&lt;&gt;"In review",F135&lt;&gt;"Complete"),"Choose a status",""))))</f>
        <v/>
      </c>
    </row>
    <row r="136" customFormat="false" ht="44" hidden="false" customHeight="true" outlineLevel="0" collapsed="false">
      <c r="A136" s="29"/>
      <c r="B136" s="29"/>
      <c r="C136" s="29"/>
      <c r="D136" s="29"/>
      <c r="E136" s="29"/>
      <c r="F136" s="34"/>
      <c r="G136" s="34"/>
      <c r="H136" s="29"/>
      <c r="I136" s="29"/>
      <c r="J136" s="29"/>
      <c r="K136" s="29"/>
      <c r="L136" s="35" t="str">
        <f aca="false">IF(A136="",IF(SUMPRODUCT(--(B136:D136&lt;&gt;""))+SUMPRODUCT(--(F136:K136&lt;&gt;""))&gt;0,"Missing ID",""),IF(COUNTIF($A$7:$A$307,A136)&gt;1,"Duplicate ID",IF(AND(F136="Complete",G136=""),"Evidence missing",IF(AND(F136&lt;&gt;"Not started",F136&lt;&gt;"In progress",F136&lt;&gt;"In review",F136&lt;&gt;"Complete"),"Choose a status",""))))</f>
        <v/>
      </c>
    </row>
    <row r="137" customFormat="false" ht="44" hidden="false" customHeight="true" outlineLevel="0" collapsed="false">
      <c r="A137" s="29"/>
      <c r="B137" s="29"/>
      <c r="C137" s="29"/>
      <c r="D137" s="29"/>
      <c r="E137" s="29"/>
      <c r="F137" s="34"/>
      <c r="G137" s="34"/>
      <c r="H137" s="29"/>
      <c r="I137" s="29"/>
      <c r="J137" s="29"/>
      <c r="K137" s="29"/>
      <c r="L137" s="35" t="str">
        <f aca="false">IF(A137="",IF(SUMPRODUCT(--(B137:D137&lt;&gt;""))+SUMPRODUCT(--(F137:K137&lt;&gt;""))&gt;0,"Missing ID",""),IF(COUNTIF($A$7:$A$307,A137)&gt;1,"Duplicate ID",IF(AND(F137="Complete",G137=""),"Evidence missing",IF(AND(F137&lt;&gt;"Not started",F137&lt;&gt;"In progress",F137&lt;&gt;"In review",F137&lt;&gt;"Complete"),"Choose a status",""))))</f>
        <v/>
      </c>
    </row>
    <row r="138" customFormat="false" ht="44" hidden="false" customHeight="true" outlineLevel="0" collapsed="false">
      <c r="A138" s="29"/>
      <c r="B138" s="29"/>
      <c r="C138" s="29"/>
      <c r="D138" s="29"/>
      <c r="E138" s="29"/>
      <c r="F138" s="34"/>
      <c r="G138" s="34"/>
      <c r="H138" s="29"/>
      <c r="I138" s="29"/>
      <c r="J138" s="29"/>
      <c r="K138" s="29"/>
      <c r="L138" s="35" t="str">
        <f aca="false">IF(A138="",IF(SUMPRODUCT(--(B138:D138&lt;&gt;""))+SUMPRODUCT(--(F138:K138&lt;&gt;""))&gt;0,"Missing ID",""),IF(COUNTIF($A$7:$A$307,A138)&gt;1,"Duplicate ID",IF(AND(F138="Complete",G138=""),"Evidence missing",IF(AND(F138&lt;&gt;"Not started",F138&lt;&gt;"In progress",F138&lt;&gt;"In review",F138&lt;&gt;"Complete"),"Choose a status",""))))</f>
        <v/>
      </c>
    </row>
    <row r="139" customFormat="false" ht="44" hidden="false" customHeight="true" outlineLevel="0" collapsed="false">
      <c r="A139" s="29"/>
      <c r="B139" s="29"/>
      <c r="C139" s="29"/>
      <c r="D139" s="29"/>
      <c r="E139" s="29"/>
      <c r="F139" s="34"/>
      <c r="G139" s="34"/>
      <c r="H139" s="29"/>
      <c r="I139" s="29"/>
      <c r="J139" s="29"/>
      <c r="K139" s="29"/>
      <c r="L139" s="35" t="str">
        <f aca="false">IF(A139="",IF(SUMPRODUCT(--(B139:D139&lt;&gt;""))+SUMPRODUCT(--(F139:K139&lt;&gt;""))&gt;0,"Missing ID",""),IF(COUNTIF($A$7:$A$307,A139)&gt;1,"Duplicate ID",IF(AND(F139="Complete",G139=""),"Evidence missing",IF(AND(F139&lt;&gt;"Not started",F139&lt;&gt;"In progress",F139&lt;&gt;"In review",F139&lt;&gt;"Complete"),"Choose a status",""))))</f>
        <v/>
      </c>
    </row>
    <row r="140" customFormat="false" ht="44" hidden="false" customHeight="true" outlineLevel="0" collapsed="false">
      <c r="A140" s="29"/>
      <c r="B140" s="29"/>
      <c r="C140" s="29"/>
      <c r="D140" s="29"/>
      <c r="E140" s="29"/>
      <c r="F140" s="34"/>
      <c r="G140" s="34"/>
      <c r="H140" s="29"/>
      <c r="I140" s="29"/>
      <c r="J140" s="29"/>
      <c r="K140" s="29"/>
      <c r="L140" s="35" t="str">
        <f aca="false">IF(A140="",IF(SUMPRODUCT(--(B140:D140&lt;&gt;""))+SUMPRODUCT(--(F140:K140&lt;&gt;""))&gt;0,"Missing ID",""),IF(COUNTIF($A$7:$A$307,A140)&gt;1,"Duplicate ID",IF(AND(F140="Complete",G140=""),"Evidence missing",IF(AND(F140&lt;&gt;"Not started",F140&lt;&gt;"In progress",F140&lt;&gt;"In review",F140&lt;&gt;"Complete"),"Choose a status",""))))</f>
        <v/>
      </c>
    </row>
    <row r="141" customFormat="false" ht="44" hidden="false" customHeight="true" outlineLevel="0" collapsed="false">
      <c r="A141" s="29"/>
      <c r="B141" s="29"/>
      <c r="C141" s="29"/>
      <c r="D141" s="29"/>
      <c r="E141" s="29"/>
      <c r="F141" s="34"/>
      <c r="G141" s="34"/>
      <c r="H141" s="29"/>
      <c r="I141" s="29"/>
      <c r="J141" s="29"/>
      <c r="K141" s="29"/>
      <c r="L141" s="35" t="str">
        <f aca="false">IF(A141="",IF(SUMPRODUCT(--(B141:D141&lt;&gt;""))+SUMPRODUCT(--(F141:K141&lt;&gt;""))&gt;0,"Missing ID",""),IF(COUNTIF($A$7:$A$307,A141)&gt;1,"Duplicate ID",IF(AND(F141="Complete",G141=""),"Evidence missing",IF(AND(F141&lt;&gt;"Not started",F141&lt;&gt;"In progress",F141&lt;&gt;"In review",F141&lt;&gt;"Complete"),"Choose a status",""))))</f>
        <v/>
      </c>
    </row>
    <row r="142" customFormat="false" ht="44" hidden="false" customHeight="true" outlineLevel="0" collapsed="false">
      <c r="A142" s="29"/>
      <c r="B142" s="29"/>
      <c r="C142" s="29"/>
      <c r="D142" s="29"/>
      <c r="E142" s="29"/>
      <c r="F142" s="34"/>
      <c r="G142" s="34"/>
      <c r="H142" s="29"/>
      <c r="I142" s="29"/>
      <c r="J142" s="29"/>
      <c r="K142" s="29"/>
      <c r="L142" s="35" t="str">
        <f aca="false">IF(A142="",IF(SUMPRODUCT(--(B142:D142&lt;&gt;""))+SUMPRODUCT(--(F142:K142&lt;&gt;""))&gt;0,"Missing ID",""),IF(COUNTIF($A$7:$A$307,A142)&gt;1,"Duplicate ID",IF(AND(F142="Complete",G142=""),"Evidence missing",IF(AND(F142&lt;&gt;"Not started",F142&lt;&gt;"In progress",F142&lt;&gt;"In review",F142&lt;&gt;"Complete"),"Choose a status",""))))</f>
        <v/>
      </c>
    </row>
    <row r="143" customFormat="false" ht="44" hidden="false" customHeight="true" outlineLevel="0" collapsed="false">
      <c r="A143" s="29"/>
      <c r="B143" s="29"/>
      <c r="C143" s="29"/>
      <c r="D143" s="29"/>
      <c r="E143" s="29"/>
      <c r="F143" s="34"/>
      <c r="G143" s="34"/>
      <c r="H143" s="29"/>
      <c r="I143" s="29"/>
      <c r="J143" s="29"/>
      <c r="K143" s="29"/>
      <c r="L143" s="35" t="str">
        <f aca="false">IF(A143="",IF(SUMPRODUCT(--(B143:D143&lt;&gt;""))+SUMPRODUCT(--(F143:K143&lt;&gt;""))&gt;0,"Missing ID",""),IF(COUNTIF($A$7:$A$307,A143)&gt;1,"Duplicate ID",IF(AND(F143="Complete",G143=""),"Evidence missing",IF(AND(F143&lt;&gt;"Not started",F143&lt;&gt;"In progress",F143&lt;&gt;"In review",F143&lt;&gt;"Complete"),"Choose a status",""))))</f>
        <v/>
      </c>
    </row>
    <row r="144" customFormat="false" ht="44" hidden="false" customHeight="true" outlineLevel="0" collapsed="false">
      <c r="A144" s="29"/>
      <c r="B144" s="29"/>
      <c r="C144" s="29"/>
      <c r="D144" s="29"/>
      <c r="E144" s="29"/>
      <c r="F144" s="34"/>
      <c r="G144" s="34"/>
      <c r="H144" s="29"/>
      <c r="I144" s="29"/>
      <c r="J144" s="29"/>
      <c r="K144" s="29"/>
      <c r="L144" s="35" t="str">
        <f aca="false">IF(A144="",IF(SUMPRODUCT(--(B144:D144&lt;&gt;""))+SUMPRODUCT(--(F144:K144&lt;&gt;""))&gt;0,"Missing ID",""),IF(COUNTIF($A$7:$A$307,A144)&gt;1,"Duplicate ID",IF(AND(F144="Complete",G144=""),"Evidence missing",IF(AND(F144&lt;&gt;"Not started",F144&lt;&gt;"In progress",F144&lt;&gt;"In review",F144&lt;&gt;"Complete"),"Choose a status",""))))</f>
        <v/>
      </c>
    </row>
    <row r="145" customFormat="false" ht="44" hidden="false" customHeight="true" outlineLevel="0" collapsed="false">
      <c r="A145" s="29"/>
      <c r="B145" s="29"/>
      <c r="C145" s="29"/>
      <c r="D145" s="29"/>
      <c r="E145" s="29"/>
      <c r="F145" s="34"/>
      <c r="G145" s="34"/>
      <c r="H145" s="29"/>
      <c r="I145" s="29"/>
      <c r="J145" s="29"/>
      <c r="K145" s="29"/>
      <c r="L145" s="35" t="str">
        <f aca="false">IF(A145="",IF(SUMPRODUCT(--(B145:D145&lt;&gt;""))+SUMPRODUCT(--(F145:K145&lt;&gt;""))&gt;0,"Missing ID",""),IF(COUNTIF($A$7:$A$307,A145)&gt;1,"Duplicate ID",IF(AND(F145="Complete",G145=""),"Evidence missing",IF(AND(F145&lt;&gt;"Not started",F145&lt;&gt;"In progress",F145&lt;&gt;"In review",F145&lt;&gt;"Complete"),"Choose a status",""))))</f>
        <v/>
      </c>
    </row>
    <row r="146" customFormat="false" ht="44" hidden="false" customHeight="true" outlineLevel="0" collapsed="false">
      <c r="A146" s="29"/>
      <c r="B146" s="29"/>
      <c r="C146" s="29"/>
      <c r="D146" s="29"/>
      <c r="E146" s="29"/>
      <c r="F146" s="34"/>
      <c r="G146" s="34"/>
      <c r="H146" s="29"/>
      <c r="I146" s="29"/>
      <c r="J146" s="29"/>
      <c r="K146" s="29"/>
      <c r="L146" s="35" t="str">
        <f aca="false">IF(A146="",IF(SUMPRODUCT(--(B146:D146&lt;&gt;""))+SUMPRODUCT(--(F146:K146&lt;&gt;""))&gt;0,"Missing ID",""),IF(COUNTIF($A$7:$A$307,A146)&gt;1,"Duplicate ID",IF(AND(F146="Complete",G146=""),"Evidence missing",IF(AND(F146&lt;&gt;"Not started",F146&lt;&gt;"In progress",F146&lt;&gt;"In review",F146&lt;&gt;"Complete"),"Choose a status",""))))</f>
        <v/>
      </c>
    </row>
    <row r="147" customFormat="false" ht="44" hidden="false" customHeight="true" outlineLevel="0" collapsed="false">
      <c r="A147" s="29"/>
      <c r="B147" s="29"/>
      <c r="C147" s="29"/>
      <c r="D147" s="29"/>
      <c r="E147" s="29"/>
      <c r="F147" s="34"/>
      <c r="G147" s="34"/>
      <c r="H147" s="29"/>
      <c r="I147" s="29"/>
      <c r="J147" s="29"/>
      <c r="K147" s="29"/>
      <c r="L147" s="35" t="str">
        <f aca="false">IF(A147="",IF(SUMPRODUCT(--(B147:D147&lt;&gt;""))+SUMPRODUCT(--(F147:K147&lt;&gt;""))&gt;0,"Missing ID",""),IF(COUNTIF($A$7:$A$307,A147)&gt;1,"Duplicate ID",IF(AND(F147="Complete",G147=""),"Evidence missing",IF(AND(F147&lt;&gt;"Not started",F147&lt;&gt;"In progress",F147&lt;&gt;"In review",F147&lt;&gt;"Complete"),"Choose a status",""))))</f>
        <v/>
      </c>
    </row>
    <row r="148" customFormat="false" ht="44" hidden="false" customHeight="true" outlineLevel="0" collapsed="false">
      <c r="A148" s="29"/>
      <c r="B148" s="29"/>
      <c r="C148" s="29"/>
      <c r="D148" s="29"/>
      <c r="E148" s="29"/>
      <c r="F148" s="34"/>
      <c r="G148" s="34"/>
      <c r="H148" s="29"/>
      <c r="I148" s="29"/>
      <c r="J148" s="29"/>
      <c r="K148" s="29"/>
      <c r="L148" s="35" t="str">
        <f aca="false">IF(A148="",IF(SUMPRODUCT(--(B148:D148&lt;&gt;""))+SUMPRODUCT(--(F148:K148&lt;&gt;""))&gt;0,"Missing ID",""),IF(COUNTIF($A$7:$A$307,A148)&gt;1,"Duplicate ID",IF(AND(F148="Complete",G148=""),"Evidence missing",IF(AND(F148&lt;&gt;"Not started",F148&lt;&gt;"In progress",F148&lt;&gt;"In review",F148&lt;&gt;"Complete"),"Choose a status",""))))</f>
        <v/>
      </c>
    </row>
    <row r="149" customFormat="false" ht="44" hidden="false" customHeight="true" outlineLevel="0" collapsed="false">
      <c r="A149" s="29"/>
      <c r="B149" s="29"/>
      <c r="C149" s="29"/>
      <c r="D149" s="29"/>
      <c r="E149" s="29"/>
      <c r="F149" s="34"/>
      <c r="G149" s="34"/>
      <c r="H149" s="29"/>
      <c r="I149" s="29"/>
      <c r="J149" s="29"/>
      <c r="K149" s="29"/>
      <c r="L149" s="35" t="str">
        <f aca="false">IF(A149="",IF(SUMPRODUCT(--(B149:D149&lt;&gt;""))+SUMPRODUCT(--(F149:K149&lt;&gt;""))&gt;0,"Missing ID",""),IF(COUNTIF($A$7:$A$307,A149)&gt;1,"Duplicate ID",IF(AND(F149="Complete",G149=""),"Evidence missing",IF(AND(F149&lt;&gt;"Not started",F149&lt;&gt;"In progress",F149&lt;&gt;"In review",F149&lt;&gt;"Complete"),"Choose a status",""))))</f>
        <v/>
      </c>
    </row>
    <row r="150" customFormat="false" ht="44" hidden="false" customHeight="true" outlineLevel="0" collapsed="false">
      <c r="A150" s="29"/>
      <c r="B150" s="29"/>
      <c r="C150" s="29"/>
      <c r="D150" s="29"/>
      <c r="E150" s="29"/>
      <c r="F150" s="34"/>
      <c r="G150" s="34"/>
      <c r="H150" s="29"/>
      <c r="I150" s="29"/>
      <c r="J150" s="29"/>
      <c r="K150" s="29"/>
      <c r="L150" s="35" t="str">
        <f aca="false">IF(A150="",IF(SUMPRODUCT(--(B150:D150&lt;&gt;""))+SUMPRODUCT(--(F150:K150&lt;&gt;""))&gt;0,"Missing ID",""),IF(COUNTIF($A$7:$A$307,A150)&gt;1,"Duplicate ID",IF(AND(F150="Complete",G150=""),"Evidence missing",IF(AND(F150&lt;&gt;"Not started",F150&lt;&gt;"In progress",F150&lt;&gt;"In review",F150&lt;&gt;"Complete"),"Choose a status",""))))</f>
        <v/>
      </c>
    </row>
    <row r="151" customFormat="false" ht="44" hidden="false" customHeight="true" outlineLevel="0" collapsed="false">
      <c r="A151" s="29"/>
      <c r="B151" s="29"/>
      <c r="C151" s="29"/>
      <c r="D151" s="29"/>
      <c r="E151" s="29"/>
      <c r="F151" s="34"/>
      <c r="G151" s="34"/>
      <c r="H151" s="29"/>
      <c r="I151" s="29"/>
      <c r="J151" s="29"/>
      <c r="K151" s="29"/>
      <c r="L151" s="35" t="str">
        <f aca="false">IF(A151="",IF(SUMPRODUCT(--(B151:D151&lt;&gt;""))+SUMPRODUCT(--(F151:K151&lt;&gt;""))&gt;0,"Missing ID",""),IF(COUNTIF($A$7:$A$307,A151)&gt;1,"Duplicate ID",IF(AND(F151="Complete",G151=""),"Evidence missing",IF(AND(F151&lt;&gt;"Not started",F151&lt;&gt;"In progress",F151&lt;&gt;"In review",F151&lt;&gt;"Complete"),"Choose a status",""))))</f>
        <v/>
      </c>
    </row>
    <row r="152" customFormat="false" ht="44" hidden="false" customHeight="true" outlineLevel="0" collapsed="false">
      <c r="A152" s="29"/>
      <c r="B152" s="29"/>
      <c r="C152" s="29"/>
      <c r="D152" s="29"/>
      <c r="E152" s="29"/>
      <c r="F152" s="34"/>
      <c r="G152" s="34"/>
      <c r="H152" s="29"/>
      <c r="I152" s="29"/>
      <c r="J152" s="29"/>
      <c r="K152" s="29"/>
      <c r="L152" s="35" t="str">
        <f aca="false">IF(A152="",IF(SUMPRODUCT(--(B152:D152&lt;&gt;""))+SUMPRODUCT(--(F152:K152&lt;&gt;""))&gt;0,"Missing ID",""),IF(COUNTIF($A$7:$A$307,A152)&gt;1,"Duplicate ID",IF(AND(F152="Complete",G152=""),"Evidence missing",IF(AND(F152&lt;&gt;"Not started",F152&lt;&gt;"In progress",F152&lt;&gt;"In review",F152&lt;&gt;"Complete"),"Choose a status",""))))</f>
        <v/>
      </c>
    </row>
    <row r="153" customFormat="false" ht="44" hidden="false" customHeight="true" outlineLevel="0" collapsed="false">
      <c r="A153" s="29"/>
      <c r="B153" s="29"/>
      <c r="C153" s="29"/>
      <c r="D153" s="29"/>
      <c r="E153" s="29"/>
      <c r="F153" s="34"/>
      <c r="G153" s="34"/>
      <c r="H153" s="29"/>
      <c r="I153" s="29"/>
      <c r="J153" s="29"/>
      <c r="K153" s="29"/>
      <c r="L153" s="35" t="str">
        <f aca="false">IF(A153="",IF(SUMPRODUCT(--(B153:D153&lt;&gt;""))+SUMPRODUCT(--(F153:K153&lt;&gt;""))&gt;0,"Missing ID",""),IF(COUNTIF($A$7:$A$307,A153)&gt;1,"Duplicate ID",IF(AND(F153="Complete",G153=""),"Evidence missing",IF(AND(F153&lt;&gt;"Not started",F153&lt;&gt;"In progress",F153&lt;&gt;"In review",F153&lt;&gt;"Complete"),"Choose a status",""))))</f>
        <v/>
      </c>
    </row>
    <row r="154" customFormat="false" ht="44" hidden="false" customHeight="true" outlineLevel="0" collapsed="false">
      <c r="A154" s="29"/>
      <c r="B154" s="29"/>
      <c r="C154" s="29"/>
      <c r="D154" s="29"/>
      <c r="E154" s="29"/>
      <c r="F154" s="34"/>
      <c r="G154" s="34"/>
      <c r="H154" s="29"/>
      <c r="I154" s="29"/>
      <c r="J154" s="29"/>
      <c r="K154" s="29"/>
      <c r="L154" s="35" t="str">
        <f aca="false">IF(A154="",IF(SUMPRODUCT(--(B154:D154&lt;&gt;""))+SUMPRODUCT(--(F154:K154&lt;&gt;""))&gt;0,"Missing ID",""),IF(COUNTIF($A$7:$A$307,A154)&gt;1,"Duplicate ID",IF(AND(F154="Complete",G154=""),"Evidence missing",IF(AND(F154&lt;&gt;"Not started",F154&lt;&gt;"In progress",F154&lt;&gt;"In review",F154&lt;&gt;"Complete"),"Choose a status",""))))</f>
        <v/>
      </c>
    </row>
    <row r="155" customFormat="false" ht="44" hidden="false" customHeight="true" outlineLevel="0" collapsed="false">
      <c r="A155" s="29"/>
      <c r="B155" s="29"/>
      <c r="C155" s="29"/>
      <c r="D155" s="29"/>
      <c r="E155" s="29"/>
      <c r="F155" s="34"/>
      <c r="G155" s="34"/>
      <c r="H155" s="29"/>
      <c r="I155" s="29"/>
      <c r="J155" s="29"/>
      <c r="K155" s="29"/>
      <c r="L155" s="35" t="str">
        <f aca="false">IF(A155="",IF(SUMPRODUCT(--(B155:D155&lt;&gt;""))+SUMPRODUCT(--(F155:K155&lt;&gt;""))&gt;0,"Missing ID",""),IF(COUNTIF($A$7:$A$307,A155)&gt;1,"Duplicate ID",IF(AND(F155="Complete",G155=""),"Evidence missing",IF(AND(F155&lt;&gt;"Not started",F155&lt;&gt;"In progress",F155&lt;&gt;"In review",F155&lt;&gt;"Complete"),"Choose a status",""))))</f>
        <v/>
      </c>
    </row>
    <row r="156" customFormat="false" ht="44" hidden="false" customHeight="true" outlineLevel="0" collapsed="false">
      <c r="A156" s="29"/>
      <c r="B156" s="29"/>
      <c r="C156" s="29"/>
      <c r="D156" s="29"/>
      <c r="E156" s="29"/>
      <c r="F156" s="34"/>
      <c r="G156" s="34"/>
      <c r="H156" s="29"/>
      <c r="I156" s="29"/>
      <c r="J156" s="29"/>
      <c r="K156" s="29"/>
      <c r="L156" s="35" t="str">
        <f aca="false">IF(A156="",IF(SUMPRODUCT(--(B156:D156&lt;&gt;""))+SUMPRODUCT(--(F156:K156&lt;&gt;""))&gt;0,"Missing ID",""),IF(COUNTIF($A$7:$A$307,A156)&gt;1,"Duplicate ID",IF(AND(F156="Complete",G156=""),"Evidence missing",IF(AND(F156&lt;&gt;"Not started",F156&lt;&gt;"In progress",F156&lt;&gt;"In review",F156&lt;&gt;"Complete"),"Choose a status",""))))</f>
        <v/>
      </c>
    </row>
    <row r="157" customFormat="false" ht="44" hidden="false" customHeight="true" outlineLevel="0" collapsed="false">
      <c r="A157" s="29"/>
      <c r="B157" s="29"/>
      <c r="C157" s="29"/>
      <c r="D157" s="29"/>
      <c r="E157" s="29"/>
      <c r="F157" s="34"/>
      <c r="G157" s="34"/>
      <c r="H157" s="29"/>
      <c r="I157" s="29"/>
      <c r="J157" s="29"/>
      <c r="K157" s="29"/>
      <c r="L157" s="35" t="str">
        <f aca="false">IF(A157="",IF(SUMPRODUCT(--(B157:D157&lt;&gt;""))+SUMPRODUCT(--(F157:K157&lt;&gt;""))&gt;0,"Missing ID",""),IF(COUNTIF($A$7:$A$307,A157)&gt;1,"Duplicate ID",IF(AND(F157="Complete",G157=""),"Evidence missing",IF(AND(F157&lt;&gt;"Not started",F157&lt;&gt;"In progress",F157&lt;&gt;"In review",F157&lt;&gt;"Complete"),"Choose a status",""))))</f>
        <v/>
      </c>
    </row>
    <row r="158" customFormat="false" ht="44" hidden="false" customHeight="true" outlineLevel="0" collapsed="false">
      <c r="A158" s="29"/>
      <c r="B158" s="29"/>
      <c r="C158" s="29"/>
      <c r="D158" s="29"/>
      <c r="E158" s="29"/>
      <c r="F158" s="34"/>
      <c r="G158" s="34"/>
      <c r="H158" s="29"/>
      <c r="I158" s="29"/>
      <c r="J158" s="29"/>
      <c r="K158" s="29"/>
      <c r="L158" s="35" t="str">
        <f aca="false">IF(A158="",IF(SUMPRODUCT(--(B158:D158&lt;&gt;""))+SUMPRODUCT(--(F158:K158&lt;&gt;""))&gt;0,"Missing ID",""),IF(COUNTIF($A$7:$A$307,A158)&gt;1,"Duplicate ID",IF(AND(F158="Complete",G158=""),"Evidence missing",IF(AND(F158&lt;&gt;"Not started",F158&lt;&gt;"In progress",F158&lt;&gt;"In review",F158&lt;&gt;"Complete"),"Choose a status",""))))</f>
        <v/>
      </c>
    </row>
    <row r="159" customFormat="false" ht="44" hidden="false" customHeight="true" outlineLevel="0" collapsed="false">
      <c r="A159" s="29"/>
      <c r="B159" s="29"/>
      <c r="C159" s="29"/>
      <c r="D159" s="29"/>
      <c r="E159" s="29"/>
      <c r="F159" s="34"/>
      <c r="G159" s="34"/>
      <c r="H159" s="29"/>
      <c r="I159" s="29"/>
      <c r="J159" s="29"/>
      <c r="K159" s="29"/>
      <c r="L159" s="35" t="str">
        <f aca="false">IF(A159="",IF(SUMPRODUCT(--(B159:D159&lt;&gt;""))+SUMPRODUCT(--(F159:K159&lt;&gt;""))&gt;0,"Missing ID",""),IF(COUNTIF($A$7:$A$307,A159)&gt;1,"Duplicate ID",IF(AND(F159="Complete",G159=""),"Evidence missing",IF(AND(F159&lt;&gt;"Not started",F159&lt;&gt;"In progress",F159&lt;&gt;"In review",F159&lt;&gt;"Complete"),"Choose a status",""))))</f>
        <v/>
      </c>
    </row>
    <row r="160" customFormat="false" ht="44" hidden="false" customHeight="true" outlineLevel="0" collapsed="false">
      <c r="A160" s="29"/>
      <c r="B160" s="29"/>
      <c r="C160" s="29"/>
      <c r="D160" s="29"/>
      <c r="E160" s="29"/>
      <c r="F160" s="34"/>
      <c r="G160" s="34"/>
      <c r="H160" s="29"/>
      <c r="I160" s="29"/>
      <c r="J160" s="29"/>
      <c r="K160" s="29"/>
      <c r="L160" s="35" t="str">
        <f aca="false">IF(A160="",IF(SUMPRODUCT(--(B160:D160&lt;&gt;""))+SUMPRODUCT(--(F160:K160&lt;&gt;""))&gt;0,"Missing ID",""),IF(COUNTIF($A$7:$A$307,A160)&gt;1,"Duplicate ID",IF(AND(F160="Complete",G160=""),"Evidence missing",IF(AND(F160&lt;&gt;"Not started",F160&lt;&gt;"In progress",F160&lt;&gt;"In review",F160&lt;&gt;"Complete"),"Choose a status",""))))</f>
        <v/>
      </c>
    </row>
    <row r="161" customFormat="false" ht="44" hidden="false" customHeight="true" outlineLevel="0" collapsed="false">
      <c r="A161" s="29"/>
      <c r="B161" s="29"/>
      <c r="C161" s="29"/>
      <c r="D161" s="29"/>
      <c r="E161" s="29"/>
      <c r="F161" s="34"/>
      <c r="G161" s="34"/>
      <c r="H161" s="29"/>
      <c r="I161" s="29"/>
      <c r="J161" s="29"/>
      <c r="K161" s="29"/>
      <c r="L161" s="35" t="str">
        <f aca="false">IF(A161="",IF(SUMPRODUCT(--(B161:D161&lt;&gt;""))+SUMPRODUCT(--(F161:K161&lt;&gt;""))&gt;0,"Missing ID",""),IF(COUNTIF($A$7:$A$307,A161)&gt;1,"Duplicate ID",IF(AND(F161="Complete",G161=""),"Evidence missing",IF(AND(F161&lt;&gt;"Not started",F161&lt;&gt;"In progress",F161&lt;&gt;"In review",F161&lt;&gt;"Complete"),"Choose a status",""))))</f>
        <v/>
      </c>
    </row>
    <row r="162" customFormat="false" ht="44" hidden="false" customHeight="true" outlineLevel="0" collapsed="false">
      <c r="A162" s="29"/>
      <c r="B162" s="29"/>
      <c r="C162" s="29"/>
      <c r="D162" s="29"/>
      <c r="E162" s="29"/>
      <c r="F162" s="34"/>
      <c r="G162" s="34"/>
      <c r="H162" s="29"/>
      <c r="I162" s="29"/>
      <c r="J162" s="29"/>
      <c r="K162" s="29"/>
      <c r="L162" s="35" t="str">
        <f aca="false">IF(A162="",IF(SUMPRODUCT(--(B162:D162&lt;&gt;""))+SUMPRODUCT(--(F162:K162&lt;&gt;""))&gt;0,"Missing ID",""),IF(COUNTIF($A$7:$A$307,A162)&gt;1,"Duplicate ID",IF(AND(F162="Complete",G162=""),"Evidence missing",IF(AND(F162&lt;&gt;"Not started",F162&lt;&gt;"In progress",F162&lt;&gt;"In review",F162&lt;&gt;"Complete"),"Choose a status",""))))</f>
        <v/>
      </c>
    </row>
    <row r="163" customFormat="false" ht="44" hidden="false" customHeight="true" outlineLevel="0" collapsed="false">
      <c r="A163" s="29"/>
      <c r="B163" s="29"/>
      <c r="C163" s="29"/>
      <c r="D163" s="29"/>
      <c r="E163" s="29"/>
      <c r="F163" s="34"/>
      <c r="G163" s="34"/>
      <c r="H163" s="29"/>
      <c r="I163" s="29"/>
      <c r="J163" s="29"/>
      <c r="K163" s="29"/>
      <c r="L163" s="35" t="str">
        <f aca="false">IF(A163="",IF(SUMPRODUCT(--(B163:D163&lt;&gt;""))+SUMPRODUCT(--(F163:K163&lt;&gt;""))&gt;0,"Missing ID",""),IF(COUNTIF($A$7:$A$307,A163)&gt;1,"Duplicate ID",IF(AND(F163="Complete",G163=""),"Evidence missing",IF(AND(F163&lt;&gt;"Not started",F163&lt;&gt;"In progress",F163&lt;&gt;"In review",F163&lt;&gt;"Complete"),"Choose a status",""))))</f>
        <v/>
      </c>
    </row>
    <row r="164" customFormat="false" ht="44" hidden="false" customHeight="true" outlineLevel="0" collapsed="false">
      <c r="A164" s="29"/>
      <c r="B164" s="29"/>
      <c r="C164" s="29"/>
      <c r="D164" s="29"/>
      <c r="E164" s="29"/>
      <c r="F164" s="34"/>
      <c r="G164" s="34"/>
      <c r="H164" s="29"/>
      <c r="I164" s="29"/>
      <c r="J164" s="29"/>
      <c r="K164" s="29"/>
      <c r="L164" s="35" t="str">
        <f aca="false">IF(A164="",IF(SUMPRODUCT(--(B164:D164&lt;&gt;""))+SUMPRODUCT(--(F164:K164&lt;&gt;""))&gt;0,"Missing ID",""),IF(COUNTIF($A$7:$A$307,A164)&gt;1,"Duplicate ID",IF(AND(F164="Complete",G164=""),"Evidence missing",IF(AND(F164&lt;&gt;"Not started",F164&lt;&gt;"In progress",F164&lt;&gt;"In review",F164&lt;&gt;"Complete"),"Choose a status",""))))</f>
        <v/>
      </c>
    </row>
    <row r="165" customFormat="false" ht="44" hidden="false" customHeight="true" outlineLevel="0" collapsed="false">
      <c r="A165" s="29"/>
      <c r="B165" s="29"/>
      <c r="C165" s="29"/>
      <c r="D165" s="29"/>
      <c r="E165" s="29"/>
      <c r="F165" s="34"/>
      <c r="G165" s="34"/>
      <c r="H165" s="29"/>
      <c r="I165" s="29"/>
      <c r="J165" s="29"/>
      <c r="K165" s="29"/>
      <c r="L165" s="35" t="str">
        <f aca="false">IF(A165="",IF(SUMPRODUCT(--(B165:D165&lt;&gt;""))+SUMPRODUCT(--(F165:K165&lt;&gt;""))&gt;0,"Missing ID",""),IF(COUNTIF($A$7:$A$307,A165)&gt;1,"Duplicate ID",IF(AND(F165="Complete",G165=""),"Evidence missing",IF(AND(F165&lt;&gt;"Not started",F165&lt;&gt;"In progress",F165&lt;&gt;"In review",F165&lt;&gt;"Complete"),"Choose a status",""))))</f>
        <v/>
      </c>
    </row>
    <row r="166" customFormat="false" ht="44" hidden="false" customHeight="true" outlineLevel="0" collapsed="false">
      <c r="A166" s="29"/>
      <c r="B166" s="29"/>
      <c r="C166" s="29"/>
      <c r="D166" s="29"/>
      <c r="E166" s="29"/>
      <c r="F166" s="34"/>
      <c r="G166" s="34"/>
      <c r="H166" s="29"/>
      <c r="I166" s="29"/>
      <c r="J166" s="29"/>
      <c r="K166" s="29"/>
      <c r="L166" s="35" t="str">
        <f aca="false">IF(A166="",IF(SUMPRODUCT(--(B166:D166&lt;&gt;""))+SUMPRODUCT(--(F166:K166&lt;&gt;""))&gt;0,"Missing ID",""),IF(COUNTIF($A$7:$A$307,A166)&gt;1,"Duplicate ID",IF(AND(F166="Complete",G166=""),"Evidence missing",IF(AND(F166&lt;&gt;"Not started",F166&lt;&gt;"In progress",F166&lt;&gt;"In review",F166&lt;&gt;"Complete"),"Choose a status",""))))</f>
        <v/>
      </c>
    </row>
    <row r="167" customFormat="false" ht="44" hidden="false" customHeight="true" outlineLevel="0" collapsed="false">
      <c r="A167" s="29"/>
      <c r="B167" s="29"/>
      <c r="C167" s="29"/>
      <c r="D167" s="29"/>
      <c r="E167" s="29"/>
      <c r="F167" s="34"/>
      <c r="G167" s="34"/>
      <c r="H167" s="29"/>
      <c r="I167" s="29"/>
      <c r="J167" s="29"/>
      <c r="K167" s="29"/>
      <c r="L167" s="35" t="str">
        <f aca="false">IF(A167="",IF(SUMPRODUCT(--(B167:D167&lt;&gt;""))+SUMPRODUCT(--(F167:K167&lt;&gt;""))&gt;0,"Missing ID",""),IF(COUNTIF($A$7:$A$307,A167)&gt;1,"Duplicate ID",IF(AND(F167="Complete",G167=""),"Evidence missing",IF(AND(F167&lt;&gt;"Not started",F167&lt;&gt;"In progress",F167&lt;&gt;"In review",F167&lt;&gt;"Complete"),"Choose a status",""))))</f>
        <v/>
      </c>
    </row>
    <row r="168" customFormat="false" ht="44" hidden="false" customHeight="true" outlineLevel="0" collapsed="false">
      <c r="A168" s="29"/>
      <c r="B168" s="29"/>
      <c r="C168" s="29"/>
      <c r="D168" s="29"/>
      <c r="E168" s="29"/>
      <c r="F168" s="34"/>
      <c r="G168" s="34"/>
      <c r="H168" s="29"/>
      <c r="I168" s="29"/>
      <c r="J168" s="29"/>
      <c r="K168" s="29"/>
      <c r="L168" s="35" t="str">
        <f aca="false">IF(A168="",IF(SUMPRODUCT(--(B168:D168&lt;&gt;""))+SUMPRODUCT(--(F168:K168&lt;&gt;""))&gt;0,"Missing ID",""),IF(COUNTIF($A$7:$A$307,A168)&gt;1,"Duplicate ID",IF(AND(F168="Complete",G168=""),"Evidence missing",IF(AND(F168&lt;&gt;"Not started",F168&lt;&gt;"In progress",F168&lt;&gt;"In review",F168&lt;&gt;"Complete"),"Choose a status",""))))</f>
        <v/>
      </c>
    </row>
    <row r="169" customFormat="false" ht="44" hidden="false" customHeight="true" outlineLevel="0" collapsed="false">
      <c r="A169" s="29"/>
      <c r="B169" s="29"/>
      <c r="C169" s="29"/>
      <c r="D169" s="29"/>
      <c r="E169" s="29"/>
      <c r="F169" s="34"/>
      <c r="G169" s="34"/>
      <c r="H169" s="29"/>
      <c r="I169" s="29"/>
      <c r="J169" s="29"/>
      <c r="K169" s="29"/>
      <c r="L169" s="35" t="str">
        <f aca="false">IF(A169="",IF(SUMPRODUCT(--(B169:D169&lt;&gt;""))+SUMPRODUCT(--(F169:K169&lt;&gt;""))&gt;0,"Missing ID",""),IF(COUNTIF($A$7:$A$307,A169)&gt;1,"Duplicate ID",IF(AND(F169="Complete",G169=""),"Evidence missing",IF(AND(F169&lt;&gt;"Not started",F169&lt;&gt;"In progress",F169&lt;&gt;"In review",F169&lt;&gt;"Complete"),"Choose a status",""))))</f>
        <v/>
      </c>
    </row>
    <row r="170" customFormat="false" ht="44" hidden="false" customHeight="true" outlineLevel="0" collapsed="false">
      <c r="A170" s="29"/>
      <c r="B170" s="29"/>
      <c r="C170" s="29"/>
      <c r="D170" s="29"/>
      <c r="E170" s="29"/>
      <c r="F170" s="34"/>
      <c r="G170" s="34"/>
      <c r="H170" s="29"/>
      <c r="I170" s="29"/>
      <c r="J170" s="29"/>
      <c r="K170" s="29"/>
      <c r="L170" s="35" t="str">
        <f aca="false">IF(A170="",IF(SUMPRODUCT(--(B170:D170&lt;&gt;""))+SUMPRODUCT(--(F170:K170&lt;&gt;""))&gt;0,"Missing ID",""),IF(COUNTIF($A$7:$A$307,A170)&gt;1,"Duplicate ID",IF(AND(F170="Complete",G170=""),"Evidence missing",IF(AND(F170&lt;&gt;"Not started",F170&lt;&gt;"In progress",F170&lt;&gt;"In review",F170&lt;&gt;"Complete"),"Choose a status",""))))</f>
        <v/>
      </c>
    </row>
    <row r="171" customFormat="false" ht="44" hidden="false" customHeight="true" outlineLevel="0" collapsed="false">
      <c r="A171" s="29"/>
      <c r="B171" s="29"/>
      <c r="C171" s="29"/>
      <c r="D171" s="29"/>
      <c r="E171" s="29"/>
      <c r="F171" s="34"/>
      <c r="G171" s="34"/>
      <c r="H171" s="29"/>
      <c r="I171" s="29"/>
      <c r="J171" s="29"/>
      <c r="K171" s="29"/>
      <c r="L171" s="35" t="str">
        <f aca="false">IF(A171="",IF(SUMPRODUCT(--(B171:D171&lt;&gt;""))+SUMPRODUCT(--(F171:K171&lt;&gt;""))&gt;0,"Missing ID",""),IF(COUNTIF($A$7:$A$307,A171)&gt;1,"Duplicate ID",IF(AND(F171="Complete",G171=""),"Evidence missing",IF(AND(F171&lt;&gt;"Not started",F171&lt;&gt;"In progress",F171&lt;&gt;"In review",F171&lt;&gt;"Complete"),"Choose a status",""))))</f>
        <v/>
      </c>
    </row>
    <row r="172" customFormat="false" ht="44" hidden="false" customHeight="true" outlineLevel="0" collapsed="false">
      <c r="A172" s="29"/>
      <c r="B172" s="29"/>
      <c r="C172" s="29"/>
      <c r="D172" s="29"/>
      <c r="E172" s="29"/>
      <c r="F172" s="34"/>
      <c r="G172" s="34"/>
      <c r="H172" s="29"/>
      <c r="I172" s="29"/>
      <c r="J172" s="29"/>
      <c r="K172" s="29"/>
      <c r="L172" s="35" t="str">
        <f aca="false">IF(A172="",IF(SUMPRODUCT(--(B172:D172&lt;&gt;""))+SUMPRODUCT(--(F172:K172&lt;&gt;""))&gt;0,"Missing ID",""),IF(COUNTIF($A$7:$A$307,A172)&gt;1,"Duplicate ID",IF(AND(F172="Complete",G172=""),"Evidence missing",IF(AND(F172&lt;&gt;"Not started",F172&lt;&gt;"In progress",F172&lt;&gt;"In review",F172&lt;&gt;"Complete"),"Choose a status",""))))</f>
        <v/>
      </c>
    </row>
    <row r="173" customFormat="false" ht="44" hidden="false" customHeight="true" outlineLevel="0" collapsed="false">
      <c r="A173" s="29"/>
      <c r="B173" s="29"/>
      <c r="C173" s="29"/>
      <c r="D173" s="29"/>
      <c r="E173" s="29"/>
      <c r="F173" s="34"/>
      <c r="G173" s="34"/>
      <c r="H173" s="29"/>
      <c r="I173" s="29"/>
      <c r="J173" s="29"/>
      <c r="K173" s="29"/>
      <c r="L173" s="35" t="str">
        <f aca="false">IF(A173="",IF(SUMPRODUCT(--(B173:D173&lt;&gt;""))+SUMPRODUCT(--(F173:K173&lt;&gt;""))&gt;0,"Missing ID",""),IF(COUNTIF($A$7:$A$307,A173)&gt;1,"Duplicate ID",IF(AND(F173="Complete",G173=""),"Evidence missing",IF(AND(F173&lt;&gt;"Not started",F173&lt;&gt;"In progress",F173&lt;&gt;"In review",F173&lt;&gt;"Complete"),"Choose a status",""))))</f>
        <v/>
      </c>
    </row>
    <row r="174" customFormat="false" ht="44" hidden="false" customHeight="true" outlineLevel="0" collapsed="false">
      <c r="A174" s="29"/>
      <c r="B174" s="29"/>
      <c r="C174" s="29"/>
      <c r="D174" s="29"/>
      <c r="E174" s="29"/>
      <c r="F174" s="34"/>
      <c r="G174" s="34"/>
      <c r="H174" s="29"/>
      <c r="I174" s="29"/>
      <c r="J174" s="29"/>
      <c r="K174" s="29"/>
      <c r="L174" s="35" t="str">
        <f aca="false">IF(A174="",IF(SUMPRODUCT(--(B174:D174&lt;&gt;""))+SUMPRODUCT(--(F174:K174&lt;&gt;""))&gt;0,"Missing ID",""),IF(COUNTIF($A$7:$A$307,A174)&gt;1,"Duplicate ID",IF(AND(F174="Complete",G174=""),"Evidence missing",IF(AND(F174&lt;&gt;"Not started",F174&lt;&gt;"In progress",F174&lt;&gt;"In review",F174&lt;&gt;"Complete"),"Choose a status",""))))</f>
        <v/>
      </c>
    </row>
    <row r="175" customFormat="false" ht="44" hidden="false" customHeight="true" outlineLevel="0" collapsed="false">
      <c r="A175" s="29"/>
      <c r="B175" s="29"/>
      <c r="C175" s="29"/>
      <c r="D175" s="29"/>
      <c r="E175" s="29"/>
      <c r="F175" s="34"/>
      <c r="G175" s="34"/>
      <c r="H175" s="29"/>
      <c r="I175" s="29"/>
      <c r="J175" s="29"/>
      <c r="K175" s="29"/>
      <c r="L175" s="35" t="str">
        <f aca="false">IF(A175="",IF(SUMPRODUCT(--(B175:D175&lt;&gt;""))+SUMPRODUCT(--(F175:K175&lt;&gt;""))&gt;0,"Missing ID",""),IF(COUNTIF($A$7:$A$307,A175)&gt;1,"Duplicate ID",IF(AND(F175="Complete",G175=""),"Evidence missing",IF(AND(F175&lt;&gt;"Not started",F175&lt;&gt;"In progress",F175&lt;&gt;"In review",F175&lt;&gt;"Complete"),"Choose a status",""))))</f>
        <v/>
      </c>
    </row>
    <row r="176" customFormat="false" ht="44" hidden="false" customHeight="true" outlineLevel="0" collapsed="false">
      <c r="A176" s="29"/>
      <c r="B176" s="29"/>
      <c r="C176" s="29"/>
      <c r="D176" s="29"/>
      <c r="E176" s="29"/>
      <c r="F176" s="34"/>
      <c r="G176" s="34"/>
      <c r="H176" s="29"/>
      <c r="I176" s="29"/>
      <c r="J176" s="29"/>
      <c r="K176" s="29"/>
      <c r="L176" s="35" t="str">
        <f aca="false">IF(A176="",IF(SUMPRODUCT(--(B176:D176&lt;&gt;""))+SUMPRODUCT(--(F176:K176&lt;&gt;""))&gt;0,"Missing ID",""),IF(COUNTIF($A$7:$A$307,A176)&gt;1,"Duplicate ID",IF(AND(F176="Complete",G176=""),"Evidence missing",IF(AND(F176&lt;&gt;"Not started",F176&lt;&gt;"In progress",F176&lt;&gt;"In review",F176&lt;&gt;"Complete"),"Choose a status",""))))</f>
        <v/>
      </c>
    </row>
    <row r="177" customFormat="false" ht="44" hidden="false" customHeight="true" outlineLevel="0" collapsed="false">
      <c r="A177" s="29"/>
      <c r="B177" s="29"/>
      <c r="C177" s="29"/>
      <c r="D177" s="29"/>
      <c r="E177" s="29"/>
      <c r="F177" s="34"/>
      <c r="G177" s="34"/>
      <c r="H177" s="29"/>
      <c r="I177" s="29"/>
      <c r="J177" s="29"/>
      <c r="K177" s="29"/>
      <c r="L177" s="35" t="str">
        <f aca="false">IF(A177="",IF(SUMPRODUCT(--(B177:D177&lt;&gt;""))+SUMPRODUCT(--(F177:K177&lt;&gt;""))&gt;0,"Missing ID",""),IF(COUNTIF($A$7:$A$307,A177)&gt;1,"Duplicate ID",IF(AND(F177="Complete",G177=""),"Evidence missing",IF(AND(F177&lt;&gt;"Not started",F177&lt;&gt;"In progress",F177&lt;&gt;"In review",F177&lt;&gt;"Complete"),"Choose a status",""))))</f>
        <v/>
      </c>
    </row>
    <row r="178" customFormat="false" ht="44" hidden="false" customHeight="true" outlineLevel="0" collapsed="false">
      <c r="A178" s="29"/>
      <c r="B178" s="29"/>
      <c r="C178" s="29"/>
      <c r="D178" s="29"/>
      <c r="E178" s="29"/>
      <c r="F178" s="34"/>
      <c r="G178" s="34"/>
      <c r="H178" s="29"/>
      <c r="I178" s="29"/>
      <c r="J178" s="29"/>
      <c r="K178" s="29"/>
      <c r="L178" s="35" t="str">
        <f aca="false">IF(A178="",IF(SUMPRODUCT(--(B178:D178&lt;&gt;""))+SUMPRODUCT(--(F178:K178&lt;&gt;""))&gt;0,"Missing ID",""),IF(COUNTIF($A$7:$A$307,A178)&gt;1,"Duplicate ID",IF(AND(F178="Complete",G178=""),"Evidence missing",IF(AND(F178&lt;&gt;"Not started",F178&lt;&gt;"In progress",F178&lt;&gt;"In review",F178&lt;&gt;"Complete"),"Choose a status",""))))</f>
        <v/>
      </c>
    </row>
    <row r="179" customFormat="false" ht="44" hidden="false" customHeight="true" outlineLevel="0" collapsed="false">
      <c r="A179" s="29"/>
      <c r="B179" s="29"/>
      <c r="C179" s="29"/>
      <c r="D179" s="29"/>
      <c r="E179" s="29"/>
      <c r="F179" s="34"/>
      <c r="G179" s="34"/>
      <c r="H179" s="29"/>
      <c r="I179" s="29"/>
      <c r="J179" s="29"/>
      <c r="K179" s="29"/>
      <c r="L179" s="35" t="str">
        <f aca="false">IF(A179="",IF(SUMPRODUCT(--(B179:D179&lt;&gt;""))+SUMPRODUCT(--(F179:K179&lt;&gt;""))&gt;0,"Missing ID",""),IF(COUNTIF($A$7:$A$307,A179)&gt;1,"Duplicate ID",IF(AND(F179="Complete",G179=""),"Evidence missing",IF(AND(F179&lt;&gt;"Not started",F179&lt;&gt;"In progress",F179&lt;&gt;"In review",F179&lt;&gt;"Complete"),"Choose a status",""))))</f>
        <v/>
      </c>
    </row>
    <row r="180" customFormat="false" ht="44" hidden="false" customHeight="true" outlineLevel="0" collapsed="false">
      <c r="A180" s="29"/>
      <c r="B180" s="29"/>
      <c r="C180" s="29"/>
      <c r="D180" s="29"/>
      <c r="E180" s="29"/>
      <c r="F180" s="34"/>
      <c r="G180" s="34"/>
      <c r="H180" s="29"/>
      <c r="I180" s="29"/>
      <c r="J180" s="29"/>
      <c r="K180" s="29"/>
      <c r="L180" s="35" t="str">
        <f aca="false">IF(A180="",IF(SUMPRODUCT(--(B180:D180&lt;&gt;""))+SUMPRODUCT(--(F180:K180&lt;&gt;""))&gt;0,"Missing ID",""),IF(COUNTIF($A$7:$A$307,A180)&gt;1,"Duplicate ID",IF(AND(F180="Complete",G180=""),"Evidence missing",IF(AND(F180&lt;&gt;"Not started",F180&lt;&gt;"In progress",F180&lt;&gt;"In review",F180&lt;&gt;"Complete"),"Choose a status",""))))</f>
        <v/>
      </c>
    </row>
    <row r="181" customFormat="false" ht="44" hidden="false" customHeight="true" outlineLevel="0" collapsed="false">
      <c r="A181" s="29"/>
      <c r="B181" s="29"/>
      <c r="C181" s="29"/>
      <c r="D181" s="29"/>
      <c r="E181" s="29"/>
      <c r="F181" s="34"/>
      <c r="G181" s="34"/>
      <c r="H181" s="29"/>
      <c r="I181" s="29"/>
      <c r="J181" s="29"/>
      <c r="K181" s="29"/>
      <c r="L181" s="35" t="str">
        <f aca="false">IF(A181="",IF(SUMPRODUCT(--(B181:D181&lt;&gt;""))+SUMPRODUCT(--(F181:K181&lt;&gt;""))&gt;0,"Missing ID",""),IF(COUNTIF($A$7:$A$307,A181)&gt;1,"Duplicate ID",IF(AND(F181="Complete",G181=""),"Evidence missing",IF(AND(F181&lt;&gt;"Not started",F181&lt;&gt;"In progress",F181&lt;&gt;"In review",F181&lt;&gt;"Complete"),"Choose a status",""))))</f>
        <v/>
      </c>
    </row>
    <row r="182" customFormat="false" ht="44" hidden="false" customHeight="true" outlineLevel="0" collapsed="false">
      <c r="A182" s="29"/>
      <c r="B182" s="29"/>
      <c r="C182" s="29"/>
      <c r="D182" s="29"/>
      <c r="E182" s="29"/>
      <c r="F182" s="34"/>
      <c r="G182" s="34"/>
      <c r="H182" s="29"/>
      <c r="I182" s="29"/>
      <c r="J182" s="29"/>
      <c r="K182" s="29"/>
      <c r="L182" s="35" t="str">
        <f aca="false">IF(A182="",IF(SUMPRODUCT(--(B182:D182&lt;&gt;""))+SUMPRODUCT(--(F182:K182&lt;&gt;""))&gt;0,"Missing ID",""),IF(COUNTIF($A$7:$A$307,A182)&gt;1,"Duplicate ID",IF(AND(F182="Complete",G182=""),"Evidence missing",IF(AND(F182&lt;&gt;"Not started",F182&lt;&gt;"In progress",F182&lt;&gt;"In review",F182&lt;&gt;"Complete"),"Choose a status",""))))</f>
        <v/>
      </c>
    </row>
    <row r="183" customFormat="false" ht="44" hidden="false" customHeight="true" outlineLevel="0" collapsed="false">
      <c r="A183" s="29"/>
      <c r="B183" s="29"/>
      <c r="C183" s="29"/>
      <c r="D183" s="29"/>
      <c r="E183" s="29"/>
      <c r="F183" s="34"/>
      <c r="G183" s="34"/>
      <c r="H183" s="29"/>
      <c r="I183" s="29"/>
      <c r="J183" s="29"/>
      <c r="K183" s="29"/>
      <c r="L183" s="35" t="str">
        <f aca="false">IF(A183="",IF(SUMPRODUCT(--(B183:D183&lt;&gt;""))+SUMPRODUCT(--(F183:K183&lt;&gt;""))&gt;0,"Missing ID",""),IF(COUNTIF($A$7:$A$307,A183)&gt;1,"Duplicate ID",IF(AND(F183="Complete",G183=""),"Evidence missing",IF(AND(F183&lt;&gt;"Not started",F183&lt;&gt;"In progress",F183&lt;&gt;"In review",F183&lt;&gt;"Complete"),"Choose a status",""))))</f>
        <v/>
      </c>
    </row>
    <row r="184" customFormat="false" ht="44" hidden="false" customHeight="true" outlineLevel="0" collapsed="false">
      <c r="A184" s="29"/>
      <c r="B184" s="29"/>
      <c r="C184" s="29"/>
      <c r="D184" s="29"/>
      <c r="E184" s="29"/>
      <c r="F184" s="34"/>
      <c r="G184" s="34"/>
      <c r="H184" s="29"/>
      <c r="I184" s="29"/>
      <c r="J184" s="29"/>
      <c r="K184" s="29"/>
      <c r="L184" s="35" t="str">
        <f aca="false">IF(A184="",IF(SUMPRODUCT(--(B184:D184&lt;&gt;""))+SUMPRODUCT(--(F184:K184&lt;&gt;""))&gt;0,"Missing ID",""),IF(COUNTIF($A$7:$A$307,A184)&gt;1,"Duplicate ID",IF(AND(F184="Complete",G184=""),"Evidence missing",IF(AND(F184&lt;&gt;"Not started",F184&lt;&gt;"In progress",F184&lt;&gt;"In review",F184&lt;&gt;"Complete"),"Choose a status",""))))</f>
        <v/>
      </c>
    </row>
    <row r="185" customFormat="false" ht="44" hidden="false" customHeight="true" outlineLevel="0" collapsed="false">
      <c r="A185" s="29"/>
      <c r="B185" s="29"/>
      <c r="C185" s="29"/>
      <c r="D185" s="29"/>
      <c r="E185" s="29"/>
      <c r="F185" s="34"/>
      <c r="G185" s="34"/>
      <c r="H185" s="29"/>
      <c r="I185" s="29"/>
      <c r="J185" s="29"/>
      <c r="K185" s="29"/>
      <c r="L185" s="35" t="str">
        <f aca="false">IF(A185="",IF(SUMPRODUCT(--(B185:D185&lt;&gt;""))+SUMPRODUCT(--(F185:K185&lt;&gt;""))&gt;0,"Missing ID",""),IF(COUNTIF($A$7:$A$307,A185)&gt;1,"Duplicate ID",IF(AND(F185="Complete",G185=""),"Evidence missing",IF(AND(F185&lt;&gt;"Not started",F185&lt;&gt;"In progress",F185&lt;&gt;"In review",F185&lt;&gt;"Complete"),"Choose a status",""))))</f>
        <v/>
      </c>
    </row>
    <row r="186" customFormat="false" ht="44" hidden="false" customHeight="true" outlineLevel="0" collapsed="false">
      <c r="A186" s="29"/>
      <c r="B186" s="29"/>
      <c r="C186" s="29"/>
      <c r="D186" s="29"/>
      <c r="E186" s="29"/>
      <c r="F186" s="34"/>
      <c r="G186" s="34"/>
      <c r="H186" s="29"/>
      <c r="I186" s="29"/>
      <c r="J186" s="29"/>
      <c r="K186" s="29"/>
      <c r="L186" s="35" t="str">
        <f aca="false">IF(A186="",IF(SUMPRODUCT(--(B186:D186&lt;&gt;""))+SUMPRODUCT(--(F186:K186&lt;&gt;""))&gt;0,"Missing ID",""),IF(COUNTIF($A$7:$A$307,A186)&gt;1,"Duplicate ID",IF(AND(F186="Complete",G186=""),"Evidence missing",IF(AND(F186&lt;&gt;"Not started",F186&lt;&gt;"In progress",F186&lt;&gt;"In review",F186&lt;&gt;"Complete"),"Choose a status",""))))</f>
        <v/>
      </c>
    </row>
    <row r="187" customFormat="false" ht="44" hidden="false" customHeight="true" outlineLevel="0" collapsed="false">
      <c r="A187" s="29"/>
      <c r="B187" s="29"/>
      <c r="C187" s="29"/>
      <c r="D187" s="29"/>
      <c r="E187" s="29"/>
      <c r="F187" s="34"/>
      <c r="G187" s="34"/>
      <c r="H187" s="29"/>
      <c r="I187" s="29"/>
      <c r="J187" s="29"/>
      <c r="K187" s="29"/>
      <c r="L187" s="35" t="str">
        <f aca="false">IF(A187="",IF(SUMPRODUCT(--(B187:D187&lt;&gt;""))+SUMPRODUCT(--(F187:K187&lt;&gt;""))&gt;0,"Missing ID",""),IF(COUNTIF($A$7:$A$307,A187)&gt;1,"Duplicate ID",IF(AND(F187="Complete",G187=""),"Evidence missing",IF(AND(F187&lt;&gt;"Not started",F187&lt;&gt;"In progress",F187&lt;&gt;"In review",F187&lt;&gt;"Complete"),"Choose a status",""))))</f>
        <v/>
      </c>
    </row>
    <row r="188" customFormat="false" ht="44" hidden="false" customHeight="true" outlineLevel="0" collapsed="false">
      <c r="A188" s="29"/>
      <c r="B188" s="29"/>
      <c r="C188" s="29"/>
      <c r="D188" s="29"/>
      <c r="E188" s="29"/>
      <c r="F188" s="34"/>
      <c r="G188" s="34"/>
      <c r="H188" s="29"/>
      <c r="I188" s="29"/>
      <c r="J188" s="29"/>
      <c r="K188" s="29"/>
      <c r="L188" s="35" t="str">
        <f aca="false">IF(A188="",IF(SUMPRODUCT(--(B188:D188&lt;&gt;""))+SUMPRODUCT(--(F188:K188&lt;&gt;""))&gt;0,"Missing ID",""),IF(COUNTIF($A$7:$A$307,A188)&gt;1,"Duplicate ID",IF(AND(F188="Complete",G188=""),"Evidence missing",IF(AND(F188&lt;&gt;"Not started",F188&lt;&gt;"In progress",F188&lt;&gt;"In review",F188&lt;&gt;"Complete"),"Choose a status",""))))</f>
        <v/>
      </c>
    </row>
    <row r="189" customFormat="false" ht="44" hidden="false" customHeight="true" outlineLevel="0" collapsed="false">
      <c r="A189" s="29"/>
      <c r="B189" s="29"/>
      <c r="C189" s="29"/>
      <c r="D189" s="29"/>
      <c r="E189" s="29"/>
      <c r="F189" s="34"/>
      <c r="G189" s="34"/>
      <c r="H189" s="29"/>
      <c r="I189" s="29"/>
      <c r="J189" s="29"/>
      <c r="K189" s="29"/>
      <c r="L189" s="35" t="str">
        <f aca="false">IF(A189="",IF(SUMPRODUCT(--(B189:D189&lt;&gt;""))+SUMPRODUCT(--(F189:K189&lt;&gt;""))&gt;0,"Missing ID",""),IF(COUNTIF($A$7:$A$307,A189)&gt;1,"Duplicate ID",IF(AND(F189="Complete",G189=""),"Evidence missing",IF(AND(F189&lt;&gt;"Not started",F189&lt;&gt;"In progress",F189&lt;&gt;"In review",F189&lt;&gt;"Complete"),"Choose a status",""))))</f>
        <v/>
      </c>
    </row>
    <row r="190" customFormat="false" ht="44" hidden="false" customHeight="true" outlineLevel="0" collapsed="false">
      <c r="A190" s="29"/>
      <c r="B190" s="29"/>
      <c r="C190" s="29"/>
      <c r="D190" s="29"/>
      <c r="E190" s="29"/>
      <c r="F190" s="34"/>
      <c r="G190" s="34"/>
      <c r="H190" s="29"/>
      <c r="I190" s="29"/>
      <c r="J190" s="29"/>
      <c r="K190" s="29"/>
      <c r="L190" s="35" t="str">
        <f aca="false">IF(A190="",IF(SUMPRODUCT(--(B190:D190&lt;&gt;""))+SUMPRODUCT(--(F190:K190&lt;&gt;""))&gt;0,"Missing ID",""),IF(COUNTIF($A$7:$A$307,A190)&gt;1,"Duplicate ID",IF(AND(F190="Complete",G190=""),"Evidence missing",IF(AND(F190&lt;&gt;"Not started",F190&lt;&gt;"In progress",F190&lt;&gt;"In review",F190&lt;&gt;"Complete"),"Choose a status",""))))</f>
        <v/>
      </c>
    </row>
    <row r="191" customFormat="false" ht="44" hidden="false" customHeight="true" outlineLevel="0" collapsed="false">
      <c r="A191" s="29"/>
      <c r="B191" s="29"/>
      <c r="C191" s="29"/>
      <c r="D191" s="29"/>
      <c r="E191" s="29"/>
      <c r="F191" s="34"/>
      <c r="G191" s="34"/>
      <c r="H191" s="29"/>
      <c r="I191" s="29"/>
      <c r="J191" s="29"/>
      <c r="K191" s="29"/>
      <c r="L191" s="35" t="str">
        <f aca="false">IF(A191="",IF(SUMPRODUCT(--(B191:D191&lt;&gt;""))+SUMPRODUCT(--(F191:K191&lt;&gt;""))&gt;0,"Missing ID",""),IF(COUNTIF($A$7:$A$307,A191)&gt;1,"Duplicate ID",IF(AND(F191="Complete",G191=""),"Evidence missing",IF(AND(F191&lt;&gt;"Not started",F191&lt;&gt;"In progress",F191&lt;&gt;"In review",F191&lt;&gt;"Complete"),"Choose a status",""))))</f>
        <v/>
      </c>
    </row>
    <row r="192" customFormat="false" ht="44" hidden="false" customHeight="true" outlineLevel="0" collapsed="false">
      <c r="A192" s="29"/>
      <c r="B192" s="29"/>
      <c r="C192" s="29"/>
      <c r="D192" s="29"/>
      <c r="E192" s="29"/>
      <c r="F192" s="34"/>
      <c r="G192" s="34"/>
      <c r="H192" s="29"/>
      <c r="I192" s="29"/>
      <c r="J192" s="29"/>
      <c r="K192" s="29"/>
      <c r="L192" s="35" t="str">
        <f aca="false">IF(A192="",IF(SUMPRODUCT(--(B192:D192&lt;&gt;""))+SUMPRODUCT(--(F192:K192&lt;&gt;""))&gt;0,"Missing ID",""),IF(COUNTIF($A$7:$A$307,A192)&gt;1,"Duplicate ID",IF(AND(F192="Complete",G192=""),"Evidence missing",IF(AND(F192&lt;&gt;"Not started",F192&lt;&gt;"In progress",F192&lt;&gt;"In review",F192&lt;&gt;"Complete"),"Choose a status",""))))</f>
        <v/>
      </c>
    </row>
    <row r="193" customFormat="false" ht="44" hidden="false" customHeight="true" outlineLevel="0" collapsed="false">
      <c r="A193" s="29"/>
      <c r="B193" s="29"/>
      <c r="C193" s="29"/>
      <c r="D193" s="29"/>
      <c r="E193" s="29"/>
      <c r="F193" s="34"/>
      <c r="G193" s="34"/>
      <c r="H193" s="29"/>
      <c r="I193" s="29"/>
      <c r="J193" s="29"/>
      <c r="K193" s="29"/>
      <c r="L193" s="35" t="str">
        <f aca="false">IF(A193="",IF(SUMPRODUCT(--(B193:D193&lt;&gt;""))+SUMPRODUCT(--(F193:K193&lt;&gt;""))&gt;0,"Missing ID",""),IF(COUNTIF($A$7:$A$307,A193)&gt;1,"Duplicate ID",IF(AND(F193="Complete",G193=""),"Evidence missing",IF(AND(F193&lt;&gt;"Not started",F193&lt;&gt;"In progress",F193&lt;&gt;"In review",F193&lt;&gt;"Complete"),"Choose a status",""))))</f>
        <v/>
      </c>
    </row>
    <row r="194" customFormat="false" ht="44" hidden="false" customHeight="true" outlineLevel="0" collapsed="false">
      <c r="A194" s="29"/>
      <c r="B194" s="29"/>
      <c r="C194" s="29"/>
      <c r="D194" s="29"/>
      <c r="E194" s="29"/>
      <c r="F194" s="34"/>
      <c r="G194" s="34"/>
      <c r="H194" s="29"/>
      <c r="I194" s="29"/>
      <c r="J194" s="29"/>
      <c r="K194" s="29"/>
      <c r="L194" s="35" t="str">
        <f aca="false">IF(A194="",IF(SUMPRODUCT(--(B194:D194&lt;&gt;""))+SUMPRODUCT(--(F194:K194&lt;&gt;""))&gt;0,"Missing ID",""),IF(COUNTIF($A$7:$A$307,A194)&gt;1,"Duplicate ID",IF(AND(F194="Complete",G194=""),"Evidence missing",IF(AND(F194&lt;&gt;"Not started",F194&lt;&gt;"In progress",F194&lt;&gt;"In review",F194&lt;&gt;"Complete"),"Choose a status",""))))</f>
        <v/>
      </c>
    </row>
    <row r="195" customFormat="false" ht="44" hidden="false" customHeight="true" outlineLevel="0" collapsed="false">
      <c r="A195" s="29"/>
      <c r="B195" s="29"/>
      <c r="C195" s="29"/>
      <c r="D195" s="29"/>
      <c r="E195" s="29"/>
      <c r="F195" s="34"/>
      <c r="G195" s="34"/>
      <c r="H195" s="29"/>
      <c r="I195" s="29"/>
      <c r="J195" s="29"/>
      <c r="K195" s="29"/>
      <c r="L195" s="35" t="str">
        <f aca="false">IF(A195="",IF(SUMPRODUCT(--(B195:D195&lt;&gt;""))+SUMPRODUCT(--(F195:K195&lt;&gt;""))&gt;0,"Missing ID",""),IF(COUNTIF($A$7:$A$307,A195)&gt;1,"Duplicate ID",IF(AND(F195="Complete",G195=""),"Evidence missing",IF(AND(F195&lt;&gt;"Not started",F195&lt;&gt;"In progress",F195&lt;&gt;"In review",F195&lt;&gt;"Complete"),"Choose a status",""))))</f>
        <v/>
      </c>
    </row>
    <row r="196" customFormat="false" ht="44" hidden="false" customHeight="true" outlineLevel="0" collapsed="false">
      <c r="A196" s="29"/>
      <c r="B196" s="29"/>
      <c r="C196" s="29"/>
      <c r="D196" s="29"/>
      <c r="E196" s="29"/>
      <c r="F196" s="34"/>
      <c r="G196" s="34"/>
      <c r="H196" s="29"/>
      <c r="I196" s="29"/>
      <c r="J196" s="29"/>
      <c r="K196" s="29"/>
      <c r="L196" s="35" t="str">
        <f aca="false">IF(A196="",IF(SUMPRODUCT(--(B196:D196&lt;&gt;""))+SUMPRODUCT(--(F196:K196&lt;&gt;""))&gt;0,"Missing ID",""),IF(COUNTIF($A$7:$A$307,A196)&gt;1,"Duplicate ID",IF(AND(F196="Complete",G196=""),"Evidence missing",IF(AND(F196&lt;&gt;"Not started",F196&lt;&gt;"In progress",F196&lt;&gt;"In review",F196&lt;&gt;"Complete"),"Choose a status",""))))</f>
        <v/>
      </c>
    </row>
    <row r="197" customFormat="false" ht="44" hidden="false" customHeight="true" outlineLevel="0" collapsed="false">
      <c r="A197" s="29"/>
      <c r="B197" s="29"/>
      <c r="C197" s="29"/>
      <c r="D197" s="29"/>
      <c r="E197" s="29"/>
      <c r="F197" s="34"/>
      <c r="G197" s="34"/>
      <c r="H197" s="29"/>
      <c r="I197" s="29"/>
      <c r="J197" s="29"/>
      <c r="K197" s="29"/>
      <c r="L197" s="35" t="str">
        <f aca="false">IF(A197="",IF(SUMPRODUCT(--(B197:D197&lt;&gt;""))+SUMPRODUCT(--(F197:K197&lt;&gt;""))&gt;0,"Missing ID",""),IF(COUNTIF($A$7:$A$307,A197)&gt;1,"Duplicate ID",IF(AND(F197="Complete",G197=""),"Evidence missing",IF(AND(F197&lt;&gt;"Not started",F197&lt;&gt;"In progress",F197&lt;&gt;"In review",F197&lt;&gt;"Complete"),"Choose a status",""))))</f>
        <v/>
      </c>
    </row>
    <row r="198" customFormat="false" ht="44" hidden="false" customHeight="true" outlineLevel="0" collapsed="false">
      <c r="A198" s="29"/>
      <c r="B198" s="29"/>
      <c r="C198" s="29"/>
      <c r="D198" s="29"/>
      <c r="E198" s="29"/>
      <c r="F198" s="34"/>
      <c r="G198" s="34"/>
      <c r="H198" s="29"/>
      <c r="I198" s="29"/>
      <c r="J198" s="29"/>
      <c r="K198" s="29"/>
      <c r="L198" s="35" t="str">
        <f aca="false">IF(A198="",IF(SUMPRODUCT(--(B198:D198&lt;&gt;""))+SUMPRODUCT(--(F198:K198&lt;&gt;""))&gt;0,"Missing ID",""),IF(COUNTIF($A$7:$A$307,A198)&gt;1,"Duplicate ID",IF(AND(F198="Complete",G198=""),"Evidence missing",IF(AND(F198&lt;&gt;"Not started",F198&lt;&gt;"In progress",F198&lt;&gt;"In review",F198&lt;&gt;"Complete"),"Choose a status",""))))</f>
        <v/>
      </c>
    </row>
    <row r="199" customFormat="false" ht="44" hidden="false" customHeight="true" outlineLevel="0" collapsed="false">
      <c r="A199" s="29"/>
      <c r="B199" s="29"/>
      <c r="C199" s="29"/>
      <c r="D199" s="29"/>
      <c r="E199" s="29"/>
      <c r="F199" s="34"/>
      <c r="G199" s="34"/>
      <c r="H199" s="29"/>
      <c r="I199" s="29"/>
      <c r="J199" s="29"/>
      <c r="K199" s="29"/>
      <c r="L199" s="35" t="str">
        <f aca="false">IF(A199="",IF(SUMPRODUCT(--(B199:D199&lt;&gt;""))+SUMPRODUCT(--(F199:K199&lt;&gt;""))&gt;0,"Missing ID",""),IF(COUNTIF($A$7:$A$307,A199)&gt;1,"Duplicate ID",IF(AND(F199="Complete",G199=""),"Evidence missing",IF(AND(F199&lt;&gt;"Not started",F199&lt;&gt;"In progress",F199&lt;&gt;"In review",F199&lt;&gt;"Complete"),"Choose a status",""))))</f>
        <v/>
      </c>
    </row>
    <row r="200" customFormat="false" ht="44" hidden="false" customHeight="true" outlineLevel="0" collapsed="false">
      <c r="A200" s="29"/>
      <c r="B200" s="29"/>
      <c r="C200" s="29"/>
      <c r="D200" s="29"/>
      <c r="E200" s="29"/>
      <c r="F200" s="34"/>
      <c r="G200" s="34"/>
      <c r="H200" s="29"/>
      <c r="I200" s="29"/>
      <c r="J200" s="29"/>
      <c r="K200" s="29"/>
      <c r="L200" s="35" t="str">
        <f aca="false">IF(A200="",IF(SUMPRODUCT(--(B200:D200&lt;&gt;""))+SUMPRODUCT(--(F200:K200&lt;&gt;""))&gt;0,"Missing ID",""),IF(COUNTIF($A$7:$A$307,A200)&gt;1,"Duplicate ID",IF(AND(F200="Complete",G200=""),"Evidence missing",IF(AND(F200&lt;&gt;"Not started",F200&lt;&gt;"In progress",F200&lt;&gt;"In review",F200&lt;&gt;"Complete"),"Choose a status",""))))</f>
        <v/>
      </c>
    </row>
    <row r="201" customFormat="false" ht="44" hidden="false" customHeight="true" outlineLevel="0" collapsed="false">
      <c r="A201" s="29"/>
      <c r="B201" s="29"/>
      <c r="C201" s="29"/>
      <c r="D201" s="29"/>
      <c r="E201" s="29"/>
      <c r="F201" s="34"/>
      <c r="G201" s="34"/>
      <c r="H201" s="29"/>
      <c r="I201" s="29"/>
      <c r="J201" s="29"/>
      <c r="K201" s="29"/>
      <c r="L201" s="35" t="str">
        <f aca="false">IF(A201="",IF(SUMPRODUCT(--(B201:D201&lt;&gt;""))+SUMPRODUCT(--(F201:K201&lt;&gt;""))&gt;0,"Missing ID",""),IF(COUNTIF($A$7:$A$307,A201)&gt;1,"Duplicate ID",IF(AND(F201="Complete",G201=""),"Evidence missing",IF(AND(F201&lt;&gt;"Not started",F201&lt;&gt;"In progress",F201&lt;&gt;"In review",F201&lt;&gt;"Complete"),"Choose a status",""))))</f>
        <v/>
      </c>
    </row>
    <row r="202" customFormat="false" ht="44" hidden="false" customHeight="true" outlineLevel="0" collapsed="false">
      <c r="A202" s="29"/>
      <c r="B202" s="29"/>
      <c r="C202" s="29"/>
      <c r="D202" s="29"/>
      <c r="E202" s="29"/>
      <c r="F202" s="34"/>
      <c r="G202" s="34"/>
      <c r="H202" s="29"/>
      <c r="I202" s="29"/>
      <c r="J202" s="29"/>
      <c r="K202" s="29"/>
      <c r="L202" s="35" t="str">
        <f aca="false">IF(A202="",IF(SUMPRODUCT(--(B202:D202&lt;&gt;""))+SUMPRODUCT(--(F202:K202&lt;&gt;""))&gt;0,"Missing ID",""),IF(COUNTIF($A$7:$A$307,A202)&gt;1,"Duplicate ID",IF(AND(F202="Complete",G202=""),"Evidence missing",IF(AND(F202&lt;&gt;"Not started",F202&lt;&gt;"In progress",F202&lt;&gt;"In review",F202&lt;&gt;"Complete"),"Choose a status",""))))</f>
        <v/>
      </c>
    </row>
    <row r="203" customFormat="false" ht="44" hidden="false" customHeight="true" outlineLevel="0" collapsed="false">
      <c r="A203" s="29"/>
      <c r="B203" s="29"/>
      <c r="C203" s="29"/>
      <c r="D203" s="29"/>
      <c r="E203" s="29"/>
      <c r="F203" s="34"/>
      <c r="G203" s="34"/>
      <c r="H203" s="29"/>
      <c r="I203" s="29"/>
      <c r="J203" s="29"/>
      <c r="K203" s="29"/>
      <c r="L203" s="35" t="str">
        <f aca="false">IF(A203="",IF(SUMPRODUCT(--(B203:D203&lt;&gt;""))+SUMPRODUCT(--(F203:K203&lt;&gt;""))&gt;0,"Missing ID",""),IF(COUNTIF($A$7:$A$307,A203)&gt;1,"Duplicate ID",IF(AND(F203="Complete",G203=""),"Evidence missing",IF(AND(F203&lt;&gt;"Not started",F203&lt;&gt;"In progress",F203&lt;&gt;"In review",F203&lt;&gt;"Complete"),"Choose a status",""))))</f>
        <v/>
      </c>
    </row>
    <row r="204" customFormat="false" ht="44" hidden="false" customHeight="true" outlineLevel="0" collapsed="false">
      <c r="A204" s="29"/>
      <c r="B204" s="29"/>
      <c r="C204" s="29"/>
      <c r="D204" s="29"/>
      <c r="E204" s="29"/>
      <c r="F204" s="34"/>
      <c r="G204" s="34"/>
      <c r="H204" s="29"/>
      <c r="I204" s="29"/>
      <c r="J204" s="29"/>
      <c r="K204" s="29"/>
      <c r="L204" s="35" t="str">
        <f aca="false">IF(A204="",IF(SUMPRODUCT(--(B204:D204&lt;&gt;""))+SUMPRODUCT(--(F204:K204&lt;&gt;""))&gt;0,"Missing ID",""),IF(COUNTIF($A$7:$A$307,A204)&gt;1,"Duplicate ID",IF(AND(F204="Complete",G204=""),"Evidence missing",IF(AND(F204&lt;&gt;"Not started",F204&lt;&gt;"In progress",F204&lt;&gt;"In review",F204&lt;&gt;"Complete"),"Choose a status",""))))</f>
        <v/>
      </c>
    </row>
    <row r="205" customFormat="false" ht="44" hidden="false" customHeight="true" outlineLevel="0" collapsed="false">
      <c r="A205" s="29"/>
      <c r="B205" s="29"/>
      <c r="C205" s="29"/>
      <c r="D205" s="29"/>
      <c r="E205" s="29"/>
      <c r="F205" s="34"/>
      <c r="G205" s="34"/>
      <c r="H205" s="29"/>
      <c r="I205" s="29"/>
      <c r="J205" s="29"/>
      <c r="K205" s="29"/>
      <c r="L205" s="35" t="str">
        <f aca="false">IF(A205="",IF(SUMPRODUCT(--(B205:D205&lt;&gt;""))+SUMPRODUCT(--(F205:K205&lt;&gt;""))&gt;0,"Missing ID",""),IF(COUNTIF($A$7:$A$307,A205)&gt;1,"Duplicate ID",IF(AND(F205="Complete",G205=""),"Evidence missing",IF(AND(F205&lt;&gt;"Not started",F205&lt;&gt;"In progress",F205&lt;&gt;"In review",F205&lt;&gt;"Complete"),"Choose a status",""))))</f>
        <v/>
      </c>
    </row>
    <row r="206" customFormat="false" ht="44" hidden="false" customHeight="true" outlineLevel="0" collapsed="false">
      <c r="A206" s="29"/>
      <c r="B206" s="29"/>
      <c r="C206" s="29"/>
      <c r="D206" s="29"/>
      <c r="E206" s="29"/>
      <c r="F206" s="34"/>
      <c r="G206" s="34"/>
      <c r="H206" s="29"/>
      <c r="I206" s="29"/>
      <c r="J206" s="29"/>
      <c r="K206" s="29"/>
      <c r="L206" s="35" t="str">
        <f aca="false">IF(A206="",IF(SUMPRODUCT(--(B206:D206&lt;&gt;""))+SUMPRODUCT(--(F206:K206&lt;&gt;""))&gt;0,"Missing ID",""),IF(COUNTIF($A$7:$A$307,A206)&gt;1,"Duplicate ID",IF(AND(F206="Complete",G206=""),"Evidence missing",IF(AND(F206&lt;&gt;"Not started",F206&lt;&gt;"In progress",F206&lt;&gt;"In review",F206&lt;&gt;"Complete"),"Choose a status",""))))</f>
        <v/>
      </c>
    </row>
    <row r="207" customFormat="false" ht="44" hidden="false" customHeight="true" outlineLevel="0" collapsed="false">
      <c r="A207" s="29"/>
      <c r="B207" s="29"/>
      <c r="C207" s="29"/>
      <c r="D207" s="29"/>
      <c r="E207" s="29"/>
      <c r="F207" s="34"/>
      <c r="G207" s="34"/>
      <c r="H207" s="29"/>
      <c r="I207" s="29"/>
      <c r="J207" s="29"/>
      <c r="K207" s="29"/>
      <c r="L207" s="35" t="str">
        <f aca="false">IF(A207="",IF(SUMPRODUCT(--(B207:D207&lt;&gt;""))+SUMPRODUCT(--(F207:K207&lt;&gt;""))&gt;0,"Missing ID",""),IF(COUNTIF($A$7:$A$307,A207)&gt;1,"Duplicate ID",IF(AND(F207="Complete",G207=""),"Evidence missing",IF(AND(F207&lt;&gt;"Not started",F207&lt;&gt;"In progress",F207&lt;&gt;"In review",F207&lt;&gt;"Complete"),"Choose a status",""))))</f>
        <v/>
      </c>
    </row>
    <row r="208" customFormat="false" ht="44" hidden="false" customHeight="true" outlineLevel="0" collapsed="false">
      <c r="A208" s="29"/>
      <c r="B208" s="29"/>
      <c r="C208" s="29"/>
      <c r="D208" s="29"/>
      <c r="E208" s="29"/>
      <c r="F208" s="34"/>
      <c r="G208" s="34"/>
      <c r="H208" s="29"/>
      <c r="I208" s="29"/>
      <c r="J208" s="29"/>
      <c r="K208" s="29"/>
      <c r="L208" s="35" t="str">
        <f aca="false">IF(A208="",IF(SUMPRODUCT(--(B208:D208&lt;&gt;""))+SUMPRODUCT(--(F208:K208&lt;&gt;""))&gt;0,"Missing ID",""),IF(COUNTIF($A$7:$A$307,A208)&gt;1,"Duplicate ID",IF(AND(F208="Complete",G208=""),"Evidence missing",IF(AND(F208&lt;&gt;"Not started",F208&lt;&gt;"In progress",F208&lt;&gt;"In review",F208&lt;&gt;"Complete"),"Choose a status",""))))</f>
        <v/>
      </c>
    </row>
    <row r="209" customFormat="false" ht="44" hidden="false" customHeight="true" outlineLevel="0" collapsed="false">
      <c r="A209" s="29"/>
      <c r="B209" s="29"/>
      <c r="C209" s="29"/>
      <c r="D209" s="29"/>
      <c r="E209" s="29"/>
      <c r="F209" s="34"/>
      <c r="G209" s="34"/>
      <c r="H209" s="29"/>
      <c r="I209" s="29"/>
      <c r="J209" s="29"/>
      <c r="K209" s="29"/>
      <c r="L209" s="35" t="str">
        <f aca="false">IF(A209="",IF(SUMPRODUCT(--(B209:D209&lt;&gt;""))+SUMPRODUCT(--(F209:K209&lt;&gt;""))&gt;0,"Missing ID",""),IF(COUNTIF($A$7:$A$307,A209)&gt;1,"Duplicate ID",IF(AND(F209="Complete",G209=""),"Evidence missing",IF(AND(F209&lt;&gt;"Not started",F209&lt;&gt;"In progress",F209&lt;&gt;"In review",F209&lt;&gt;"Complete"),"Choose a status",""))))</f>
        <v/>
      </c>
    </row>
    <row r="210" customFormat="false" ht="44" hidden="false" customHeight="true" outlineLevel="0" collapsed="false">
      <c r="A210" s="29"/>
      <c r="B210" s="29"/>
      <c r="C210" s="29"/>
      <c r="D210" s="29"/>
      <c r="E210" s="29"/>
      <c r="F210" s="34"/>
      <c r="G210" s="34"/>
      <c r="H210" s="29"/>
      <c r="I210" s="29"/>
      <c r="J210" s="29"/>
      <c r="K210" s="29"/>
      <c r="L210" s="35" t="str">
        <f aca="false">IF(A210="",IF(SUMPRODUCT(--(B210:D210&lt;&gt;""))+SUMPRODUCT(--(F210:K210&lt;&gt;""))&gt;0,"Missing ID",""),IF(COUNTIF($A$7:$A$307,A210)&gt;1,"Duplicate ID",IF(AND(F210="Complete",G210=""),"Evidence missing",IF(AND(F210&lt;&gt;"Not started",F210&lt;&gt;"In progress",F210&lt;&gt;"In review",F210&lt;&gt;"Complete"),"Choose a status",""))))</f>
        <v/>
      </c>
    </row>
    <row r="211" customFormat="false" ht="44" hidden="false" customHeight="true" outlineLevel="0" collapsed="false">
      <c r="A211" s="29"/>
      <c r="B211" s="29"/>
      <c r="C211" s="29"/>
      <c r="D211" s="29"/>
      <c r="E211" s="29"/>
      <c r="F211" s="34"/>
      <c r="G211" s="34"/>
      <c r="H211" s="29"/>
      <c r="I211" s="29"/>
      <c r="J211" s="29"/>
      <c r="K211" s="29"/>
      <c r="L211" s="35" t="str">
        <f aca="false">IF(A211="",IF(SUMPRODUCT(--(B211:D211&lt;&gt;""))+SUMPRODUCT(--(F211:K211&lt;&gt;""))&gt;0,"Missing ID",""),IF(COUNTIF($A$7:$A$307,A211)&gt;1,"Duplicate ID",IF(AND(F211="Complete",G211=""),"Evidence missing",IF(AND(F211&lt;&gt;"Not started",F211&lt;&gt;"In progress",F211&lt;&gt;"In review",F211&lt;&gt;"Complete"),"Choose a status",""))))</f>
        <v/>
      </c>
    </row>
    <row r="212" customFormat="false" ht="44" hidden="false" customHeight="true" outlineLevel="0" collapsed="false">
      <c r="A212" s="29"/>
      <c r="B212" s="29"/>
      <c r="C212" s="29"/>
      <c r="D212" s="29"/>
      <c r="E212" s="29"/>
      <c r="F212" s="34"/>
      <c r="G212" s="34"/>
      <c r="H212" s="29"/>
      <c r="I212" s="29"/>
      <c r="J212" s="29"/>
      <c r="K212" s="29"/>
      <c r="L212" s="35" t="str">
        <f aca="false">IF(A212="",IF(SUMPRODUCT(--(B212:D212&lt;&gt;""))+SUMPRODUCT(--(F212:K212&lt;&gt;""))&gt;0,"Missing ID",""),IF(COUNTIF($A$7:$A$307,A212)&gt;1,"Duplicate ID",IF(AND(F212="Complete",G212=""),"Evidence missing",IF(AND(F212&lt;&gt;"Not started",F212&lt;&gt;"In progress",F212&lt;&gt;"In review",F212&lt;&gt;"Complete"),"Choose a status",""))))</f>
        <v/>
      </c>
    </row>
    <row r="213" customFormat="false" ht="44" hidden="false" customHeight="true" outlineLevel="0" collapsed="false">
      <c r="A213" s="29"/>
      <c r="B213" s="29"/>
      <c r="C213" s="29"/>
      <c r="D213" s="29"/>
      <c r="E213" s="29"/>
      <c r="F213" s="34"/>
      <c r="G213" s="34"/>
      <c r="H213" s="29"/>
      <c r="I213" s="29"/>
      <c r="J213" s="29"/>
      <c r="K213" s="29"/>
      <c r="L213" s="35" t="str">
        <f aca="false">IF(A213="",IF(SUMPRODUCT(--(B213:D213&lt;&gt;""))+SUMPRODUCT(--(F213:K213&lt;&gt;""))&gt;0,"Missing ID",""),IF(COUNTIF($A$7:$A$307,A213)&gt;1,"Duplicate ID",IF(AND(F213="Complete",G213=""),"Evidence missing",IF(AND(F213&lt;&gt;"Not started",F213&lt;&gt;"In progress",F213&lt;&gt;"In review",F213&lt;&gt;"Complete"),"Choose a status",""))))</f>
        <v/>
      </c>
    </row>
    <row r="214" customFormat="false" ht="44" hidden="false" customHeight="true" outlineLevel="0" collapsed="false">
      <c r="A214" s="29"/>
      <c r="B214" s="29"/>
      <c r="C214" s="29"/>
      <c r="D214" s="29"/>
      <c r="E214" s="29"/>
      <c r="F214" s="34"/>
      <c r="G214" s="34"/>
      <c r="H214" s="29"/>
      <c r="I214" s="29"/>
      <c r="J214" s="29"/>
      <c r="K214" s="29"/>
      <c r="L214" s="35" t="str">
        <f aca="false">IF(A214="",IF(SUMPRODUCT(--(B214:D214&lt;&gt;""))+SUMPRODUCT(--(F214:K214&lt;&gt;""))&gt;0,"Missing ID",""),IF(COUNTIF($A$7:$A$307,A214)&gt;1,"Duplicate ID",IF(AND(F214="Complete",G214=""),"Evidence missing",IF(AND(F214&lt;&gt;"Not started",F214&lt;&gt;"In progress",F214&lt;&gt;"In review",F214&lt;&gt;"Complete"),"Choose a status",""))))</f>
        <v/>
      </c>
    </row>
    <row r="215" customFormat="false" ht="44" hidden="false" customHeight="true" outlineLevel="0" collapsed="false">
      <c r="A215" s="29"/>
      <c r="B215" s="29"/>
      <c r="C215" s="29"/>
      <c r="D215" s="29"/>
      <c r="E215" s="29"/>
      <c r="F215" s="34"/>
      <c r="G215" s="34"/>
      <c r="H215" s="29"/>
      <c r="I215" s="29"/>
      <c r="J215" s="29"/>
      <c r="K215" s="29"/>
      <c r="L215" s="35" t="str">
        <f aca="false">IF(A215="",IF(SUMPRODUCT(--(B215:D215&lt;&gt;""))+SUMPRODUCT(--(F215:K215&lt;&gt;""))&gt;0,"Missing ID",""),IF(COUNTIF($A$7:$A$307,A215)&gt;1,"Duplicate ID",IF(AND(F215="Complete",G215=""),"Evidence missing",IF(AND(F215&lt;&gt;"Not started",F215&lt;&gt;"In progress",F215&lt;&gt;"In review",F215&lt;&gt;"Complete"),"Choose a status",""))))</f>
        <v/>
      </c>
    </row>
    <row r="216" customFormat="false" ht="44" hidden="false" customHeight="true" outlineLevel="0" collapsed="false">
      <c r="A216" s="29"/>
      <c r="B216" s="29"/>
      <c r="C216" s="29"/>
      <c r="D216" s="29"/>
      <c r="E216" s="29"/>
      <c r="F216" s="34"/>
      <c r="G216" s="34"/>
      <c r="H216" s="29"/>
      <c r="I216" s="29"/>
      <c r="J216" s="29"/>
      <c r="K216" s="29"/>
      <c r="L216" s="35" t="str">
        <f aca="false">IF(A216="",IF(SUMPRODUCT(--(B216:D216&lt;&gt;""))+SUMPRODUCT(--(F216:K216&lt;&gt;""))&gt;0,"Missing ID",""),IF(COUNTIF($A$7:$A$307,A216)&gt;1,"Duplicate ID",IF(AND(F216="Complete",G216=""),"Evidence missing",IF(AND(F216&lt;&gt;"Not started",F216&lt;&gt;"In progress",F216&lt;&gt;"In review",F216&lt;&gt;"Complete"),"Choose a status",""))))</f>
        <v/>
      </c>
    </row>
    <row r="217" customFormat="false" ht="44" hidden="false" customHeight="true" outlineLevel="0" collapsed="false">
      <c r="A217" s="29"/>
      <c r="B217" s="29"/>
      <c r="C217" s="29"/>
      <c r="D217" s="29"/>
      <c r="E217" s="29"/>
      <c r="F217" s="34"/>
      <c r="G217" s="34"/>
      <c r="H217" s="29"/>
      <c r="I217" s="29"/>
      <c r="J217" s="29"/>
      <c r="K217" s="29"/>
      <c r="L217" s="35" t="str">
        <f aca="false">IF(A217="",IF(SUMPRODUCT(--(B217:D217&lt;&gt;""))+SUMPRODUCT(--(F217:K217&lt;&gt;""))&gt;0,"Missing ID",""),IF(COUNTIF($A$7:$A$307,A217)&gt;1,"Duplicate ID",IF(AND(F217="Complete",G217=""),"Evidence missing",IF(AND(F217&lt;&gt;"Not started",F217&lt;&gt;"In progress",F217&lt;&gt;"In review",F217&lt;&gt;"Complete"),"Choose a status",""))))</f>
        <v/>
      </c>
    </row>
    <row r="218" customFormat="false" ht="44" hidden="false" customHeight="true" outlineLevel="0" collapsed="false">
      <c r="A218" s="29"/>
      <c r="B218" s="29"/>
      <c r="C218" s="29"/>
      <c r="D218" s="29"/>
      <c r="E218" s="29"/>
      <c r="F218" s="34"/>
      <c r="G218" s="34"/>
      <c r="H218" s="29"/>
      <c r="I218" s="29"/>
      <c r="J218" s="29"/>
      <c r="K218" s="29"/>
      <c r="L218" s="35" t="str">
        <f aca="false">IF(A218="",IF(SUMPRODUCT(--(B218:D218&lt;&gt;""))+SUMPRODUCT(--(F218:K218&lt;&gt;""))&gt;0,"Missing ID",""),IF(COUNTIF($A$7:$A$307,A218)&gt;1,"Duplicate ID",IF(AND(F218="Complete",G218=""),"Evidence missing",IF(AND(F218&lt;&gt;"Not started",F218&lt;&gt;"In progress",F218&lt;&gt;"In review",F218&lt;&gt;"Complete"),"Choose a status",""))))</f>
        <v/>
      </c>
    </row>
    <row r="219" customFormat="false" ht="44" hidden="false" customHeight="true" outlineLevel="0" collapsed="false">
      <c r="A219" s="29"/>
      <c r="B219" s="29"/>
      <c r="C219" s="29"/>
      <c r="D219" s="29"/>
      <c r="E219" s="29"/>
      <c r="F219" s="34"/>
      <c r="G219" s="34"/>
      <c r="H219" s="29"/>
      <c r="I219" s="29"/>
      <c r="J219" s="29"/>
      <c r="K219" s="29"/>
      <c r="L219" s="35" t="str">
        <f aca="false">IF(A219="",IF(SUMPRODUCT(--(B219:D219&lt;&gt;""))+SUMPRODUCT(--(F219:K219&lt;&gt;""))&gt;0,"Missing ID",""),IF(COUNTIF($A$7:$A$307,A219)&gt;1,"Duplicate ID",IF(AND(F219="Complete",G219=""),"Evidence missing",IF(AND(F219&lt;&gt;"Not started",F219&lt;&gt;"In progress",F219&lt;&gt;"In review",F219&lt;&gt;"Complete"),"Choose a status",""))))</f>
        <v/>
      </c>
    </row>
    <row r="220" customFormat="false" ht="44" hidden="false" customHeight="true" outlineLevel="0" collapsed="false">
      <c r="A220" s="29"/>
      <c r="B220" s="29"/>
      <c r="C220" s="29"/>
      <c r="D220" s="29"/>
      <c r="E220" s="29"/>
      <c r="F220" s="34"/>
      <c r="G220" s="34"/>
      <c r="H220" s="29"/>
      <c r="I220" s="29"/>
      <c r="J220" s="29"/>
      <c r="K220" s="29"/>
      <c r="L220" s="35" t="str">
        <f aca="false">IF(A220="",IF(SUMPRODUCT(--(B220:D220&lt;&gt;""))+SUMPRODUCT(--(F220:K220&lt;&gt;""))&gt;0,"Missing ID",""),IF(COUNTIF($A$7:$A$307,A220)&gt;1,"Duplicate ID",IF(AND(F220="Complete",G220=""),"Evidence missing",IF(AND(F220&lt;&gt;"Not started",F220&lt;&gt;"In progress",F220&lt;&gt;"In review",F220&lt;&gt;"Complete"),"Choose a status",""))))</f>
        <v/>
      </c>
    </row>
    <row r="221" customFormat="false" ht="44" hidden="false" customHeight="true" outlineLevel="0" collapsed="false">
      <c r="A221" s="29"/>
      <c r="B221" s="29"/>
      <c r="C221" s="29"/>
      <c r="D221" s="29"/>
      <c r="E221" s="29"/>
      <c r="F221" s="34"/>
      <c r="G221" s="34"/>
      <c r="H221" s="29"/>
      <c r="I221" s="29"/>
      <c r="J221" s="29"/>
      <c r="K221" s="29"/>
      <c r="L221" s="35" t="str">
        <f aca="false">IF(A221="",IF(SUMPRODUCT(--(B221:D221&lt;&gt;""))+SUMPRODUCT(--(F221:K221&lt;&gt;""))&gt;0,"Missing ID",""),IF(COUNTIF($A$7:$A$307,A221)&gt;1,"Duplicate ID",IF(AND(F221="Complete",G221=""),"Evidence missing",IF(AND(F221&lt;&gt;"Not started",F221&lt;&gt;"In progress",F221&lt;&gt;"In review",F221&lt;&gt;"Complete"),"Choose a status",""))))</f>
        <v/>
      </c>
    </row>
    <row r="222" customFormat="false" ht="44" hidden="false" customHeight="true" outlineLevel="0" collapsed="false">
      <c r="A222" s="29"/>
      <c r="B222" s="29"/>
      <c r="C222" s="29"/>
      <c r="D222" s="29"/>
      <c r="E222" s="29"/>
      <c r="F222" s="34"/>
      <c r="G222" s="34"/>
      <c r="H222" s="29"/>
      <c r="I222" s="29"/>
      <c r="J222" s="29"/>
      <c r="K222" s="29"/>
      <c r="L222" s="35" t="str">
        <f aca="false">IF(A222="",IF(SUMPRODUCT(--(B222:D222&lt;&gt;""))+SUMPRODUCT(--(F222:K222&lt;&gt;""))&gt;0,"Missing ID",""),IF(COUNTIF($A$7:$A$307,A222)&gt;1,"Duplicate ID",IF(AND(F222="Complete",G222=""),"Evidence missing",IF(AND(F222&lt;&gt;"Not started",F222&lt;&gt;"In progress",F222&lt;&gt;"In review",F222&lt;&gt;"Complete"),"Choose a status",""))))</f>
        <v/>
      </c>
    </row>
    <row r="223" customFormat="false" ht="44" hidden="false" customHeight="true" outlineLevel="0" collapsed="false">
      <c r="A223" s="29"/>
      <c r="B223" s="29"/>
      <c r="C223" s="29"/>
      <c r="D223" s="29"/>
      <c r="E223" s="29"/>
      <c r="F223" s="34"/>
      <c r="G223" s="34"/>
      <c r="H223" s="29"/>
      <c r="I223" s="29"/>
      <c r="J223" s="29"/>
      <c r="K223" s="29"/>
      <c r="L223" s="35" t="str">
        <f aca="false">IF(A223="",IF(SUMPRODUCT(--(B223:D223&lt;&gt;""))+SUMPRODUCT(--(F223:K223&lt;&gt;""))&gt;0,"Missing ID",""),IF(COUNTIF($A$7:$A$307,A223)&gt;1,"Duplicate ID",IF(AND(F223="Complete",G223=""),"Evidence missing",IF(AND(F223&lt;&gt;"Not started",F223&lt;&gt;"In progress",F223&lt;&gt;"In review",F223&lt;&gt;"Complete"),"Choose a status",""))))</f>
        <v/>
      </c>
    </row>
    <row r="224" customFormat="false" ht="44" hidden="false" customHeight="true" outlineLevel="0" collapsed="false">
      <c r="A224" s="29"/>
      <c r="B224" s="29"/>
      <c r="C224" s="29"/>
      <c r="D224" s="29"/>
      <c r="E224" s="29"/>
      <c r="F224" s="34"/>
      <c r="G224" s="34"/>
      <c r="H224" s="29"/>
      <c r="I224" s="29"/>
      <c r="J224" s="29"/>
      <c r="K224" s="29"/>
      <c r="L224" s="35" t="str">
        <f aca="false">IF(A224="",IF(SUMPRODUCT(--(B224:D224&lt;&gt;""))+SUMPRODUCT(--(F224:K224&lt;&gt;""))&gt;0,"Missing ID",""),IF(COUNTIF($A$7:$A$307,A224)&gt;1,"Duplicate ID",IF(AND(F224="Complete",G224=""),"Evidence missing",IF(AND(F224&lt;&gt;"Not started",F224&lt;&gt;"In progress",F224&lt;&gt;"In review",F224&lt;&gt;"Complete"),"Choose a status",""))))</f>
        <v/>
      </c>
    </row>
    <row r="225" customFormat="false" ht="44" hidden="false" customHeight="true" outlineLevel="0" collapsed="false">
      <c r="A225" s="29"/>
      <c r="B225" s="29"/>
      <c r="C225" s="29"/>
      <c r="D225" s="29"/>
      <c r="E225" s="29"/>
      <c r="F225" s="34"/>
      <c r="G225" s="34"/>
      <c r="H225" s="29"/>
      <c r="I225" s="29"/>
      <c r="J225" s="29"/>
      <c r="K225" s="29"/>
      <c r="L225" s="35" t="str">
        <f aca="false">IF(A225="",IF(SUMPRODUCT(--(B225:D225&lt;&gt;""))+SUMPRODUCT(--(F225:K225&lt;&gt;""))&gt;0,"Missing ID",""),IF(COUNTIF($A$7:$A$307,A225)&gt;1,"Duplicate ID",IF(AND(F225="Complete",G225=""),"Evidence missing",IF(AND(F225&lt;&gt;"Not started",F225&lt;&gt;"In progress",F225&lt;&gt;"In review",F225&lt;&gt;"Complete"),"Choose a status",""))))</f>
        <v/>
      </c>
    </row>
    <row r="226" customFormat="false" ht="44" hidden="false" customHeight="true" outlineLevel="0" collapsed="false">
      <c r="A226" s="29"/>
      <c r="B226" s="29"/>
      <c r="C226" s="29"/>
      <c r="D226" s="29"/>
      <c r="E226" s="29"/>
      <c r="F226" s="34"/>
      <c r="G226" s="34"/>
      <c r="H226" s="29"/>
      <c r="I226" s="29"/>
      <c r="J226" s="29"/>
      <c r="K226" s="29"/>
      <c r="L226" s="35" t="str">
        <f aca="false">IF(A226="",IF(SUMPRODUCT(--(B226:D226&lt;&gt;""))+SUMPRODUCT(--(F226:K226&lt;&gt;""))&gt;0,"Missing ID",""),IF(COUNTIF($A$7:$A$307,A226)&gt;1,"Duplicate ID",IF(AND(F226="Complete",G226=""),"Evidence missing",IF(AND(F226&lt;&gt;"Not started",F226&lt;&gt;"In progress",F226&lt;&gt;"In review",F226&lt;&gt;"Complete"),"Choose a status",""))))</f>
        <v/>
      </c>
    </row>
    <row r="227" customFormat="false" ht="44" hidden="false" customHeight="true" outlineLevel="0" collapsed="false">
      <c r="A227" s="29"/>
      <c r="B227" s="29"/>
      <c r="C227" s="29"/>
      <c r="D227" s="29"/>
      <c r="E227" s="29"/>
      <c r="F227" s="34"/>
      <c r="G227" s="34"/>
      <c r="H227" s="29"/>
      <c r="I227" s="29"/>
      <c r="J227" s="29"/>
      <c r="K227" s="29"/>
      <c r="L227" s="35" t="str">
        <f aca="false">IF(A227="",IF(SUMPRODUCT(--(B227:D227&lt;&gt;""))+SUMPRODUCT(--(F227:K227&lt;&gt;""))&gt;0,"Missing ID",""),IF(COUNTIF($A$7:$A$307,A227)&gt;1,"Duplicate ID",IF(AND(F227="Complete",G227=""),"Evidence missing",IF(AND(F227&lt;&gt;"Not started",F227&lt;&gt;"In progress",F227&lt;&gt;"In review",F227&lt;&gt;"Complete"),"Choose a status",""))))</f>
        <v/>
      </c>
    </row>
    <row r="228" customFormat="false" ht="44" hidden="false" customHeight="true" outlineLevel="0" collapsed="false">
      <c r="A228" s="29"/>
      <c r="B228" s="29"/>
      <c r="C228" s="29"/>
      <c r="D228" s="29"/>
      <c r="E228" s="29"/>
      <c r="F228" s="34"/>
      <c r="G228" s="34"/>
      <c r="H228" s="29"/>
      <c r="I228" s="29"/>
      <c r="J228" s="29"/>
      <c r="K228" s="29"/>
      <c r="L228" s="35" t="str">
        <f aca="false">IF(A228="",IF(SUMPRODUCT(--(B228:D228&lt;&gt;""))+SUMPRODUCT(--(F228:K228&lt;&gt;""))&gt;0,"Missing ID",""),IF(COUNTIF($A$7:$A$307,A228)&gt;1,"Duplicate ID",IF(AND(F228="Complete",G228=""),"Evidence missing",IF(AND(F228&lt;&gt;"Not started",F228&lt;&gt;"In progress",F228&lt;&gt;"In review",F228&lt;&gt;"Complete"),"Choose a status",""))))</f>
        <v/>
      </c>
    </row>
    <row r="229" customFormat="false" ht="44" hidden="false" customHeight="true" outlineLevel="0" collapsed="false">
      <c r="A229" s="29"/>
      <c r="B229" s="29"/>
      <c r="C229" s="29"/>
      <c r="D229" s="29"/>
      <c r="E229" s="29"/>
      <c r="F229" s="34"/>
      <c r="G229" s="34"/>
      <c r="H229" s="29"/>
      <c r="I229" s="29"/>
      <c r="J229" s="29"/>
      <c r="K229" s="29"/>
      <c r="L229" s="35" t="str">
        <f aca="false">IF(A229="",IF(SUMPRODUCT(--(B229:D229&lt;&gt;""))+SUMPRODUCT(--(F229:K229&lt;&gt;""))&gt;0,"Missing ID",""),IF(COUNTIF($A$7:$A$307,A229)&gt;1,"Duplicate ID",IF(AND(F229="Complete",G229=""),"Evidence missing",IF(AND(F229&lt;&gt;"Not started",F229&lt;&gt;"In progress",F229&lt;&gt;"In review",F229&lt;&gt;"Complete"),"Choose a status",""))))</f>
        <v/>
      </c>
    </row>
    <row r="230" customFormat="false" ht="44" hidden="false" customHeight="true" outlineLevel="0" collapsed="false">
      <c r="A230" s="29"/>
      <c r="B230" s="29"/>
      <c r="C230" s="29"/>
      <c r="D230" s="29"/>
      <c r="E230" s="29"/>
      <c r="F230" s="34"/>
      <c r="G230" s="34"/>
      <c r="H230" s="29"/>
      <c r="I230" s="29"/>
      <c r="J230" s="29"/>
      <c r="K230" s="29"/>
      <c r="L230" s="35" t="str">
        <f aca="false">IF(A230="",IF(SUMPRODUCT(--(B230:D230&lt;&gt;""))+SUMPRODUCT(--(F230:K230&lt;&gt;""))&gt;0,"Missing ID",""),IF(COUNTIF($A$7:$A$307,A230)&gt;1,"Duplicate ID",IF(AND(F230="Complete",G230=""),"Evidence missing",IF(AND(F230&lt;&gt;"Not started",F230&lt;&gt;"In progress",F230&lt;&gt;"In review",F230&lt;&gt;"Complete"),"Choose a status",""))))</f>
        <v/>
      </c>
    </row>
    <row r="231" customFormat="false" ht="44" hidden="false" customHeight="true" outlineLevel="0" collapsed="false">
      <c r="A231" s="29"/>
      <c r="B231" s="29"/>
      <c r="C231" s="29"/>
      <c r="D231" s="29"/>
      <c r="E231" s="29"/>
      <c r="F231" s="34"/>
      <c r="G231" s="34"/>
      <c r="H231" s="29"/>
      <c r="I231" s="29"/>
      <c r="J231" s="29"/>
      <c r="K231" s="29"/>
      <c r="L231" s="35" t="str">
        <f aca="false">IF(A231="",IF(SUMPRODUCT(--(B231:D231&lt;&gt;""))+SUMPRODUCT(--(F231:K231&lt;&gt;""))&gt;0,"Missing ID",""),IF(COUNTIF($A$7:$A$307,A231)&gt;1,"Duplicate ID",IF(AND(F231="Complete",G231=""),"Evidence missing",IF(AND(F231&lt;&gt;"Not started",F231&lt;&gt;"In progress",F231&lt;&gt;"In review",F231&lt;&gt;"Complete"),"Choose a status",""))))</f>
        <v/>
      </c>
    </row>
    <row r="232" customFormat="false" ht="44" hidden="false" customHeight="true" outlineLevel="0" collapsed="false">
      <c r="A232" s="29"/>
      <c r="B232" s="29"/>
      <c r="C232" s="29"/>
      <c r="D232" s="29"/>
      <c r="E232" s="29"/>
      <c r="F232" s="34"/>
      <c r="G232" s="34"/>
      <c r="H232" s="29"/>
      <c r="I232" s="29"/>
      <c r="J232" s="29"/>
      <c r="K232" s="29"/>
      <c r="L232" s="35" t="str">
        <f aca="false">IF(A232="",IF(SUMPRODUCT(--(B232:D232&lt;&gt;""))+SUMPRODUCT(--(F232:K232&lt;&gt;""))&gt;0,"Missing ID",""),IF(COUNTIF($A$7:$A$307,A232)&gt;1,"Duplicate ID",IF(AND(F232="Complete",G232=""),"Evidence missing",IF(AND(F232&lt;&gt;"Not started",F232&lt;&gt;"In progress",F232&lt;&gt;"In review",F232&lt;&gt;"Complete"),"Choose a status",""))))</f>
        <v/>
      </c>
    </row>
    <row r="233" customFormat="false" ht="44" hidden="false" customHeight="true" outlineLevel="0" collapsed="false">
      <c r="A233" s="29"/>
      <c r="B233" s="29"/>
      <c r="C233" s="29"/>
      <c r="D233" s="29"/>
      <c r="E233" s="29"/>
      <c r="F233" s="34"/>
      <c r="G233" s="34"/>
      <c r="H233" s="29"/>
      <c r="I233" s="29"/>
      <c r="J233" s="29"/>
      <c r="K233" s="29"/>
      <c r="L233" s="35" t="str">
        <f aca="false">IF(A233="",IF(SUMPRODUCT(--(B233:D233&lt;&gt;""))+SUMPRODUCT(--(F233:K233&lt;&gt;""))&gt;0,"Missing ID",""),IF(COUNTIF($A$7:$A$307,A233)&gt;1,"Duplicate ID",IF(AND(F233="Complete",G233=""),"Evidence missing",IF(AND(F233&lt;&gt;"Not started",F233&lt;&gt;"In progress",F233&lt;&gt;"In review",F233&lt;&gt;"Complete"),"Choose a status",""))))</f>
        <v/>
      </c>
    </row>
    <row r="234" customFormat="false" ht="44" hidden="false" customHeight="true" outlineLevel="0" collapsed="false">
      <c r="A234" s="29"/>
      <c r="B234" s="29"/>
      <c r="C234" s="29"/>
      <c r="D234" s="29"/>
      <c r="E234" s="29"/>
      <c r="F234" s="34"/>
      <c r="G234" s="34"/>
      <c r="H234" s="29"/>
      <c r="I234" s="29"/>
      <c r="J234" s="29"/>
      <c r="K234" s="29"/>
      <c r="L234" s="35" t="str">
        <f aca="false">IF(A234="",IF(SUMPRODUCT(--(B234:D234&lt;&gt;""))+SUMPRODUCT(--(F234:K234&lt;&gt;""))&gt;0,"Missing ID",""),IF(COUNTIF($A$7:$A$307,A234)&gt;1,"Duplicate ID",IF(AND(F234="Complete",G234=""),"Evidence missing",IF(AND(F234&lt;&gt;"Not started",F234&lt;&gt;"In progress",F234&lt;&gt;"In review",F234&lt;&gt;"Complete"),"Choose a status",""))))</f>
        <v/>
      </c>
    </row>
    <row r="235" customFormat="false" ht="44" hidden="false" customHeight="true" outlineLevel="0" collapsed="false">
      <c r="A235" s="29"/>
      <c r="B235" s="29"/>
      <c r="C235" s="29"/>
      <c r="D235" s="29"/>
      <c r="E235" s="29"/>
      <c r="F235" s="34"/>
      <c r="G235" s="34"/>
      <c r="H235" s="29"/>
      <c r="I235" s="29"/>
      <c r="J235" s="29"/>
      <c r="K235" s="29"/>
      <c r="L235" s="35" t="str">
        <f aca="false">IF(A235="",IF(SUMPRODUCT(--(B235:D235&lt;&gt;""))+SUMPRODUCT(--(F235:K235&lt;&gt;""))&gt;0,"Missing ID",""),IF(COUNTIF($A$7:$A$307,A235)&gt;1,"Duplicate ID",IF(AND(F235="Complete",G235=""),"Evidence missing",IF(AND(F235&lt;&gt;"Not started",F235&lt;&gt;"In progress",F235&lt;&gt;"In review",F235&lt;&gt;"Complete"),"Choose a status",""))))</f>
        <v/>
      </c>
    </row>
    <row r="236" customFormat="false" ht="44" hidden="false" customHeight="true" outlineLevel="0" collapsed="false">
      <c r="A236" s="29"/>
      <c r="B236" s="29"/>
      <c r="C236" s="29"/>
      <c r="D236" s="29"/>
      <c r="E236" s="29"/>
      <c r="F236" s="34"/>
      <c r="G236" s="34"/>
      <c r="H236" s="29"/>
      <c r="I236" s="29"/>
      <c r="J236" s="29"/>
      <c r="K236" s="29"/>
      <c r="L236" s="35" t="str">
        <f aca="false">IF(A236="",IF(SUMPRODUCT(--(B236:D236&lt;&gt;""))+SUMPRODUCT(--(F236:K236&lt;&gt;""))&gt;0,"Missing ID",""),IF(COUNTIF($A$7:$A$307,A236)&gt;1,"Duplicate ID",IF(AND(F236="Complete",G236=""),"Evidence missing",IF(AND(F236&lt;&gt;"Not started",F236&lt;&gt;"In progress",F236&lt;&gt;"In review",F236&lt;&gt;"Complete"),"Choose a status",""))))</f>
        <v/>
      </c>
    </row>
    <row r="237" customFormat="false" ht="44" hidden="false" customHeight="true" outlineLevel="0" collapsed="false">
      <c r="A237" s="29"/>
      <c r="B237" s="29"/>
      <c r="C237" s="29"/>
      <c r="D237" s="29"/>
      <c r="E237" s="29"/>
      <c r="F237" s="34"/>
      <c r="G237" s="34"/>
      <c r="H237" s="29"/>
      <c r="I237" s="29"/>
      <c r="J237" s="29"/>
      <c r="K237" s="29"/>
      <c r="L237" s="35" t="str">
        <f aca="false">IF(A237="",IF(SUMPRODUCT(--(B237:D237&lt;&gt;""))+SUMPRODUCT(--(F237:K237&lt;&gt;""))&gt;0,"Missing ID",""),IF(COUNTIF($A$7:$A$307,A237)&gt;1,"Duplicate ID",IF(AND(F237="Complete",G237=""),"Evidence missing",IF(AND(F237&lt;&gt;"Not started",F237&lt;&gt;"In progress",F237&lt;&gt;"In review",F237&lt;&gt;"Complete"),"Choose a status",""))))</f>
        <v/>
      </c>
    </row>
    <row r="238" customFormat="false" ht="44" hidden="false" customHeight="true" outlineLevel="0" collapsed="false">
      <c r="A238" s="29"/>
      <c r="B238" s="29"/>
      <c r="C238" s="29"/>
      <c r="D238" s="29"/>
      <c r="E238" s="29"/>
      <c r="F238" s="34"/>
      <c r="G238" s="34"/>
      <c r="H238" s="29"/>
      <c r="I238" s="29"/>
      <c r="J238" s="29"/>
      <c r="K238" s="29"/>
      <c r="L238" s="35" t="str">
        <f aca="false">IF(A238="",IF(SUMPRODUCT(--(B238:D238&lt;&gt;""))+SUMPRODUCT(--(F238:K238&lt;&gt;""))&gt;0,"Missing ID",""),IF(COUNTIF($A$7:$A$307,A238)&gt;1,"Duplicate ID",IF(AND(F238="Complete",G238=""),"Evidence missing",IF(AND(F238&lt;&gt;"Not started",F238&lt;&gt;"In progress",F238&lt;&gt;"In review",F238&lt;&gt;"Complete"),"Choose a status",""))))</f>
        <v/>
      </c>
    </row>
    <row r="239" customFormat="false" ht="44" hidden="false" customHeight="true" outlineLevel="0" collapsed="false">
      <c r="A239" s="29"/>
      <c r="B239" s="29"/>
      <c r="C239" s="29"/>
      <c r="D239" s="29"/>
      <c r="E239" s="29"/>
      <c r="F239" s="34"/>
      <c r="G239" s="34"/>
      <c r="H239" s="29"/>
      <c r="I239" s="29"/>
      <c r="J239" s="29"/>
      <c r="K239" s="29"/>
      <c r="L239" s="35" t="str">
        <f aca="false">IF(A239="",IF(SUMPRODUCT(--(B239:D239&lt;&gt;""))+SUMPRODUCT(--(F239:K239&lt;&gt;""))&gt;0,"Missing ID",""),IF(COUNTIF($A$7:$A$307,A239)&gt;1,"Duplicate ID",IF(AND(F239="Complete",G239=""),"Evidence missing",IF(AND(F239&lt;&gt;"Not started",F239&lt;&gt;"In progress",F239&lt;&gt;"In review",F239&lt;&gt;"Complete"),"Choose a status",""))))</f>
        <v/>
      </c>
    </row>
    <row r="240" customFormat="false" ht="44" hidden="false" customHeight="true" outlineLevel="0" collapsed="false">
      <c r="A240" s="29"/>
      <c r="B240" s="29"/>
      <c r="C240" s="29"/>
      <c r="D240" s="29"/>
      <c r="E240" s="29"/>
      <c r="F240" s="34"/>
      <c r="G240" s="34"/>
      <c r="H240" s="29"/>
      <c r="I240" s="29"/>
      <c r="J240" s="29"/>
      <c r="K240" s="29"/>
      <c r="L240" s="35" t="str">
        <f aca="false">IF(A240="",IF(SUMPRODUCT(--(B240:D240&lt;&gt;""))+SUMPRODUCT(--(F240:K240&lt;&gt;""))&gt;0,"Missing ID",""),IF(COUNTIF($A$7:$A$307,A240)&gt;1,"Duplicate ID",IF(AND(F240="Complete",G240=""),"Evidence missing",IF(AND(F240&lt;&gt;"Not started",F240&lt;&gt;"In progress",F240&lt;&gt;"In review",F240&lt;&gt;"Complete"),"Choose a status",""))))</f>
        <v/>
      </c>
    </row>
    <row r="241" customFormat="false" ht="44" hidden="false" customHeight="true" outlineLevel="0" collapsed="false">
      <c r="A241" s="29"/>
      <c r="B241" s="29"/>
      <c r="C241" s="29"/>
      <c r="D241" s="29"/>
      <c r="E241" s="29"/>
      <c r="F241" s="34"/>
      <c r="G241" s="34"/>
      <c r="H241" s="29"/>
      <c r="I241" s="29"/>
      <c r="J241" s="29"/>
      <c r="K241" s="29"/>
      <c r="L241" s="35" t="str">
        <f aca="false">IF(A241="",IF(SUMPRODUCT(--(B241:D241&lt;&gt;""))+SUMPRODUCT(--(F241:K241&lt;&gt;""))&gt;0,"Missing ID",""),IF(COUNTIF($A$7:$A$307,A241)&gt;1,"Duplicate ID",IF(AND(F241="Complete",G241=""),"Evidence missing",IF(AND(F241&lt;&gt;"Not started",F241&lt;&gt;"In progress",F241&lt;&gt;"In review",F241&lt;&gt;"Complete"),"Choose a status",""))))</f>
        <v/>
      </c>
    </row>
    <row r="242" customFormat="false" ht="44" hidden="false" customHeight="true" outlineLevel="0" collapsed="false">
      <c r="A242" s="29"/>
      <c r="B242" s="29"/>
      <c r="C242" s="29"/>
      <c r="D242" s="29"/>
      <c r="E242" s="29"/>
      <c r="F242" s="34"/>
      <c r="G242" s="34"/>
      <c r="H242" s="29"/>
      <c r="I242" s="29"/>
      <c r="J242" s="29"/>
      <c r="K242" s="29"/>
      <c r="L242" s="35" t="str">
        <f aca="false">IF(A242="",IF(SUMPRODUCT(--(B242:D242&lt;&gt;""))+SUMPRODUCT(--(F242:K242&lt;&gt;""))&gt;0,"Missing ID",""),IF(COUNTIF($A$7:$A$307,A242)&gt;1,"Duplicate ID",IF(AND(F242="Complete",G242=""),"Evidence missing",IF(AND(F242&lt;&gt;"Not started",F242&lt;&gt;"In progress",F242&lt;&gt;"In review",F242&lt;&gt;"Complete"),"Choose a status",""))))</f>
        <v/>
      </c>
    </row>
    <row r="243" customFormat="false" ht="44" hidden="false" customHeight="true" outlineLevel="0" collapsed="false">
      <c r="A243" s="29"/>
      <c r="B243" s="29"/>
      <c r="C243" s="29"/>
      <c r="D243" s="29"/>
      <c r="E243" s="29"/>
      <c r="F243" s="34"/>
      <c r="G243" s="34"/>
      <c r="H243" s="29"/>
      <c r="I243" s="29"/>
      <c r="J243" s="29"/>
      <c r="K243" s="29"/>
      <c r="L243" s="35" t="str">
        <f aca="false">IF(A243="",IF(SUMPRODUCT(--(B243:D243&lt;&gt;""))+SUMPRODUCT(--(F243:K243&lt;&gt;""))&gt;0,"Missing ID",""),IF(COUNTIF($A$7:$A$307,A243)&gt;1,"Duplicate ID",IF(AND(F243="Complete",G243=""),"Evidence missing",IF(AND(F243&lt;&gt;"Not started",F243&lt;&gt;"In progress",F243&lt;&gt;"In review",F243&lt;&gt;"Complete"),"Choose a status",""))))</f>
        <v/>
      </c>
    </row>
    <row r="244" customFormat="false" ht="44" hidden="false" customHeight="true" outlineLevel="0" collapsed="false">
      <c r="A244" s="29"/>
      <c r="B244" s="29"/>
      <c r="C244" s="29"/>
      <c r="D244" s="29"/>
      <c r="E244" s="29"/>
      <c r="F244" s="34"/>
      <c r="G244" s="34"/>
      <c r="H244" s="29"/>
      <c r="I244" s="29"/>
      <c r="J244" s="29"/>
      <c r="K244" s="29"/>
      <c r="L244" s="35" t="str">
        <f aca="false">IF(A244="",IF(SUMPRODUCT(--(B244:D244&lt;&gt;""))+SUMPRODUCT(--(F244:K244&lt;&gt;""))&gt;0,"Missing ID",""),IF(COUNTIF($A$7:$A$307,A244)&gt;1,"Duplicate ID",IF(AND(F244="Complete",G244=""),"Evidence missing",IF(AND(F244&lt;&gt;"Not started",F244&lt;&gt;"In progress",F244&lt;&gt;"In review",F244&lt;&gt;"Complete"),"Choose a status",""))))</f>
        <v/>
      </c>
    </row>
    <row r="245" customFormat="false" ht="44" hidden="false" customHeight="true" outlineLevel="0" collapsed="false">
      <c r="A245" s="29"/>
      <c r="B245" s="29"/>
      <c r="C245" s="29"/>
      <c r="D245" s="29"/>
      <c r="E245" s="29"/>
      <c r="F245" s="34"/>
      <c r="G245" s="34"/>
      <c r="H245" s="29"/>
      <c r="I245" s="29"/>
      <c r="J245" s="29"/>
      <c r="K245" s="29"/>
      <c r="L245" s="35" t="str">
        <f aca="false">IF(A245="",IF(SUMPRODUCT(--(B245:D245&lt;&gt;""))+SUMPRODUCT(--(F245:K245&lt;&gt;""))&gt;0,"Missing ID",""),IF(COUNTIF($A$7:$A$307,A245)&gt;1,"Duplicate ID",IF(AND(F245="Complete",G245=""),"Evidence missing",IF(AND(F245&lt;&gt;"Not started",F245&lt;&gt;"In progress",F245&lt;&gt;"In review",F245&lt;&gt;"Complete"),"Choose a status",""))))</f>
        <v/>
      </c>
    </row>
    <row r="246" customFormat="false" ht="44" hidden="false" customHeight="true" outlineLevel="0" collapsed="false">
      <c r="A246" s="29"/>
      <c r="B246" s="29"/>
      <c r="C246" s="29"/>
      <c r="D246" s="29"/>
      <c r="E246" s="29"/>
      <c r="F246" s="34"/>
      <c r="G246" s="34"/>
      <c r="H246" s="29"/>
      <c r="I246" s="29"/>
      <c r="J246" s="29"/>
      <c r="K246" s="29"/>
      <c r="L246" s="35" t="str">
        <f aca="false">IF(A246="",IF(SUMPRODUCT(--(B246:D246&lt;&gt;""))+SUMPRODUCT(--(F246:K246&lt;&gt;""))&gt;0,"Missing ID",""),IF(COUNTIF($A$7:$A$307,A246)&gt;1,"Duplicate ID",IF(AND(F246="Complete",G246=""),"Evidence missing",IF(AND(F246&lt;&gt;"Not started",F246&lt;&gt;"In progress",F246&lt;&gt;"In review",F246&lt;&gt;"Complete"),"Choose a status",""))))</f>
        <v/>
      </c>
    </row>
    <row r="247" customFormat="false" ht="44" hidden="false" customHeight="true" outlineLevel="0" collapsed="false">
      <c r="A247" s="29"/>
      <c r="B247" s="29"/>
      <c r="C247" s="29"/>
      <c r="D247" s="29"/>
      <c r="E247" s="29"/>
      <c r="F247" s="34"/>
      <c r="G247" s="34"/>
      <c r="H247" s="29"/>
      <c r="I247" s="29"/>
      <c r="J247" s="29"/>
      <c r="K247" s="29"/>
      <c r="L247" s="35" t="str">
        <f aca="false">IF(A247="",IF(SUMPRODUCT(--(B247:D247&lt;&gt;""))+SUMPRODUCT(--(F247:K247&lt;&gt;""))&gt;0,"Missing ID",""),IF(COUNTIF($A$7:$A$307,A247)&gt;1,"Duplicate ID",IF(AND(F247="Complete",G247=""),"Evidence missing",IF(AND(F247&lt;&gt;"Not started",F247&lt;&gt;"In progress",F247&lt;&gt;"In review",F247&lt;&gt;"Complete"),"Choose a status",""))))</f>
        <v/>
      </c>
    </row>
    <row r="248" customFormat="false" ht="44" hidden="false" customHeight="true" outlineLevel="0" collapsed="false">
      <c r="A248" s="29"/>
      <c r="B248" s="29"/>
      <c r="C248" s="29"/>
      <c r="D248" s="29"/>
      <c r="E248" s="29"/>
      <c r="F248" s="34"/>
      <c r="G248" s="34"/>
      <c r="H248" s="29"/>
      <c r="I248" s="29"/>
      <c r="J248" s="29"/>
      <c r="K248" s="29"/>
      <c r="L248" s="35" t="str">
        <f aca="false">IF(A248="",IF(SUMPRODUCT(--(B248:D248&lt;&gt;""))+SUMPRODUCT(--(F248:K248&lt;&gt;""))&gt;0,"Missing ID",""),IF(COUNTIF($A$7:$A$307,A248)&gt;1,"Duplicate ID",IF(AND(F248="Complete",G248=""),"Evidence missing",IF(AND(F248&lt;&gt;"Not started",F248&lt;&gt;"In progress",F248&lt;&gt;"In review",F248&lt;&gt;"Complete"),"Choose a status",""))))</f>
        <v/>
      </c>
    </row>
    <row r="249" customFormat="false" ht="44" hidden="false" customHeight="true" outlineLevel="0" collapsed="false">
      <c r="A249" s="29"/>
      <c r="B249" s="29"/>
      <c r="C249" s="29"/>
      <c r="D249" s="29"/>
      <c r="E249" s="29"/>
      <c r="F249" s="34"/>
      <c r="G249" s="34"/>
      <c r="H249" s="29"/>
      <c r="I249" s="29"/>
      <c r="J249" s="29"/>
      <c r="K249" s="29"/>
      <c r="L249" s="35" t="str">
        <f aca="false">IF(A249="",IF(SUMPRODUCT(--(B249:D249&lt;&gt;""))+SUMPRODUCT(--(F249:K249&lt;&gt;""))&gt;0,"Missing ID",""),IF(COUNTIF($A$7:$A$307,A249)&gt;1,"Duplicate ID",IF(AND(F249="Complete",G249=""),"Evidence missing",IF(AND(F249&lt;&gt;"Not started",F249&lt;&gt;"In progress",F249&lt;&gt;"In review",F249&lt;&gt;"Complete"),"Choose a status",""))))</f>
        <v/>
      </c>
    </row>
    <row r="250" customFormat="false" ht="44" hidden="false" customHeight="true" outlineLevel="0" collapsed="false">
      <c r="A250" s="29"/>
      <c r="B250" s="29"/>
      <c r="C250" s="29"/>
      <c r="D250" s="29"/>
      <c r="E250" s="29"/>
      <c r="F250" s="34"/>
      <c r="G250" s="34"/>
      <c r="H250" s="29"/>
      <c r="I250" s="29"/>
      <c r="J250" s="29"/>
      <c r="K250" s="29"/>
      <c r="L250" s="35" t="str">
        <f aca="false">IF(A250="",IF(SUMPRODUCT(--(B250:D250&lt;&gt;""))+SUMPRODUCT(--(F250:K250&lt;&gt;""))&gt;0,"Missing ID",""),IF(COUNTIF($A$7:$A$307,A250)&gt;1,"Duplicate ID",IF(AND(F250="Complete",G250=""),"Evidence missing",IF(AND(F250&lt;&gt;"Not started",F250&lt;&gt;"In progress",F250&lt;&gt;"In review",F250&lt;&gt;"Complete"),"Choose a status",""))))</f>
        <v/>
      </c>
    </row>
    <row r="251" customFormat="false" ht="44" hidden="false" customHeight="true" outlineLevel="0" collapsed="false">
      <c r="A251" s="29"/>
      <c r="B251" s="29"/>
      <c r="C251" s="29"/>
      <c r="D251" s="29"/>
      <c r="E251" s="29"/>
      <c r="F251" s="34"/>
      <c r="G251" s="34"/>
      <c r="H251" s="29"/>
      <c r="I251" s="29"/>
      <c r="J251" s="29"/>
      <c r="K251" s="29"/>
      <c r="L251" s="35" t="str">
        <f aca="false">IF(A251="",IF(SUMPRODUCT(--(B251:D251&lt;&gt;""))+SUMPRODUCT(--(F251:K251&lt;&gt;""))&gt;0,"Missing ID",""),IF(COUNTIF($A$7:$A$307,A251)&gt;1,"Duplicate ID",IF(AND(F251="Complete",G251=""),"Evidence missing",IF(AND(F251&lt;&gt;"Not started",F251&lt;&gt;"In progress",F251&lt;&gt;"In review",F251&lt;&gt;"Complete"),"Choose a status",""))))</f>
        <v/>
      </c>
    </row>
    <row r="252" customFormat="false" ht="44" hidden="false" customHeight="true" outlineLevel="0" collapsed="false">
      <c r="A252" s="29"/>
      <c r="B252" s="29"/>
      <c r="C252" s="29"/>
      <c r="D252" s="29"/>
      <c r="E252" s="29"/>
      <c r="F252" s="34"/>
      <c r="G252" s="34"/>
      <c r="H252" s="29"/>
      <c r="I252" s="29"/>
      <c r="J252" s="29"/>
      <c r="K252" s="29"/>
      <c r="L252" s="35" t="str">
        <f aca="false">IF(A252="",IF(SUMPRODUCT(--(B252:D252&lt;&gt;""))+SUMPRODUCT(--(F252:K252&lt;&gt;""))&gt;0,"Missing ID",""),IF(COUNTIF($A$7:$A$307,A252)&gt;1,"Duplicate ID",IF(AND(F252="Complete",G252=""),"Evidence missing",IF(AND(F252&lt;&gt;"Not started",F252&lt;&gt;"In progress",F252&lt;&gt;"In review",F252&lt;&gt;"Complete"),"Choose a status",""))))</f>
        <v/>
      </c>
    </row>
    <row r="253" customFormat="false" ht="44" hidden="false" customHeight="true" outlineLevel="0" collapsed="false">
      <c r="A253" s="29"/>
      <c r="B253" s="29"/>
      <c r="C253" s="29"/>
      <c r="D253" s="29"/>
      <c r="E253" s="29"/>
      <c r="F253" s="34"/>
      <c r="G253" s="34"/>
      <c r="H253" s="29"/>
      <c r="I253" s="29"/>
      <c r="J253" s="29"/>
      <c r="K253" s="29"/>
      <c r="L253" s="35" t="str">
        <f aca="false">IF(A253="",IF(SUMPRODUCT(--(B253:D253&lt;&gt;""))+SUMPRODUCT(--(F253:K253&lt;&gt;""))&gt;0,"Missing ID",""),IF(COUNTIF($A$7:$A$307,A253)&gt;1,"Duplicate ID",IF(AND(F253="Complete",G253=""),"Evidence missing",IF(AND(F253&lt;&gt;"Not started",F253&lt;&gt;"In progress",F253&lt;&gt;"In review",F253&lt;&gt;"Complete"),"Choose a status",""))))</f>
        <v/>
      </c>
    </row>
    <row r="254" customFormat="false" ht="44" hidden="false" customHeight="true" outlineLevel="0" collapsed="false">
      <c r="A254" s="29"/>
      <c r="B254" s="29"/>
      <c r="C254" s="29"/>
      <c r="D254" s="29"/>
      <c r="E254" s="29"/>
      <c r="F254" s="34"/>
      <c r="G254" s="34"/>
      <c r="H254" s="29"/>
      <c r="I254" s="29"/>
      <c r="J254" s="29"/>
      <c r="K254" s="29"/>
      <c r="L254" s="35" t="str">
        <f aca="false">IF(A254="",IF(SUMPRODUCT(--(B254:D254&lt;&gt;""))+SUMPRODUCT(--(F254:K254&lt;&gt;""))&gt;0,"Missing ID",""),IF(COUNTIF($A$7:$A$307,A254)&gt;1,"Duplicate ID",IF(AND(F254="Complete",G254=""),"Evidence missing",IF(AND(F254&lt;&gt;"Not started",F254&lt;&gt;"In progress",F254&lt;&gt;"In review",F254&lt;&gt;"Complete"),"Choose a status",""))))</f>
        <v/>
      </c>
    </row>
    <row r="255" customFormat="false" ht="44" hidden="false" customHeight="true" outlineLevel="0" collapsed="false">
      <c r="A255" s="29"/>
      <c r="B255" s="29"/>
      <c r="C255" s="29"/>
      <c r="D255" s="29"/>
      <c r="E255" s="29"/>
      <c r="F255" s="34"/>
      <c r="G255" s="34"/>
      <c r="H255" s="29"/>
      <c r="I255" s="29"/>
      <c r="J255" s="29"/>
      <c r="K255" s="29"/>
      <c r="L255" s="35" t="str">
        <f aca="false">IF(A255="",IF(SUMPRODUCT(--(B255:D255&lt;&gt;""))+SUMPRODUCT(--(F255:K255&lt;&gt;""))&gt;0,"Missing ID",""),IF(COUNTIF($A$7:$A$307,A255)&gt;1,"Duplicate ID",IF(AND(F255="Complete",G255=""),"Evidence missing",IF(AND(F255&lt;&gt;"Not started",F255&lt;&gt;"In progress",F255&lt;&gt;"In review",F255&lt;&gt;"Complete"),"Choose a status",""))))</f>
        <v/>
      </c>
    </row>
    <row r="256" customFormat="false" ht="44" hidden="false" customHeight="true" outlineLevel="0" collapsed="false">
      <c r="A256" s="29"/>
      <c r="B256" s="29"/>
      <c r="C256" s="29"/>
      <c r="D256" s="29"/>
      <c r="E256" s="29"/>
      <c r="F256" s="34"/>
      <c r="G256" s="34"/>
      <c r="H256" s="29"/>
      <c r="I256" s="29"/>
      <c r="J256" s="29"/>
      <c r="K256" s="29"/>
      <c r="L256" s="35" t="str">
        <f aca="false">IF(A256="",IF(SUMPRODUCT(--(B256:D256&lt;&gt;""))+SUMPRODUCT(--(F256:K256&lt;&gt;""))&gt;0,"Missing ID",""),IF(COUNTIF($A$7:$A$307,A256)&gt;1,"Duplicate ID",IF(AND(F256="Complete",G256=""),"Evidence missing",IF(AND(F256&lt;&gt;"Not started",F256&lt;&gt;"In progress",F256&lt;&gt;"In review",F256&lt;&gt;"Complete"),"Choose a status",""))))</f>
        <v/>
      </c>
    </row>
    <row r="257" customFormat="false" ht="44" hidden="false" customHeight="true" outlineLevel="0" collapsed="false">
      <c r="A257" s="29"/>
      <c r="B257" s="29"/>
      <c r="C257" s="29"/>
      <c r="D257" s="29"/>
      <c r="E257" s="29"/>
      <c r="F257" s="34"/>
      <c r="G257" s="34"/>
      <c r="H257" s="29"/>
      <c r="I257" s="29"/>
      <c r="J257" s="29"/>
      <c r="K257" s="29"/>
      <c r="L257" s="35" t="str">
        <f aca="false">IF(A257="",IF(SUMPRODUCT(--(B257:D257&lt;&gt;""))+SUMPRODUCT(--(F257:K257&lt;&gt;""))&gt;0,"Missing ID",""),IF(COUNTIF($A$7:$A$307,A257)&gt;1,"Duplicate ID",IF(AND(F257="Complete",G257=""),"Evidence missing",IF(AND(F257&lt;&gt;"Not started",F257&lt;&gt;"In progress",F257&lt;&gt;"In review",F257&lt;&gt;"Complete"),"Choose a status",""))))</f>
        <v/>
      </c>
    </row>
    <row r="258" customFormat="false" ht="44" hidden="false" customHeight="true" outlineLevel="0" collapsed="false">
      <c r="A258" s="29"/>
      <c r="B258" s="29"/>
      <c r="C258" s="29"/>
      <c r="D258" s="29"/>
      <c r="E258" s="29"/>
      <c r="F258" s="34"/>
      <c r="G258" s="34"/>
      <c r="H258" s="29"/>
      <c r="I258" s="29"/>
      <c r="J258" s="29"/>
      <c r="K258" s="29"/>
      <c r="L258" s="35" t="str">
        <f aca="false">IF(A258="",IF(SUMPRODUCT(--(B258:D258&lt;&gt;""))+SUMPRODUCT(--(F258:K258&lt;&gt;""))&gt;0,"Missing ID",""),IF(COUNTIF($A$7:$A$307,A258)&gt;1,"Duplicate ID",IF(AND(F258="Complete",G258=""),"Evidence missing",IF(AND(F258&lt;&gt;"Not started",F258&lt;&gt;"In progress",F258&lt;&gt;"In review",F258&lt;&gt;"Complete"),"Choose a status",""))))</f>
        <v/>
      </c>
    </row>
    <row r="259" customFormat="false" ht="44" hidden="false" customHeight="true" outlineLevel="0" collapsed="false">
      <c r="A259" s="29"/>
      <c r="B259" s="29"/>
      <c r="C259" s="29"/>
      <c r="D259" s="29"/>
      <c r="E259" s="29"/>
      <c r="F259" s="34"/>
      <c r="G259" s="34"/>
      <c r="H259" s="29"/>
      <c r="I259" s="29"/>
      <c r="J259" s="29"/>
      <c r="K259" s="29"/>
      <c r="L259" s="35" t="str">
        <f aca="false">IF(A259="",IF(SUMPRODUCT(--(B259:D259&lt;&gt;""))+SUMPRODUCT(--(F259:K259&lt;&gt;""))&gt;0,"Missing ID",""),IF(COUNTIF($A$7:$A$307,A259)&gt;1,"Duplicate ID",IF(AND(F259="Complete",G259=""),"Evidence missing",IF(AND(F259&lt;&gt;"Not started",F259&lt;&gt;"In progress",F259&lt;&gt;"In review",F259&lt;&gt;"Complete"),"Choose a status",""))))</f>
        <v/>
      </c>
    </row>
    <row r="260" customFormat="false" ht="44" hidden="false" customHeight="true" outlineLevel="0" collapsed="false">
      <c r="A260" s="29"/>
      <c r="B260" s="29"/>
      <c r="C260" s="29"/>
      <c r="D260" s="29"/>
      <c r="E260" s="29"/>
      <c r="F260" s="34"/>
      <c r="G260" s="34"/>
      <c r="H260" s="29"/>
      <c r="I260" s="29"/>
      <c r="J260" s="29"/>
      <c r="K260" s="29"/>
      <c r="L260" s="35" t="str">
        <f aca="false">IF(A260="",IF(SUMPRODUCT(--(B260:D260&lt;&gt;""))+SUMPRODUCT(--(F260:K260&lt;&gt;""))&gt;0,"Missing ID",""),IF(COUNTIF($A$7:$A$307,A260)&gt;1,"Duplicate ID",IF(AND(F260="Complete",G260=""),"Evidence missing",IF(AND(F260&lt;&gt;"Not started",F260&lt;&gt;"In progress",F260&lt;&gt;"In review",F260&lt;&gt;"Complete"),"Choose a status",""))))</f>
        <v/>
      </c>
    </row>
    <row r="261" customFormat="false" ht="44" hidden="false" customHeight="true" outlineLevel="0" collapsed="false">
      <c r="A261" s="29"/>
      <c r="B261" s="29"/>
      <c r="C261" s="29"/>
      <c r="D261" s="29"/>
      <c r="E261" s="29"/>
      <c r="F261" s="34"/>
      <c r="G261" s="34"/>
      <c r="H261" s="29"/>
      <c r="I261" s="29"/>
      <c r="J261" s="29"/>
      <c r="K261" s="29"/>
      <c r="L261" s="35" t="str">
        <f aca="false">IF(A261="",IF(SUMPRODUCT(--(B261:D261&lt;&gt;""))+SUMPRODUCT(--(F261:K261&lt;&gt;""))&gt;0,"Missing ID",""),IF(COUNTIF($A$7:$A$307,A261)&gt;1,"Duplicate ID",IF(AND(F261="Complete",G261=""),"Evidence missing",IF(AND(F261&lt;&gt;"Not started",F261&lt;&gt;"In progress",F261&lt;&gt;"In review",F261&lt;&gt;"Complete"),"Choose a status",""))))</f>
        <v/>
      </c>
    </row>
    <row r="262" customFormat="false" ht="44" hidden="false" customHeight="true" outlineLevel="0" collapsed="false">
      <c r="A262" s="29"/>
      <c r="B262" s="29"/>
      <c r="C262" s="29"/>
      <c r="D262" s="29"/>
      <c r="E262" s="29"/>
      <c r="F262" s="34"/>
      <c r="G262" s="34"/>
      <c r="H262" s="29"/>
      <c r="I262" s="29"/>
      <c r="J262" s="29"/>
      <c r="K262" s="29"/>
      <c r="L262" s="35" t="str">
        <f aca="false">IF(A262="",IF(SUMPRODUCT(--(B262:D262&lt;&gt;""))+SUMPRODUCT(--(F262:K262&lt;&gt;""))&gt;0,"Missing ID",""),IF(COUNTIF($A$7:$A$307,A262)&gt;1,"Duplicate ID",IF(AND(F262="Complete",G262=""),"Evidence missing",IF(AND(F262&lt;&gt;"Not started",F262&lt;&gt;"In progress",F262&lt;&gt;"In review",F262&lt;&gt;"Complete"),"Choose a status",""))))</f>
        <v/>
      </c>
    </row>
    <row r="263" customFormat="false" ht="44" hidden="false" customHeight="true" outlineLevel="0" collapsed="false">
      <c r="A263" s="29"/>
      <c r="B263" s="29"/>
      <c r="C263" s="29"/>
      <c r="D263" s="29"/>
      <c r="E263" s="29"/>
      <c r="F263" s="34"/>
      <c r="G263" s="34"/>
      <c r="H263" s="29"/>
      <c r="I263" s="29"/>
      <c r="J263" s="29"/>
      <c r="K263" s="29"/>
      <c r="L263" s="35" t="str">
        <f aca="false">IF(A263="",IF(SUMPRODUCT(--(B263:D263&lt;&gt;""))+SUMPRODUCT(--(F263:K263&lt;&gt;""))&gt;0,"Missing ID",""),IF(COUNTIF($A$7:$A$307,A263)&gt;1,"Duplicate ID",IF(AND(F263="Complete",G263=""),"Evidence missing",IF(AND(F263&lt;&gt;"Not started",F263&lt;&gt;"In progress",F263&lt;&gt;"In review",F263&lt;&gt;"Complete"),"Choose a status",""))))</f>
        <v/>
      </c>
    </row>
    <row r="264" customFormat="false" ht="44" hidden="false" customHeight="true" outlineLevel="0" collapsed="false">
      <c r="A264" s="29"/>
      <c r="B264" s="29"/>
      <c r="C264" s="29"/>
      <c r="D264" s="29"/>
      <c r="E264" s="29"/>
      <c r="F264" s="34"/>
      <c r="G264" s="34"/>
      <c r="H264" s="29"/>
      <c r="I264" s="29"/>
      <c r="J264" s="29"/>
      <c r="K264" s="29"/>
      <c r="L264" s="35" t="str">
        <f aca="false">IF(A264="",IF(SUMPRODUCT(--(B264:D264&lt;&gt;""))+SUMPRODUCT(--(F264:K264&lt;&gt;""))&gt;0,"Missing ID",""),IF(COUNTIF($A$7:$A$307,A264)&gt;1,"Duplicate ID",IF(AND(F264="Complete",G264=""),"Evidence missing",IF(AND(F264&lt;&gt;"Not started",F264&lt;&gt;"In progress",F264&lt;&gt;"In review",F264&lt;&gt;"Complete"),"Choose a status",""))))</f>
        <v/>
      </c>
    </row>
    <row r="265" customFormat="false" ht="44" hidden="false" customHeight="true" outlineLevel="0" collapsed="false">
      <c r="A265" s="29"/>
      <c r="B265" s="29"/>
      <c r="C265" s="29"/>
      <c r="D265" s="29"/>
      <c r="E265" s="29"/>
      <c r="F265" s="34"/>
      <c r="G265" s="34"/>
      <c r="H265" s="29"/>
      <c r="I265" s="29"/>
      <c r="J265" s="29"/>
      <c r="K265" s="29"/>
      <c r="L265" s="35" t="str">
        <f aca="false">IF(A265="",IF(SUMPRODUCT(--(B265:D265&lt;&gt;""))+SUMPRODUCT(--(F265:K265&lt;&gt;""))&gt;0,"Missing ID",""),IF(COUNTIF($A$7:$A$307,A265)&gt;1,"Duplicate ID",IF(AND(F265="Complete",G265=""),"Evidence missing",IF(AND(F265&lt;&gt;"Not started",F265&lt;&gt;"In progress",F265&lt;&gt;"In review",F265&lt;&gt;"Complete"),"Choose a status",""))))</f>
        <v/>
      </c>
    </row>
    <row r="266" customFormat="false" ht="44" hidden="false" customHeight="true" outlineLevel="0" collapsed="false">
      <c r="A266" s="29"/>
      <c r="B266" s="29"/>
      <c r="C266" s="29"/>
      <c r="D266" s="29"/>
      <c r="E266" s="29"/>
      <c r="F266" s="34"/>
      <c r="G266" s="34"/>
      <c r="H266" s="29"/>
      <c r="I266" s="29"/>
      <c r="J266" s="29"/>
      <c r="K266" s="29"/>
      <c r="L266" s="35" t="str">
        <f aca="false">IF(A266="",IF(SUMPRODUCT(--(B266:D266&lt;&gt;""))+SUMPRODUCT(--(F266:K266&lt;&gt;""))&gt;0,"Missing ID",""),IF(COUNTIF($A$7:$A$307,A266)&gt;1,"Duplicate ID",IF(AND(F266="Complete",G266=""),"Evidence missing",IF(AND(F266&lt;&gt;"Not started",F266&lt;&gt;"In progress",F266&lt;&gt;"In review",F266&lt;&gt;"Complete"),"Choose a status",""))))</f>
        <v/>
      </c>
    </row>
    <row r="267" customFormat="false" ht="44" hidden="false" customHeight="true" outlineLevel="0" collapsed="false">
      <c r="A267" s="29"/>
      <c r="B267" s="29"/>
      <c r="C267" s="29"/>
      <c r="D267" s="29"/>
      <c r="E267" s="29"/>
      <c r="F267" s="34"/>
      <c r="G267" s="34"/>
      <c r="H267" s="29"/>
      <c r="I267" s="29"/>
      <c r="J267" s="29"/>
      <c r="K267" s="29"/>
      <c r="L267" s="35" t="str">
        <f aca="false">IF(A267="",IF(SUMPRODUCT(--(B267:D267&lt;&gt;""))+SUMPRODUCT(--(F267:K267&lt;&gt;""))&gt;0,"Missing ID",""),IF(COUNTIF($A$7:$A$307,A267)&gt;1,"Duplicate ID",IF(AND(F267="Complete",G267=""),"Evidence missing",IF(AND(F267&lt;&gt;"Not started",F267&lt;&gt;"In progress",F267&lt;&gt;"In review",F267&lt;&gt;"Complete"),"Choose a status",""))))</f>
        <v/>
      </c>
    </row>
    <row r="268" customFormat="false" ht="44" hidden="false" customHeight="true" outlineLevel="0" collapsed="false">
      <c r="A268" s="29"/>
      <c r="B268" s="29"/>
      <c r="C268" s="29"/>
      <c r="D268" s="29"/>
      <c r="E268" s="29"/>
      <c r="F268" s="34"/>
      <c r="G268" s="34"/>
      <c r="H268" s="29"/>
      <c r="I268" s="29"/>
      <c r="J268" s="29"/>
      <c r="K268" s="29"/>
      <c r="L268" s="35" t="str">
        <f aca="false">IF(A268="",IF(SUMPRODUCT(--(B268:D268&lt;&gt;""))+SUMPRODUCT(--(F268:K268&lt;&gt;""))&gt;0,"Missing ID",""),IF(COUNTIF($A$7:$A$307,A268)&gt;1,"Duplicate ID",IF(AND(F268="Complete",G268=""),"Evidence missing",IF(AND(F268&lt;&gt;"Not started",F268&lt;&gt;"In progress",F268&lt;&gt;"In review",F268&lt;&gt;"Complete"),"Choose a status",""))))</f>
        <v/>
      </c>
    </row>
    <row r="269" customFormat="false" ht="44" hidden="false" customHeight="true" outlineLevel="0" collapsed="false">
      <c r="A269" s="29"/>
      <c r="B269" s="29"/>
      <c r="C269" s="29"/>
      <c r="D269" s="29"/>
      <c r="E269" s="29"/>
      <c r="F269" s="34"/>
      <c r="G269" s="34"/>
      <c r="H269" s="29"/>
      <c r="I269" s="29"/>
      <c r="J269" s="29"/>
      <c r="K269" s="29"/>
      <c r="L269" s="35" t="str">
        <f aca="false">IF(A269="",IF(SUMPRODUCT(--(B269:D269&lt;&gt;""))+SUMPRODUCT(--(F269:K269&lt;&gt;""))&gt;0,"Missing ID",""),IF(COUNTIF($A$7:$A$307,A269)&gt;1,"Duplicate ID",IF(AND(F269="Complete",G269=""),"Evidence missing",IF(AND(F269&lt;&gt;"Not started",F269&lt;&gt;"In progress",F269&lt;&gt;"In review",F269&lt;&gt;"Complete"),"Choose a status",""))))</f>
        <v/>
      </c>
    </row>
    <row r="270" customFormat="false" ht="44" hidden="false" customHeight="true" outlineLevel="0" collapsed="false">
      <c r="A270" s="29"/>
      <c r="B270" s="29"/>
      <c r="C270" s="29"/>
      <c r="D270" s="29"/>
      <c r="E270" s="29"/>
      <c r="F270" s="34"/>
      <c r="G270" s="34"/>
      <c r="H270" s="29"/>
      <c r="I270" s="29"/>
      <c r="J270" s="29"/>
      <c r="K270" s="29"/>
      <c r="L270" s="35" t="str">
        <f aca="false">IF(A270="",IF(SUMPRODUCT(--(B270:D270&lt;&gt;""))+SUMPRODUCT(--(F270:K270&lt;&gt;""))&gt;0,"Missing ID",""),IF(COUNTIF($A$7:$A$307,A270)&gt;1,"Duplicate ID",IF(AND(F270="Complete",G270=""),"Evidence missing",IF(AND(F270&lt;&gt;"Not started",F270&lt;&gt;"In progress",F270&lt;&gt;"In review",F270&lt;&gt;"Complete"),"Choose a status",""))))</f>
        <v/>
      </c>
    </row>
    <row r="271" customFormat="false" ht="44" hidden="false" customHeight="true" outlineLevel="0" collapsed="false">
      <c r="A271" s="29"/>
      <c r="B271" s="29"/>
      <c r="C271" s="29"/>
      <c r="D271" s="29"/>
      <c r="E271" s="29"/>
      <c r="F271" s="34"/>
      <c r="G271" s="34"/>
      <c r="H271" s="29"/>
      <c r="I271" s="29"/>
      <c r="J271" s="29"/>
      <c r="K271" s="29"/>
      <c r="L271" s="35" t="str">
        <f aca="false">IF(A271="",IF(SUMPRODUCT(--(B271:D271&lt;&gt;""))+SUMPRODUCT(--(F271:K271&lt;&gt;""))&gt;0,"Missing ID",""),IF(COUNTIF($A$7:$A$307,A271)&gt;1,"Duplicate ID",IF(AND(F271="Complete",G271=""),"Evidence missing",IF(AND(F271&lt;&gt;"Not started",F271&lt;&gt;"In progress",F271&lt;&gt;"In review",F271&lt;&gt;"Complete"),"Choose a status",""))))</f>
        <v/>
      </c>
    </row>
    <row r="272" customFormat="false" ht="44" hidden="false" customHeight="true" outlineLevel="0" collapsed="false">
      <c r="A272" s="29"/>
      <c r="B272" s="29"/>
      <c r="C272" s="29"/>
      <c r="D272" s="29"/>
      <c r="E272" s="29"/>
      <c r="F272" s="34"/>
      <c r="G272" s="34"/>
      <c r="H272" s="29"/>
      <c r="I272" s="29"/>
      <c r="J272" s="29"/>
      <c r="K272" s="29"/>
      <c r="L272" s="35" t="str">
        <f aca="false">IF(A272="",IF(SUMPRODUCT(--(B272:D272&lt;&gt;""))+SUMPRODUCT(--(F272:K272&lt;&gt;""))&gt;0,"Missing ID",""),IF(COUNTIF($A$7:$A$307,A272)&gt;1,"Duplicate ID",IF(AND(F272="Complete",G272=""),"Evidence missing",IF(AND(F272&lt;&gt;"Not started",F272&lt;&gt;"In progress",F272&lt;&gt;"In review",F272&lt;&gt;"Complete"),"Choose a status",""))))</f>
        <v/>
      </c>
    </row>
    <row r="273" customFormat="false" ht="44" hidden="false" customHeight="true" outlineLevel="0" collapsed="false">
      <c r="A273" s="29"/>
      <c r="B273" s="29"/>
      <c r="C273" s="29"/>
      <c r="D273" s="29"/>
      <c r="E273" s="29"/>
      <c r="F273" s="34"/>
      <c r="G273" s="34"/>
      <c r="H273" s="29"/>
      <c r="I273" s="29"/>
      <c r="J273" s="29"/>
      <c r="K273" s="29"/>
      <c r="L273" s="35" t="str">
        <f aca="false">IF(A273="",IF(SUMPRODUCT(--(B273:D273&lt;&gt;""))+SUMPRODUCT(--(F273:K273&lt;&gt;""))&gt;0,"Missing ID",""),IF(COUNTIF($A$7:$A$307,A273)&gt;1,"Duplicate ID",IF(AND(F273="Complete",G273=""),"Evidence missing",IF(AND(F273&lt;&gt;"Not started",F273&lt;&gt;"In progress",F273&lt;&gt;"In review",F273&lt;&gt;"Complete"),"Choose a status",""))))</f>
        <v/>
      </c>
    </row>
    <row r="274" customFormat="false" ht="44" hidden="false" customHeight="true" outlineLevel="0" collapsed="false">
      <c r="A274" s="29"/>
      <c r="B274" s="29"/>
      <c r="C274" s="29"/>
      <c r="D274" s="29"/>
      <c r="E274" s="29"/>
      <c r="F274" s="34"/>
      <c r="G274" s="34"/>
      <c r="H274" s="29"/>
      <c r="I274" s="29"/>
      <c r="J274" s="29"/>
      <c r="K274" s="29"/>
      <c r="L274" s="35" t="str">
        <f aca="false">IF(A274="",IF(SUMPRODUCT(--(B274:D274&lt;&gt;""))+SUMPRODUCT(--(F274:K274&lt;&gt;""))&gt;0,"Missing ID",""),IF(COUNTIF($A$7:$A$307,A274)&gt;1,"Duplicate ID",IF(AND(F274="Complete",G274=""),"Evidence missing",IF(AND(F274&lt;&gt;"Not started",F274&lt;&gt;"In progress",F274&lt;&gt;"In review",F274&lt;&gt;"Complete"),"Choose a status",""))))</f>
        <v/>
      </c>
    </row>
    <row r="275" customFormat="false" ht="44" hidden="false" customHeight="true" outlineLevel="0" collapsed="false">
      <c r="A275" s="29"/>
      <c r="B275" s="29"/>
      <c r="C275" s="29"/>
      <c r="D275" s="29"/>
      <c r="E275" s="29"/>
      <c r="F275" s="34"/>
      <c r="G275" s="34"/>
      <c r="H275" s="29"/>
      <c r="I275" s="29"/>
      <c r="J275" s="29"/>
      <c r="K275" s="29"/>
      <c r="L275" s="35" t="str">
        <f aca="false">IF(A275="",IF(SUMPRODUCT(--(B275:D275&lt;&gt;""))+SUMPRODUCT(--(F275:K275&lt;&gt;""))&gt;0,"Missing ID",""),IF(COUNTIF($A$7:$A$307,A275)&gt;1,"Duplicate ID",IF(AND(F275="Complete",G275=""),"Evidence missing",IF(AND(F275&lt;&gt;"Not started",F275&lt;&gt;"In progress",F275&lt;&gt;"In review",F275&lt;&gt;"Complete"),"Choose a status",""))))</f>
        <v/>
      </c>
    </row>
    <row r="276" customFormat="false" ht="44" hidden="false" customHeight="true" outlineLevel="0" collapsed="false">
      <c r="A276" s="29"/>
      <c r="B276" s="29"/>
      <c r="C276" s="29"/>
      <c r="D276" s="29"/>
      <c r="E276" s="29"/>
      <c r="F276" s="34"/>
      <c r="G276" s="34"/>
      <c r="H276" s="29"/>
      <c r="I276" s="29"/>
      <c r="J276" s="29"/>
      <c r="K276" s="29"/>
      <c r="L276" s="35" t="str">
        <f aca="false">IF(A276="",IF(SUMPRODUCT(--(B276:D276&lt;&gt;""))+SUMPRODUCT(--(F276:K276&lt;&gt;""))&gt;0,"Missing ID",""),IF(COUNTIF($A$7:$A$307,A276)&gt;1,"Duplicate ID",IF(AND(F276="Complete",G276=""),"Evidence missing",IF(AND(F276&lt;&gt;"Not started",F276&lt;&gt;"In progress",F276&lt;&gt;"In review",F276&lt;&gt;"Complete"),"Choose a status",""))))</f>
        <v/>
      </c>
    </row>
    <row r="277" customFormat="false" ht="44" hidden="false" customHeight="true" outlineLevel="0" collapsed="false">
      <c r="A277" s="29"/>
      <c r="B277" s="29"/>
      <c r="C277" s="29"/>
      <c r="D277" s="29"/>
      <c r="E277" s="29"/>
      <c r="F277" s="34"/>
      <c r="G277" s="34"/>
      <c r="H277" s="29"/>
      <c r="I277" s="29"/>
      <c r="J277" s="29"/>
      <c r="K277" s="29"/>
      <c r="L277" s="35" t="str">
        <f aca="false">IF(A277="",IF(SUMPRODUCT(--(B277:D277&lt;&gt;""))+SUMPRODUCT(--(F277:K277&lt;&gt;""))&gt;0,"Missing ID",""),IF(COUNTIF($A$7:$A$307,A277)&gt;1,"Duplicate ID",IF(AND(F277="Complete",G277=""),"Evidence missing",IF(AND(F277&lt;&gt;"Not started",F277&lt;&gt;"In progress",F277&lt;&gt;"In review",F277&lt;&gt;"Complete"),"Choose a status",""))))</f>
        <v/>
      </c>
    </row>
    <row r="278" customFormat="false" ht="44" hidden="false" customHeight="true" outlineLevel="0" collapsed="false">
      <c r="A278" s="29"/>
      <c r="B278" s="29"/>
      <c r="C278" s="29"/>
      <c r="D278" s="29"/>
      <c r="E278" s="29"/>
      <c r="F278" s="34"/>
      <c r="G278" s="34"/>
      <c r="H278" s="29"/>
      <c r="I278" s="29"/>
      <c r="J278" s="29"/>
      <c r="K278" s="29"/>
      <c r="L278" s="35" t="str">
        <f aca="false">IF(A278="",IF(SUMPRODUCT(--(B278:D278&lt;&gt;""))+SUMPRODUCT(--(F278:K278&lt;&gt;""))&gt;0,"Missing ID",""),IF(COUNTIF($A$7:$A$307,A278)&gt;1,"Duplicate ID",IF(AND(F278="Complete",G278=""),"Evidence missing",IF(AND(F278&lt;&gt;"Not started",F278&lt;&gt;"In progress",F278&lt;&gt;"In review",F278&lt;&gt;"Complete"),"Choose a status",""))))</f>
        <v/>
      </c>
    </row>
    <row r="279" customFormat="false" ht="44" hidden="false" customHeight="true" outlineLevel="0" collapsed="false">
      <c r="A279" s="29"/>
      <c r="B279" s="29"/>
      <c r="C279" s="29"/>
      <c r="D279" s="29"/>
      <c r="E279" s="29"/>
      <c r="F279" s="34"/>
      <c r="G279" s="34"/>
      <c r="H279" s="29"/>
      <c r="I279" s="29"/>
      <c r="J279" s="29"/>
      <c r="K279" s="29"/>
      <c r="L279" s="35" t="str">
        <f aca="false">IF(A279="",IF(SUMPRODUCT(--(B279:D279&lt;&gt;""))+SUMPRODUCT(--(F279:K279&lt;&gt;""))&gt;0,"Missing ID",""),IF(COUNTIF($A$7:$A$307,A279)&gt;1,"Duplicate ID",IF(AND(F279="Complete",G279=""),"Evidence missing",IF(AND(F279&lt;&gt;"Not started",F279&lt;&gt;"In progress",F279&lt;&gt;"In review",F279&lt;&gt;"Complete"),"Choose a status",""))))</f>
        <v/>
      </c>
    </row>
    <row r="280" customFormat="false" ht="44" hidden="false" customHeight="true" outlineLevel="0" collapsed="false">
      <c r="A280" s="29"/>
      <c r="B280" s="29"/>
      <c r="C280" s="29"/>
      <c r="D280" s="29"/>
      <c r="E280" s="29"/>
      <c r="F280" s="34"/>
      <c r="G280" s="34"/>
      <c r="H280" s="29"/>
      <c r="I280" s="29"/>
      <c r="J280" s="29"/>
      <c r="K280" s="29"/>
      <c r="L280" s="35" t="str">
        <f aca="false">IF(A280="",IF(SUMPRODUCT(--(B280:D280&lt;&gt;""))+SUMPRODUCT(--(F280:K280&lt;&gt;""))&gt;0,"Missing ID",""),IF(COUNTIF($A$7:$A$307,A280)&gt;1,"Duplicate ID",IF(AND(F280="Complete",G280=""),"Evidence missing",IF(AND(F280&lt;&gt;"Not started",F280&lt;&gt;"In progress",F280&lt;&gt;"In review",F280&lt;&gt;"Complete"),"Choose a status",""))))</f>
        <v/>
      </c>
    </row>
    <row r="281" customFormat="false" ht="44" hidden="false" customHeight="true" outlineLevel="0" collapsed="false">
      <c r="A281" s="29"/>
      <c r="B281" s="29"/>
      <c r="C281" s="29"/>
      <c r="D281" s="29"/>
      <c r="E281" s="29"/>
      <c r="F281" s="34"/>
      <c r="G281" s="34"/>
      <c r="H281" s="29"/>
      <c r="I281" s="29"/>
      <c r="J281" s="29"/>
      <c r="K281" s="29"/>
      <c r="L281" s="35" t="str">
        <f aca="false">IF(A281="",IF(SUMPRODUCT(--(B281:D281&lt;&gt;""))+SUMPRODUCT(--(F281:K281&lt;&gt;""))&gt;0,"Missing ID",""),IF(COUNTIF($A$7:$A$307,A281)&gt;1,"Duplicate ID",IF(AND(F281="Complete",G281=""),"Evidence missing",IF(AND(F281&lt;&gt;"Not started",F281&lt;&gt;"In progress",F281&lt;&gt;"In review",F281&lt;&gt;"Complete"),"Choose a status",""))))</f>
        <v/>
      </c>
    </row>
    <row r="282" customFormat="false" ht="44" hidden="false" customHeight="true" outlineLevel="0" collapsed="false">
      <c r="A282" s="29"/>
      <c r="B282" s="29"/>
      <c r="C282" s="29"/>
      <c r="D282" s="29"/>
      <c r="E282" s="29"/>
      <c r="F282" s="34"/>
      <c r="G282" s="34"/>
      <c r="H282" s="29"/>
      <c r="I282" s="29"/>
      <c r="J282" s="29"/>
      <c r="K282" s="29"/>
      <c r="L282" s="35" t="str">
        <f aca="false">IF(A282="",IF(SUMPRODUCT(--(B282:D282&lt;&gt;""))+SUMPRODUCT(--(F282:K282&lt;&gt;""))&gt;0,"Missing ID",""),IF(COUNTIF($A$7:$A$307,A282)&gt;1,"Duplicate ID",IF(AND(F282="Complete",G282=""),"Evidence missing",IF(AND(F282&lt;&gt;"Not started",F282&lt;&gt;"In progress",F282&lt;&gt;"In review",F282&lt;&gt;"Complete"),"Choose a status",""))))</f>
        <v/>
      </c>
    </row>
    <row r="283" customFormat="false" ht="44" hidden="false" customHeight="true" outlineLevel="0" collapsed="false">
      <c r="A283" s="29"/>
      <c r="B283" s="29"/>
      <c r="C283" s="29"/>
      <c r="D283" s="29"/>
      <c r="E283" s="29"/>
      <c r="F283" s="34"/>
      <c r="G283" s="34"/>
      <c r="H283" s="29"/>
      <c r="I283" s="29"/>
      <c r="J283" s="29"/>
      <c r="K283" s="29"/>
      <c r="L283" s="35" t="str">
        <f aca="false">IF(A283="",IF(SUMPRODUCT(--(B283:D283&lt;&gt;""))+SUMPRODUCT(--(F283:K283&lt;&gt;""))&gt;0,"Missing ID",""),IF(COUNTIF($A$7:$A$307,A283)&gt;1,"Duplicate ID",IF(AND(F283="Complete",G283=""),"Evidence missing",IF(AND(F283&lt;&gt;"Not started",F283&lt;&gt;"In progress",F283&lt;&gt;"In review",F283&lt;&gt;"Complete"),"Choose a status",""))))</f>
        <v/>
      </c>
    </row>
    <row r="284" customFormat="false" ht="44" hidden="false" customHeight="true" outlineLevel="0" collapsed="false">
      <c r="A284" s="29"/>
      <c r="B284" s="29"/>
      <c r="C284" s="29"/>
      <c r="D284" s="29"/>
      <c r="E284" s="29"/>
      <c r="F284" s="34"/>
      <c r="G284" s="34"/>
      <c r="H284" s="29"/>
      <c r="I284" s="29"/>
      <c r="J284" s="29"/>
      <c r="K284" s="29"/>
      <c r="L284" s="35" t="str">
        <f aca="false">IF(A284="",IF(SUMPRODUCT(--(B284:D284&lt;&gt;""))+SUMPRODUCT(--(F284:K284&lt;&gt;""))&gt;0,"Missing ID",""),IF(COUNTIF($A$7:$A$307,A284)&gt;1,"Duplicate ID",IF(AND(F284="Complete",G284=""),"Evidence missing",IF(AND(F284&lt;&gt;"Not started",F284&lt;&gt;"In progress",F284&lt;&gt;"In review",F284&lt;&gt;"Complete"),"Choose a status",""))))</f>
        <v/>
      </c>
    </row>
    <row r="285" customFormat="false" ht="44" hidden="false" customHeight="true" outlineLevel="0" collapsed="false">
      <c r="A285" s="29"/>
      <c r="B285" s="29"/>
      <c r="C285" s="29"/>
      <c r="D285" s="29"/>
      <c r="E285" s="29"/>
      <c r="F285" s="34"/>
      <c r="G285" s="34"/>
      <c r="H285" s="29"/>
      <c r="I285" s="29"/>
      <c r="J285" s="29"/>
      <c r="K285" s="29"/>
      <c r="L285" s="35" t="str">
        <f aca="false">IF(A285="",IF(SUMPRODUCT(--(B285:D285&lt;&gt;""))+SUMPRODUCT(--(F285:K285&lt;&gt;""))&gt;0,"Missing ID",""),IF(COUNTIF($A$7:$A$307,A285)&gt;1,"Duplicate ID",IF(AND(F285="Complete",G285=""),"Evidence missing",IF(AND(F285&lt;&gt;"Not started",F285&lt;&gt;"In progress",F285&lt;&gt;"In review",F285&lt;&gt;"Complete"),"Choose a status",""))))</f>
        <v/>
      </c>
    </row>
    <row r="286" customFormat="false" ht="44" hidden="false" customHeight="true" outlineLevel="0" collapsed="false">
      <c r="A286" s="29"/>
      <c r="B286" s="29"/>
      <c r="C286" s="29"/>
      <c r="D286" s="29"/>
      <c r="E286" s="29"/>
      <c r="F286" s="34"/>
      <c r="G286" s="34"/>
      <c r="H286" s="29"/>
      <c r="I286" s="29"/>
      <c r="J286" s="29"/>
      <c r="K286" s="29"/>
      <c r="L286" s="35" t="str">
        <f aca="false">IF(A286="",IF(SUMPRODUCT(--(B286:D286&lt;&gt;""))+SUMPRODUCT(--(F286:K286&lt;&gt;""))&gt;0,"Missing ID",""),IF(COUNTIF($A$7:$A$307,A286)&gt;1,"Duplicate ID",IF(AND(F286="Complete",G286=""),"Evidence missing",IF(AND(F286&lt;&gt;"Not started",F286&lt;&gt;"In progress",F286&lt;&gt;"In review",F286&lt;&gt;"Complete"),"Choose a status",""))))</f>
        <v/>
      </c>
    </row>
    <row r="287" customFormat="false" ht="44" hidden="false" customHeight="true" outlineLevel="0" collapsed="false">
      <c r="A287" s="29"/>
      <c r="B287" s="29"/>
      <c r="C287" s="29"/>
      <c r="D287" s="29"/>
      <c r="E287" s="29"/>
      <c r="F287" s="34"/>
      <c r="G287" s="34"/>
      <c r="H287" s="29"/>
      <c r="I287" s="29"/>
      <c r="J287" s="29"/>
      <c r="K287" s="29"/>
      <c r="L287" s="35" t="str">
        <f aca="false">IF(A287="",IF(SUMPRODUCT(--(B287:D287&lt;&gt;""))+SUMPRODUCT(--(F287:K287&lt;&gt;""))&gt;0,"Missing ID",""),IF(COUNTIF($A$7:$A$307,A287)&gt;1,"Duplicate ID",IF(AND(F287="Complete",G287=""),"Evidence missing",IF(AND(F287&lt;&gt;"Not started",F287&lt;&gt;"In progress",F287&lt;&gt;"In review",F287&lt;&gt;"Complete"),"Choose a status",""))))</f>
        <v/>
      </c>
    </row>
    <row r="288" customFormat="false" ht="44" hidden="false" customHeight="true" outlineLevel="0" collapsed="false">
      <c r="A288" s="29"/>
      <c r="B288" s="29"/>
      <c r="C288" s="29"/>
      <c r="D288" s="29"/>
      <c r="E288" s="29"/>
      <c r="F288" s="34"/>
      <c r="G288" s="34"/>
      <c r="H288" s="29"/>
      <c r="I288" s="29"/>
      <c r="J288" s="29"/>
      <c r="K288" s="29"/>
      <c r="L288" s="35" t="str">
        <f aca="false">IF(A288="",IF(SUMPRODUCT(--(B288:D288&lt;&gt;""))+SUMPRODUCT(--(F288:K288&lt;&gt;""))&gt;0,"Missing ID",""),IF(COUNTIF($A$7:$A$307,A288)&gt;1,"Duplicate ID",IF(AND(F288="Complete",G288=""),"Evidence missing",IF(AND(F288&lt;&gt;"Not started",F288&lt;&gt;"In progress",F288&lt;&gt;"In review",F288&lt;&gt;"Complete"),"Choose a status",""))))</f>
        <v/>
      </c>
    </row>
    <row r="289" customFormat="false" ht="44" hidden="false" customHeight="true" outlineLevel="0" collapsed="false">
      <c r="A289" s="29"/>
      <c r="B289" s="29"/>
      <c r="C289" s="29"/>
      <c r="D289" s="29"/>
      <c r="E289" s="29"/>
      <c r="F289" s="34"/>
      <c r="G289" s="34"/>
      <c r="H289" s="29"/>
      <c r="I289" s="29"/>
      <c r="J289" s="29"/>
      <c r="K289" s="29"/>
      <c r="L289" s="35" t="str">
        <f aca="false">IF(A289="",IF(SUMPRODUCT(--(B289:D289&lt;&gt;""))+SUMPRODUCT(--(F289:K289&lt;&gt;""))&gt;0,"Missing ID",""),IF(COUNTIF($A$7:$A$307,A289)&gt;1,"Duplicate ID",IF(AND(F289="Complete",G289=""),"Evidence missing",IF(AND(F289&lt;&gt;"Not started",F289&lt;&gt;"In progress",F289&lt;&gt;"In review",F289&lt;&gt;"Complete"),"Choose a status",""))))</f>
        <v/>
      </c>
    </row>
    <row r="290" customFormat="false" ht="44" hidden="false" customHeight="true" outlineLevel="0" collapsed="false">
      <c r="A290" s="29"/>
      <c r="B290" s="29"/>
      <c r="C290" s="29"/>
      <c r="D290" s="29"/>
      <c r="E290" s="29"/>
      <c r="F290" s="34"/>
      <c r="G290" s="34"/>
      <c r="H290" s="29"/>
      <c r="I290" s="29"/>
      <c r="J290" s="29"/>
      <c r="K290" s="29"/>
      <c r="L290" s="35" t="str">
        <f aca="false">IF(A290="",IF(SUMPRODUCT(--(B290:D290&lt;&gt;""))+SUMPRODUCT(--(F290:K290&lt;&gt;""))&gt;0,"Missing ID",""),IF(COUNTIF($A$7:$A$307,A290)&gt;1,"Duplicate ID",IF(AND(F290="Complete",G290=""),"Evidence missing",IF(AND(F290&lt;&gt;"Not started",F290&lt;&gt;"In progress",F290&lt;&gt;"In review",F290&lt;&gt;"Complete"),"Choose a status",""))))</f>
        <v/>
      </c>
    </row>
    <row r="291" customFormat="false" ht="44" hidden="false" customHeight="true" outlineLevel="0" collapsed="false">
      <c r="A291" s="29"/>
      <c r="B291" s="29"/>
      <c r="C291" s="29"/>
      <c r="D291" s="29"/>
      <c r="E291" s="29"/>
      <c r="F291" s="34"/>
      <c r="G291" s="34"/>
      <c r="H291" s="29"/>
      <c r="I291" s="29"/>
      <c r="J291" s="29"/>
      <c r="K291" s="29"/>
      <c r="L291" s="35" t="str">
        <f aca="false">IF(A291="",IF(SUMPRODUCT(--(B291:D291&lt;&gt;""))+SUMPRODUCT(--(F291:K291&lt;&gt;""))&gt;0,"Missing ID",""),IF(COUNTIF($A$7:$A$307,A291)&gt;1,"Duplicate ID",IF(AND(F291="Complete",G291=""),"Evidence missing",IF(AND(F291&lt;&gt;"Not started",F291&lt;&gt;"In progress",F291&lt;&gt;"In review",F291&lt;&gt;"Complete"),"Choose a status",""))))</f>
        <v/>
      </c>
    </row>
    <row r="292" customFormat="false" ht="44" hidden="false" customHeight="true" outlineLevel="0" collapsed="false">
      <c r="A292" s="29"/>
      <c r="B292" s="29"/>
      <c r="C292" s="29"/>
      <c r="D292" s="29"/>
      <c r="E292" s="29"/>
      <c r="F292" s="34"/>
      <c r="G292" s="34"/>
      <c r="H292" s="29"/>
      <c r="I292" s="29"/>
      <c r="J292" s="29"/>
      <c r="K292" s="29"/>
      <c r="L292" s="35" t="str">
        <f aca="false">IF(A292="",IF(SUMPRODUCT(--(B292:D292&lt;&gt;""))+SUMPRODUCT(--(F292:K292&lt;&gt;""))&gt;0,"Missing ID",""),IF(COUNTIF($A$7:$A$307,A292)&gt;1,"Duplicate ID",IF(AND(F292="Complete",G292=""),"Evidence missing",IF(AND(F292&lt;&gt;"Not started",F292&lt;&gt;"In progress",F292&lt;&gt;"In review",F292&lt;&gt;"Complete"),"Choose a status",""))))</f>
        <v/>
      </c>
    </row>
    <row r="293" customFormat="false" ht="44" hidden="false" customHeight="true" outlineLevel="0" collapsed="false">
      <c r="A293" s="29"/>
      <c r="B293" s="29"/>
      <c r="C293" s="29"/>
      <c r="D293" s="29"/>
      <c r="E293" s="29"/>
      <c r="F293" s="34"/>
      <c r="G293" s="34"/>
      <c r="H293" s="29"/>
      <c r="I293" s="29"/>
      <c r="J293" s="29"/>
      <c r="K293" s="29"/>
      <c r="L293" s="35" t="str">
        <f aca="false">IF(A293="",IF(SUMPRODUCT(--(B293:D293&lt;&gt;""))+SUMPRODUCT(--(F293:K293&lt;&gt;""))&gt;0,"Missing ID",""),IF(COUNTIF($A$7:$A$307,A293)&gt;1,"Duplicate ID",IF(AND(F293="Complete",G293=""),"Evidence missing",IF(AND(F293&lt;&gt;"Not started",F293&lt;&gt;"In progress",F293&lt;&gt;"In review",F293&lt;&gt;"Complete"),"Choose a status",""))))</f>
        <v/>
      </c>
    </row>
    <row r="294" customFormat="false" ht="44" hidden="false" customHeight="true" outlineLevel="0" collapsed="false">
      <c r="A294" s="29"/>
      <c r="B294" s="29"/>
      <c r="C294" s="29"/>
      <c r="D294" s="29"/>
      <c r="E294" s="29"/>
      <c r="F294" s="34"/>
      <c r="G294" s="34"/>
      <c r="H294" s="29"/>
      <c r="I294" s="29"/>
      <c r="J294" s="29"/>
      <c r="K294" s="29"/>
      <c r="L294" s="35" t="str">
        <f aca="false">IF(A294="",IF(SUMPRODUCT(--(B294:D294&lt;&gt;""))+SUMPRODUCT(--(F294:K294&lt;&gt;""))&gt;0,"Missing ID",""),IF(COUNTIF($A$7:$A$307,A294)&gt;1,"Duplicate ID",IF(AND(F294="Complete",G294=""),"Evidence missing",IF(AND(F294&lt;&gt;"Not started",F294&lt;&gt;"In progress",F294&lt;&gt;"In review",F294&lt;&gt;"Complete"),"Choose a status",""))))</f>
        <v/>
      </c>
    </row>
    <row r="295" customFormat="false" ht="44" hidden="false" customHeight="true" outlineLevel="0" collapsed="false">
      <c r="A295" s="29"/>
      <c r="B295" s="29"/>
      <c r="C295" s="29"/>
      <c r="D295" s="29"/>
      <c r="E295" s="29"/>
      <c r="F295" s="34"/>
      <c r="G295" s="34"/>
      <c r="H295" s="29"/>
      <c r="I295" s="29"/>
      <c r="J295" s="29"/>
      <c r="K295" s="29"/>
      <c r="L295" s="35" t="str">
        <f aca="false">IF(A295="",IF(SUMPRODUCT(--(B295:D295&lt;&gt;""))+SUMPRODUCT(--(F295:K295&lt;&gt;""))&gt;0,"Missing ID",""),IF(COUNTIF($A$7:$A$307,A295)&gt;1,"Duplicate ID",IF(AND(F295="Complete",G295=""),"Evidence missing",IF(AND(F295&lt;&gt;"Not started",F295&lt;&gt;"In progress",F295&lt;&gt;"In review",F295&lt;&gt;"Complete"),"Choose a status",""))))</f>
        <v/>
      </c>
    </row>
    <row r="296" customFormat="false" ht="44" hidden="false" customHeight="true" outlineLevel="0" collapsed="false">
      <c r="A296" s="29"/>
      <c r="B296" s="29"/>
      <c r="C296" s="29"/>
      <c r="D296" s="29"/>
      <c r="E296" s="29"/>
      <c r="F296" s="34"/>
      <c r="G296" s="34"/>
      <c r="H296" s="29"/>
      <c r="I296" s="29"/>
      <c r="J296" s="29"/>
      <c r="K296" s="29"/>
      <c r="L296" s="35" t="str">
        <f aca="false">IF(A296="",IF(SUMPRODUCT(--(B296:D296&lt;&gt;""))+SUMPRODUCT(--(F296:K296&lt;&gt;""))&gt;0,"Missing ID",""),IF(COUNTIF($A$7:$A$307,A296)&gt;1,"Duplicate ID",IF(AND(F296="Complete",G296=""),"Evidence missing",IF(AND(F296&lt;&gt;"Not started",F296&lt;&gt;"In progress",F296&lt;&gt;"In review",F296&lt;&gt;"Complete"),"Choose a status",""))))</f>
        <v/>
      </c>
    </row>
    <row r="297" customFormat="false" ht="44" hidden="false" customHeight="true" outlineLevel="0" collapsed="false">
      <c r="A297" s="29"/>
      <c r="B297" s="29"/>
      <c r="C297" s="29"/>
      <c r="D297" s="29"/>
      <c r="E297" s="29"/>
      <c r="F297" s="34"/>
      <c r="G297" s="34"/>
      <c r="H297" s="29"/>
      <c r="I297" s="29"/>
      <c r="J297" s="29"/>
      <c r="K297" s="29"/>
      <c r="L297" s="35" t="str">
        <f aca="false">IF(A297="",IF(SUMPRODUCT(--(B297:D297&lt;&gt;""))+SUMPRODUCT(--(F297:K297&lt;&gt;""))&gt;0,"Missing ID",""),IF(COUNTIF($A$7:$A$307,A297)&gt;1,"Duplicate ID",IF(AND(F297="Complete",G297=""),"Evidence missing",IF(AND(F297&lt;&gt;"Not started",F297&lt;&gt;"In progress",F297&lt;&gt;"In review",F297&lt;&gt;"Complete"),"Choose a status",""))))</f>
        <v/>
      </c>
    </row>
    <row r="298" customFormat="false" ht="44" hidden="false" customHeight="true" outlineLevel="0" collapsed="false">
      <c r="A298" s="29"/>
      <c r="B298" s="29"/>
      <c r="C298" s="29"/>
      <c r="D298" s="29"/>
      <c r="E298" s="29"/>
      <c r="F298" s="34"/>
      <c r="G298" s="34"/>
      <c r="H298" s="29"/>
      <c r="I298" s="29"/>
      <c r="J298" s="29"/>
      <c r="K298" s="29"/>
      <c r="L298" s="35" t="str">
        <f aca="false">IF(A298="",IF(SUMPRODUCT(--(B298:D298&lt;&gt;""))+SUMPRODUCT(--(F298:K298&lt;&gt;""))&gt;0,"Missing ID",""),IF(COUNTIF($A$7:$A$307,A298)&gt;1,"Duplicate ID",IF(AND(F298="Complete",G298=""),"Evidence missing",IF(AND(F298&lt;&gt;"Not started",F298&lt;&gt;"In progress",F298&lt;&gt;"In review",F298&lt;&gt;"Complete"),"Choose a status",""))))</f>
        <v/>
      </c>
    </row>
    <row r="299" customFormat="false" ht="44" hidden="false" customHeight="true" outlineLevel="0" collapsed="false">
      <c r="A299" s="29"/>
      <c r="B299" s="29"/>
      <c r="C299" s="29"/>
      <c r="D299" s="29"/>
      <c r="E299" s="29"/>
      <c r="F299" s="34"/>
      <c r="G299" s="34"/>
      <c r="H299" s="29"/>
      <c r="I299" s="29"/>
      <c r="J299" s="29"/>
      <c r="K299" s="29"/>
      <c r="L299" s="35" t="str">
        <f aca="false">IF(A299="",IF(SUMPRODUCT(--(B299:D299&lt;&gt;""))+SUMPRODUCT(--(F299:K299&lt;&gt;""))&gt;0,"Missing ID",""),IF(COUNTIF($A$7:$A$307,A299)&gt;1,"Duplicate ID",IF(AND(F299="Complete",G299=""),"Evidence missing",IF(AND(F299&lt;&gt;"Not started",F299&lt;&gt;"In progress",F299&lt;&gt;"In review",F299&lt;&gt;"Complete"),"Choose a status",""))))</f>
        <v/>
      </c>
    </row>
    <row r="300" customFormat="false" ht="44" hidden="false" customHeight="true" outlineLevel="0" collapsed="false">
      <c r="A300" s="29"/>
      <c r="B300" s="29"/>
      <c r="C300" s="29"/>
      <c r="D300" s="29"/>
      <c r="E300" s="29"/>
      <c r="F300" s="34"/>
      <c r="G300" s="34"/>
      <c r="H300" s="29"/>
      <c r="I300" s="29"/>
      <c r="J300" s="29"/>
      <c r="K300" s="29"/>
      <c r="L300" s="35" t="str">
        <f aca="false">IF(A300="",IF(SUMPRODUCT(--(B300:D300&lt;&gt;""))+SUMPRODUCT(--(F300:K300&lt;&gt;""))&gt;0,"Missing ID",""),IF(COUNTIF($A$7:$A$307,A300)&gt;1,"Duplicate ID",IF(AND(F300="Complete",G300=""),"Evidence missing",IF(AND(F300&lt;&gt;"Not started",F300&lt;&gt;"In progress",F300&lt;&gt;"In review",F300&lt;&gt;"Complete"),"Choose a status",""))))</f>
        <v/>
      </c>
    </row>
    <row r="301" customFormat="false" ht="44" hidden="false" customHeight="true" outlineLevel="0" collapsed="false">
      <c r="A301" s="29"/>
      <c r="B301" s="29"/>
      <c r="C301" s="29"/>
      <c r="D301" s="29"/>
      <c r="E301" s="29"/>
      <c r="F301" s="34"/>
      <c r="G301" s="34"/>
      <c r="H301" s="29"/>
      <c r="I301" s="29"/>
      <c r="J301" s="29"/>
      <c r="K301" s="29"/>
      <c r="L301" s="35" t="str">
        <f aca="false">IF(A301="",IF(SUMPRODUCT(--(B301:D301&lt;&gt;""))+SUMPRODUCT(--(F301:K301&lt;&gt;""))&gt;0,"Missing ID",""),IF(COUNTIF($A$7:$A$307,A301)&gt;1,"Duplicate ID",IF(AND(F301="Complete",G301=""),"Evidence missing",IF(AND(F301&lt;&gt;"Not started",F301&lt;&gt;"In progress",F301&lt;&gt;"In review",F301&lt;&gt;"Complete"),"Choose a status",""))))</f>
        <v/>
      </c>
    </row>
    <row r="302" customFormat="false" ht="44" hidden="false" customHeight="true" outlineLevel="0" collapsed="false">
      <c r="A302" s="29"/>
      <c r="B302" s="29"/>
      <c r="C302" s="29"/>
      <c r="D302" s="29"/>
      <c r="E302" s="29"/>
      <c r="F302" s="34"/>
      <c r="G302" s="34"/>
      <c r="H302" s="29"/>
      <c r="I302" s="29"/>
      <c r="J302" s="29"/>
      <c r="K302" s="29"/>
      <c r="L302" s="35" t="str">
        <f aca="false">IF(A302="",IF(SUMPRODUCT(--(B302:D302&lt;&gt;""))+SUMPRODUCT(--(F302:K302&lt;&gt;""))&gt;0,"Missing ID",""),IF(COUNTIF($A$7:$A$307,A302)&gt;1,"Duplicate ID",IF(AND(F302="Complete",G302=""),"Evidence missing",IF(AND(F302&lt;&gt;"Not started",F302&lt;&gt;"In progress",F302&lt;&gt;"In review",F302&lt;&gt;"Complete"),"Choose a status",""))))</f>
        <v/>
      </c>
    </row>
    <row r="303" customFormat="false" ht="44" hidden="false" customHeight="true" outlineLevel="0" collapsed="false">
      <c r="A303" s="29"/>
      <c r="B303" s="29"/>
      <c r="C303" s="29"/>
      <c r="D303" s="29"/>
      <c r="E303" s="29"/>
      <c r="F303" s="34"/>
      <c r="G303" s="34"/>
      <c r="H303" s="29"/>
      <c r="I303" s="29"/>
      <c r="J303" s="29"/>
      <c r="K303" s="29"/>
      <c r="L303" s="35" t="str">
        <f aca="false">IF(A303="",IF(SUMPRODUCT(--(B303:D303&lt;&gt;""))+SUMPRODUCT(--(F303:K303&lt;&gt;""))&gt;0,"Missing ID",""),IF(COUNTIF($A$7:$A$307,A303)&gt;1,"Duplicate ID",IF(AND(F303="Complete",G303=""),"Evidence missing",IF(AND(F303&lt;&gt;"Not started",F303&lt;&gt;"In progress",F303&lt;&gt;"In review",F303&lt;&gt;"Complete"),"Choose a status",""))))</f>
        <v/>
      </c>
    </row>
    <row r="304" customFormat="false" ht="44" hidden="false" customHeight="true" outlineLevel="0" collapsed="false">
      <c r="A304" s="29"/>
      <c r="B304" s="29"/>
      <c r="C304" s="29"/>
      <c r="D304" s="29"/>
      <c r="E304" s="29"/>
      <c r="F304" s="34"/>
      <c r="G304" s="34"/>
      <c r="H304" s="29"/>
      <c r="I304" s="29"/>
      <c r="J304" s="29"/>
      <c r="K304" s="29"/>
      <c r="L304" s="35" t="str">
        <f aca="false">IF(A304="",IF(SUMPRODUCT(--(B304:D304&lt;&gt;""))+SUMPRODUCT(--(F304:K304&lt;&gt;""))&gt;0,"Missing ID",""),IF(COUNTIF($A$7:$A$307,A304)&gt;1,"Duplicate ID",IF(AND(F304="Complete",G304=""),"Evidence missing",IF(AND(F304&lt;&gt;"Not started",F304&lt;&gt;"In progress",F304&lt;&gt;"In review",F304&lt;&gt;"Complete"),"Choose a status",""))))</f>
        <v/>
      </c>
    </row>
    <row r="305" customFormat="false" ht="44" hidden="false" customHeight="true" outlineLevel="0" collapsed="false">
      <c r="A305" s="29"/>
      <c r="B305" s="29"/>
      <c r="C305" s="29"/>
      <c r="D305" s="29"/>
      <c r="E305" s="29"/>
      <c r="F305" s="34"/>
      <c r="G305" s="34"/>
      <c r="H305" s="29"/>
      <c r="I305" s="29"/>
      <c r="J305" s="29"/>
      <c r="K305" s="29"/>
      <c r="L305" s="35" t="str">
        <f aca="false">IF(A305="",IF(SUMPRODUCT(--(B305:D305&lt;&gt;""))+SUMPRODUCT(--(F305:K305&lt;&gt;""))&gt;0,"Missing ID",""),IF(COUNTIF($A$7:$A$307,A305)&gt;1,"Duplicate ID",IF(AND(F305="Complete",G305=""),"Evidence missing",IF(AND(F305&lt;&gt;"Not started",F305&lt;&gt;"In progress",F305&lt;&gt;"In review",F305&lt;&gt;"Complete"),"Choose a status",""))))</f>
        <v/>
      </c>
    </row>
    <row r="306" customFormat="false" ht="44" hidden="false" customHeight="true" outlineLevel="0" collapsed="false">
      <c r="A306" s="29"/>
      <c r="B306" s="29"/>
      <c r="C306" s="29"/>
      <c r="D306" s="29"/>
      <c r="E306" s="29"/>
      <c r="F306" s="34"/>
      <c r="G306" s="34"/>
      <c r="H306" s="29"/>
      <c r="I306" s="29"/>
      <c r="J306" s="29"/>
      <c r="K306" s="29"/>
      <c r="L306" s="35" t="str">
        <f aca="false">IF(A306="",IF(SUMPRODUCT(--(B306:D306&lt;&gt;""))+SUMPRODUCT(--(F306:K306&lt;&gt;""))&gt;0,"Missing ID",""),IF(COUNTIF($A$7:$A$307,A306)&gt;1,"Duplicate ID",IF(AND(F306="Complete",G306=""),"Evidence missing",IF(AND(F306&lt;&gt;"Not started",F306&lt;&gt;"In progress",F306&lt;&gt;"In review",F306&lt;&gt;"Complete"),"Choose a status",""))))</f>
        <v/>
      </c>
    </row>
    <row r="307" customFormat="false" ht="44" hidden="false" customHeight="true" outlineLevel="0" collapsed="false">
      <c r="A307" s="29"/>
      <c r="B307" s="29"/>
      <c r="C307" s="29"/>
      <c r="D307" s="29"/>
      <c r="E307" s="29"/>
      <c r="F307" s="34"/>
      <c r="G307" s="34"/>
      <c r="H307" s="29"/>
      <c r="I307" s="29"/>
      <c r="J307" s="29"/>
      <c r="K307" s="29"/>
      <c r="L307" s="35" t="str">
        <f aca="false">IF(A307="",IF(SUMPRODUCT(--(B307:D307&lt;&gt;""))+SUMPRODUCT(--(F307:K307&lt;&gt;""))&gt;0,"Missing ID",""),IF(COUNTIF($A$7:$A$307,A307)&gt;1,"Duplicate ID",IF(AND(F307="Complete",G307=""),"Evidence missing",IF(AND(F307&lt;&gt;"Not started",F307&lt;&gt;"In progress",F307&lt;&gt;"In review",F307&lt;&gt;"Complete"),"Choose a status",""))))</f>
        <v/>
      </c>
    </row>
  </sheetData>
  <mergeCells count="2">
    <mergeCell ref="A1:C2"/>
    <mergeCell ref="A3:C4"/>
  </mergeCells>
  <conditionalFormatting sqref="C7:C31">
    <cfRule type="expression" priority="2" aboveAverage="0" equalAverage="0" bottom="0" percent="0" rank="0" text="" dxfId="30">
      <formula>$C7="High"</formula>
    </cfRule>
    <cfRule type="expression" priority="3" aboveAverage="0" equalAverage="0" bottom="0" percent="0" rank="0" text="" dxfId="29">
      <formula>$C7="Medium"</formula>
    </cfRule>
    <cfRule type="expression" priority="4" aboveAverage="0" equalAverage="0" bottom="0" percent="0" rank="0" text="" dxfId="1">
      <formula>$C7="Low"</formula>
    </cfRule>
  </conditionalFormatting>
  <conditionalFormatting sqref="I7:I31">
    <cfRule type="expression" priority="5" aboveAverage="0" equalAverage="0" bottom="0" percent="0" rank="0" text="" dxfId="31">
      <formula>$I7="Open"</formula>
    </cfRule>
    <cfRule type="expression" priority="6" aboveAverage="0" equalAverage="0" bottom="0" percent="0" rank="0" text="" dxfId="32">
      <formula>$I7="Working"</formula>
    </cfRule>
    <cfRule type="expression" priority="7" aboveAverage="0" equalAverage="0" bottom="0" percent="0" rank="0" text="" dxfId="0">
      <formula>$I7="Pending Q&amp;A"</formula>
    </cfRule>
    <cfRule type="expression" priority="8" aboveAverage="0" equalAverage="0" bottom="0" percent="0" rank="0" text="" dxfId="1">
      <formula>$I7="Resolved"</formula>
    </cfRule>
    <cfRule type="expression" priority="9" aboveAverage="0" equalAverage="0" bottom="0" percent="0" rank="0" text="" dxfId="31">
      <formula>$I7="Deferred"</formula>
    </cfRule>
  </conditionalFormatting>
  <conditionalFormatting sqref="F7:F307">
    <cfRule type="cellIs" priority="10" operator="equal" aboveAverage="0" equalAverage="0" bottom="0" percent="0" rank="0" text="" dxfId="57">
      <formula>"Unresolved"</formula>
    </cfRule>
    <cfRule type="cellIs" priority="11" operator="equal" aboveAverage="0" equalAverage="0" bottom="0" percent="0" rank="0" text="" dxfId="58">
      <formula>"Fail"</formula>
    </cfRule>
    <cfRule type="cellIs" priority="12" operator="equal" aboveAverage="0" equalAverage="0" bottom="0" percent="0" rank="0" text="" dxfId="59">
      <formula>"Pass"</formula>
    </cfRule>
    <cfRule type="cellIs" priority="13" operator="equal" aboveAverage="0" equalAverage="0" bottom="0" percent="0" rank="0" text="" dxfId="60">
      <formula>"In progress"</formula>
    </cfRule>
    <cfRule type="cellIs" priority="14" operator="equal" aboveAverage="0" equalAverage="0" bottom="0" percent="0" rank="0" text="" dxfId="61">
      <formula>"In review"</formula>
    </cfRule>
    <cfRule type="cellIs" priority="15" operator="equal" aboveAverage="0" equalAverage="0" bottom="0" percent="0" rank="0" text="" dxfId="62">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&amp;L&amp;"Arial,Bold"&amp;12&amp;K000000Questions-Risks</oddHeader>
    <oddFooter>&amp;L&amp;"Calibri"&amp;11&amp;K000000Questions-Risks&amp;R&amp;"Calibri"&amp;11&amp;K000000Page &amp;P of &amp;N</oddFooter>
  </headerFooter>
  <tableParts>
    <tablePart r:id="rId1"/>
  </tableParts>
</worksheet>
</file>

<file path=xl/worksheets/sheet9.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4.44"/>
    <col collapsed="false" customWidth="true" hidden="false" outlineLevel="0" max="2" min="2" style="0" width="12.78"/>
    <col collapsed="false" customWidth="true" hidden="false" outlineLevel="0" max="3" min="3" style="0" width="40"/>
    <col collapsed="false" customWidth="true" hidden="false" outlineLevel="0" max="4" min="4" style="0" width="13.89"/>
    <col collapsed="false" customWidth="true" hidden="false" outlineLevel="0" max="5" min="5" style="0" width="33.89"/>
    <col collapsed="false" customWidth="true" hidden="false" outlineLevel="0" max="6" min="6" style="0" width="12.78"/>
    <col collapsed="false" customWidth="true" hidden="true" outlineLevel="1" max="7" min="7" style="0" width="20.56"/>
    <col collapsed="false" customWidth="true" hidden="true" outlineLevel="1" max="8" min="8" style="0" width="16.11"/>
    <col collapsed="false" customWidth="true" hidden="true" outlineLevel="1" max="9" min="9" style="0" width="11.67"/>
    <col collapsed="false" customWidth="true" hidden="true" outlineLevel="1" max="10" min="10" style="0" width="33.33"/>
  </cols>
  <sheetData>
    <row r="1" customFormat="false" ht="23" hidden="false" customHeight="true" outlineLevel="0" collapsed="false">
      <c r="A1" s="28" t="s">
        <v>128</v>
      </c>
      <c r="B1" s="28" t="s">
        <v>128</v>
      </c>
      <c r="C1" s="28" t="s">
        <v>128</v>
      </c>
      <c r="D1" s="29"/>
      <c r="E1" s="29"/>
      <c r="F1" s="29"/>
      <c r="G1" s="29"/>
      <c r="H1" s="29"/>
      <c r="I1" s="29"/>
      <c r="J1" s="29"/>
    </row>
    <row r="2" customFormat="false" ht="23" hidden="false" customHeight="true" outlineLevel="0" collapsed="false">
      <c r="A2" s="28" t="s">
        <v>128</v>
      </c>
      <c r="B2" s="28" t="s">
        <v>128</v>
      </c>
      <c r="C2" s="28" t="s">
        <v>128</v>
      </c>
      <c r="D2" s="29"/>
      <c r="E2" s="29"/>
      <c r="F2" s="29"/>
      <c r="G2" s="29"/>
      <c r="H2" s="29"/>
      <c r="I2" s="29"/>
      <c r="J2" s="29"/>
    </row>
    <row r="3" customFormat="false" ht="22" hidden="false" customHeight="true" outlineLevel="0" collapsed="false">
      <c r="A3" s="11" t="s">
        <v>69</v>
      </c>
      <c r="B3" s="11" t="s">
        <v>69</v>
      </c>
      <c r="C3" s="11" t="s">
        <v>69</v>
      </c>
      <c r="D3" s="29"/>
      <c r="E3" s="29"/>
      <c r="F3" s="29"/>
      <c r="G3" s="29"/>
      <c r="H3" s="29"/>
      <c r="I3" s="29"/>
      <c r="J3" s="29"/>
    </row>
    <row r="4" customFormat="false" ht="22" hidden="false" customHeight="true" outlineLevel="0" collapsed="false">
      <c r="A4" s="11" t="s">
        <v>69</v>
      </c>
      <c r="B4" s="11" t="s">
        <v>69</v>
      </c>
      <c r="C4" s="11" t="s">
        <v>69</v>
      </c>
      <c r="D4" s="29"/>
      <c r="E4" s="29"/>
      <c r="F4" s="29"/>
      <c r="G4" s="29"/>
      <c r="H4" s="29"/>
      <c r="I4" s="29"/>
      <c r="J4" s="29"/>
    </row>
    <row r="5" customFormat="false" ht="44" hidden="false" customHeight="true" outlineLevel="0" collapsed="false">
      <c r="A5" s="29"/>
      <c r="B5" s="29"/>
      <c r="C5" s="29"/>
      <c r="D5" s="29"/>
      <c r="E5" s="29"/>
      <c r="F5" s="29"/>
      <c r="G5" s="29"/>
      <c r="H5" s="29"/>
      <c r="I5" s="29"/>
      <c r="J5" s="29"/>
    </row>
    <row r="6" customFormat="false" ht="42" hidden="false" customHeight="true" outlineLevel="0" collapsed="false">
      <c r="A6" s="30" t="s">
        <v>129</v>
      </c>
      <c r="B6" s="30" t="s">
        <v>41</v>
      </c>
      <c r="C6" s="30" t="s">
        <v>130</v>
      </c>
      <c r="D6" s="30" t="s">
        <v>122</v>
      </c>
      <c r="E6" s="30" t="s">
        <v>131</v>
      </c>
      <c r="F6" s="30" t="s">
        <v>108</v>
      </c>
      <c r="G6" s="30" t="s">
        <v>132</v>
      </c>
      <c r="H6" s="30" t="s">
        <v>133</v>
      </c>
      <c r="I6" s="30" t="s">
        <v>86</v>
      </c>
      <c r="J6" s="30" t="s">
        <v>91</v>
      </c>
    </row>
    <row r="7" customFormat="false" ht="44" hidden="false" customHeight="true" outlineLevel="0" collapsed="false">
      <c r="A7" s="31"/>
      <c r="B7" s="40"/>
      <c r="C7" s="33"/>
      <c r="D7" s="33"/>
      <c r="E7" s="33"/>
      <c r="F7" s="33"/>
      <c r="G7" s="33"/>
      <c r="H7" s="33"/>
      <c r="I7" s="33"/>
      <c r="J7" s="33"/>
    </row>
    <row r="8" customFormat="false" ht="44" hidden="false" customHeight="true" outlineLevel="0" collapsed="false">
      <c r="A8" s="36"/>
      <c r="B8" s="41"/>
      <c r="C8" s="38"/>
      <c r="D8" s="38"/>
      <c r="E8" s="38"/>
      <c r="F8" s="38"/>
      <c r="G8" s="38"/>
      <c r="H8" s="38"/>
      <c r="I8" s="38"/>
      <c r="J8" s="38"/>
    </row>
    <row r="9" customFormat="false" ht="44" hidden="false" customHeight="true" outlineLevel="0" collapsed="false">
      <c r="A9" s="31"/>
      <c r="B9" s="40"/>
      <c r="C9" s="33"/>
      <c r="D9" s="33"/>
      <c r="E9" s="33"/>
      <c r="F9" s="33"/>
      <c r="G9" s="33"/>
      <c r="H9" s="33"/>
      <c r="I9" s="33"/>
      <c r="J9" s="33"/>
    </row>
    <row r="10" customFormat="false" ht="44" hidden="false" customHeight="true" outlineLevel="0" collapsed="false">
      <c r="A10" s="36"/>
      <c r="B10" s="41"/>
      <c r="C10" s="38"/>
      <c r="D10" s="38"/>
      <c r="E10" s="38"/>
      <c r="F10" s="38"/>
      <c r="G10" s="38"/>
      <c r="H10" s="38"/>
      <c r="I10" s="38"/>
      <c r="J10" s="38"/>
    </row>
    <row r="11" customFormat="false" ht="44" hidden="false" customHeight="true" outlineLevel="0" collapsed="false">
      <c r="A11" s="31"/>
      <c r="B11" s="40"/>
      <c r="C11" s="33"/>
      <c r="D11" s="33"/>
      <c r="E11" s="33"/>
      <c r="F11" s="33"/>
      <c r="G11" s="33"/>
      <c r="H11" s="33"/>
      <c r="I11" s="33"/>
      <c r="J11" s="33"/>
    </row>
    <row r="12" customFormat="false" ht="44" hidden="false" customHeight="true" outlineLevel="0" collapsed="false">
      <c r="A12" s="36"/>
      <c r="B12" s="41"/>
      <c r="C12" s="38"/>
      <c r="D12" s="38"/>
      <c r="E12" s="38"/>
      <c r="F12" s="38"/>
      <c r="G12" s="38"/>
      <c r="H12" s="38"/>
      <c r="I12" s="38"/>
      <c r="J12" s="38"/>
    </row>
    <row r="13" customFormat="false" ht="44" hidden="false" customHeight="true" outlineLevel="0" collapsed="false">
      <c r="A13" s="31"/>
      <c r="B13" s="40"/>
      <c r="C13" s="33"/>
      <c r="D13" s="33"/>
      <c r="E13" s="33"/>
      <c r="F13" s="33"/>
      <c r="G13" s="33"/>
      <c r="H13" s="33"/>
      <c r="I13" s="33"/>
      <c r="J13" s="33"/>
    </row>
    <row r="14" customFormat="false" ht="44" hidden="false" customHeight="true" outlineLevel="0" collapsed="false">
      <c r="A14" s="36"/>
      <c r="B14" s="41"/>
      <c r="C14" s="38"/>
      <c r="D14" s="38"/>
      <c r="E14" s="38"/>
      <c r="F14" s="38"/>
      <c r="G14" s="38"/>
      <c r="H14" s="38"/>
      <c r="I14" s="38"/>
      <c r="J14" s="38"/>
    </row>
    <row r="15" customFormat="false" ht="44" hidden="false" customHeight="true" outlineLevel="0" collapsed="false">
      <c r="A15" s="29"/>
      <c r="B15" s="42"/>
      <c r="C15" s="29"/>
      <c r="D15" s="29"/>
      <c r="E15" s="29"/>
      <c r="F15" s="29"/>
      <c r="G15" s="29"/>
      <c r="H15" s="29"/>
      <c r="I15" s="29"/>
      <c r="J15" s="29"/>
    </row>
    <row r="16" customFormat="false" ht="44" hidden="false" customHeight="true" outlineLevel="0" collapsed="false">
      <c r="A16" s="29"/>
      <c r="B16" s="42"/>
      <c r="C16" s="29"/>
      <c r="D16" s="29"/>
      <c r="E16" s="29"/>
      <c r="F16" s="29"/>
      <c r="G16" s="29"/>
      <c r="H16" s="29"/>
      <c r="I16" s="29"/>
      <c r="J16" s="29"/>
    </row>
    <row r="17" customFormat="false" ht="44" hidden="false" customHeight="true" outlineLevel="0" collapsed="false">
      <c r="A17" s="29"/>
      <c r="B17" s="42"/>
      <c r="C17" s="29"/>
      <c r="D17" s="29"/>
      <c r="E17" s="29"/>
      <c r="F17" s="29"/>
      <c r="G17" s="29"/>
      <c r="H17" s="29"/>
      <c r="I17" s="29"/>
      <c r="J17" s="29"/>
    </row>
    <row r="18" customFormat="false" ht="44" hidden="false" customHeight="true" outlineLevel="0" collapsed="false">
      <c r="A18" s="29"/>
      <c r="B18" s="42"/>
      <c r="C18" s="29"/>
      <c r="D18" s="29"/>
      <c r="E18" s="29"/>
      <c r="F18" s="29"/>
      <c r="G18" s="29"/>
      <c r="H18" s="29"/>
      <c r="I18" s="29"/>
      <c r="J18" s="29"/>
    </row>
    <row r="19" customFormat="false" ht="44" hidden="false" customHeight="true" outlineLevel="0" collapsed="false">
      <c r="A19" s="29"/>
      <c r="B19" s="42"/>
      <c r="C19" s="29"/>
      <c r="D19" s="29"/>
      <c r="E19" s="29"/>
      <c r="F19" s="29"/>
      <c r="G19" s="29"/>
      <c r="H19" s="29"/>
      <c r="I19" s="29"/>
      <c r="J19" s="29"/>
    </row>
    <row r="20" customFormat="false" ht="44" hidden="false" customHeight="true" outlineLevel="0" collapsed="false">
      <c r="A20" s="29"/>
      <c r="B20" s="42"/>
      <c r="C20" s="29"/>
      <c r="D20" s="29"/>
      <c r="E20" s="29"/>
      <c r="F20" s="29"/>
      <c r="G20" s="29"/>
      <c r="H20" s="29"/>
      <c r="I20" s="29"/>
      <c r="J20" s="29"/>
    </row>
    <row r="21" customFormat="false" ht="44" hidden="false" customHeight="true" outlineLevel="0" collapsed="false">
      <c r="A21" s="29"/>
      <c r="B21" s="42"/>
      <c r="C21" s="29"/>
      <c r="D21" s="29"/>
      <c r="E21" s="29"/>
      <c r="F21" s="29"/>
      <c r="G21" s="29"/>
      <c r="H21" s="29"/>
      <c r="I21" s="29"/>
      <c r="J21" s="29"/>
    </row>
    <row r="22" customFormat="false" ht="44" hidden="false" customHeight="true" outlineLevel="0" collapsed="false">
      <c r="A22" s="29"/>
      <c r="B22" s="42"/>
      <c r="C22" s="29"/>
      <c r="D22" s="29"/>
      <c r="E22" s="29"/>
      <c r="F22" s="29"/>
      <c r="G22" s="29"/>
      <c r="H22" s="29"/>
      <c r="I22" s="29"/>
      <c r="J22" s="29"/>
    </row>
    <row r="23" customFormat="false" ht="44" hidden="false" customHeight="true" outlineLevel="0" collapsed="false">
      <c r="A23" s="29"/>
      <c r="B23" s="42"/>
      <c r="C23" s="29"/>
      <c r="D23" s="29"/>
      <c r="E23" s="29"/>
      <c r="F23" s="29"/>
      <c r="G23" s="29"/>
      <c r="H23" s="29"/>
      <c r="I23" s="29"/>
      <c r="J23" s="29"/>
    </row>
    <row r="24" customFormat="false" ht="44" hidden="false" customHeight="true" outlineLevel="0" collapsed="false">
      <c r="A24" s="29"/>
      <c r="B24" s="42"/>
      <c r="C24" s="29"/>
      <c r="D24" s="29"/>
      <c r="E24" s="29"/>
      <c r="F24" s="29"/>
      <c r="G24" s="29"/>
      <c r="H24" s="29"/>
      <c r="I24" s="29"/>
      <c r="J24" s="29"/>
    </row>
    <row r="25" customFormat="false" ht="44" hidden="false" customHeight="true" outlineLevel="0" collapsed="false">
      <c r="A25" s="29"/>
      <c r="B25" s="42"/>
      <c r="C25" s="29"/>
      <c r="D25" s="29"/>
      <c r="E25" s="29"/>
      <c r="F25" s="29"/>
      <c r="G25" s="29"/>
      <c r="H25" s="29"/>
      <c r="I25" s="29"/>
      <c r="J25" s="29"/>
    </row>
    <row r="26" customFormat="false" ht="44" hidden="false" customHeight="true" outlineLevel="0" collapsed="false">
      <c r="A26" s="29"/>
      <c r="B26" s="42"/>
      <c r="C26" s="29"/>
      <c r="D26" s="29"/>
      <c r="E26" s="29"/>
      <c r="F26" s="29"/>
      <c r="G26" s="29"/>
      <c r="H26" s="29"/>
      <c r="I26" s="29"/>
      <c r="J26" s="29"/>
    </row>
    <row r="27" customFormat="false" ht="44" hidden="false" customHeight="true" outlineLevel="0" collapsed="false">
      <c r="A27" s="29"/>
      <c r="B27" s="42"/>
      <c r="C27" s="29"/>
      <c r="D27" s="29"/>
      <c r="E27" s="29"/>
      <c r="F27" s="29"/>
      <c r="G27" s="29"/>
      <c r="H27" s="29"/>
      <c r="I27" s="29"/>
      <c r="J27" s="29"/>
    </row>
    <row r="28" customFormat="false" ht="44" hidden="false" customHeight="true" outlineLevel="0" collapsed="false">
      <c r="A28" s="29"/>
      <c r="B28" s="42"/>
      <c r="C28" s="29"/>
      <c r="D28" s="29"/>
      <c r="E28" s="29"/>
      <c r="F28" s="29"/>
      <c r="G28" s="29"/>
      <c r="H28" s="29"/>
      <c r="I28" s="29"/>
      <c r="J28" s="29"/>
    </row>
    <row r="29" customFormat="false" ht="44" hidden="false" customHeight="true" outlineLevel="0" collapsed="false">
      <c r="A29" s="29"/>
      <c r="B29" s="42"/>
      <c r="C29" s="29"/>
      <c r="D29" s="29"/>
      <c r="E29" s="29"/>
      <c r="F29" s="29"/>
      <c r="G29" s="29"/>
      <c r="H29" s="29"/>
      <c r="I29" s="29"/>
      <c r="J29" s="29"/>
    </row>
    <row r="30" customFormat="false" ht="44" hidden="false" customHeight="true" outlineLevel="0" collapsed="false">
      <c r="A30" s="29"/>
      <c r="B30" s="42"/>
      <c r="C30" s="29"/>
      <c r="D30" s="29"/>
      <c r="E30" s="29"/>
      <c r="F30" s="29"/>
      <c r="G30" s="29"/>
      <c r="H30" s="29"/>
      <c r="I30" s="29"/>
      <c r="J30" s="29"/>
    </row>
    <row r="31" customFormat="false" ht="44" hidden="false" customHeight="true" outlineLevel="0" collapsed="false">
      <c r="A31" s="29"/>
      <c r="B31" s="42"/>
      <c r="C31" s="29"/>
      <c r="D31" s="29"/>
      <c r="E31" s="29"/>
      <c r="F31" s="29"/>
      <c r="G31" s="29"/>
      <c r="H31" s="29"/>
      <c r="I31" s="29"/>
      <c r="J31" s="29"/>
    </row>
    <row r="32" customFormat="false" ht="44" hidden="false" customHeight="true" outlineLevel="0" collapsed="false">
      <c r="A32" s="29"/>
      <c r="B32" s="42"/>
      <c r="C32" s="29"/>
      <c r="D32" s="29"/>
      <c r="E32" s="29"/>
      <c r="F32" s="29"/>
      <c r="G32" s="29"/>
      <c r="H32" s="29"/>
      <c r="I32" s="29"/>
      <c r="J32" s="29"/>
    </row>
    <row r="33" customFormat="false" ht="44" hidden="false" customHeight="true" outlineLevel="0" collapsed="false">
      <c r="A33" s="29"/>
      <c r="B33" s="42"/>
      <c r="C33" s="29"/>
      <c r="D33" s="29"/>
      <c r="E33" s="29"/>
      <c r="F33" s="29"/>
      <c r="G33" s="29"/>
      <c r="H33" s="29"/>
      <c r="I33" s="29"/>
      <c r="J33" s="29"/>
    </row>
    <row r="34" customFormat="false" ht="44" hidden="false" customHeight="true" outlineLevel="0" collapsed="false">
      <c r="A34" s="29"/>
      <c r="B34" s="42"/>
      <c r="C34" s="29"/>
      <c r="D34" s="29"/>
      <c r="E34" s="29"/>
      <c r="F34" s="29"/>
      <c r="G34" s="29"/>
      <c r="H34" s="29"/>
      <c r="I34" s="29"/>
      <c r="J34" s="29"/>
    </row>
    <row r="35" customFormat="false" ht="44" hidden="false" customHeight="true" outlineLevel="0" collapsed="false">
      <c r="A35" s="29"/>
      <c r="B35" s="42"/>
      <c r="C35" s="29"/>
      <c r="D35" s="29"/>
      <c r="E35" s="29"/>
      <c r="F35" s="29"/>
      <c r="G35" s="29"/>
      <c r="H35" s="29"/>
      <c r="I35" s="29"/>
      <c r="J35" s="29"/>
    </row>
    <row r="36" customFormat="false" ht="44" hidden="false" customHeight="true" outlineLevel="0" collapsed="false">
      <c r="A36" s="29"/>
      <c r="B36" s="42"/>
      <c r="C36" s="29"/>
      <c r="D36" s="29"/>
      <c r="E36" s="29"/>
      <c r="F36" s="29"/>
      <c r="G36" s="29"/>
      <c r="H36" s="29"/>
      <c r="I36" s="29"/>
      <c r="J36" s="29"/>
    </row>
    <row r="37" customFormat="false" ht="44" hidden="false" customHeight="true" outlineLevel="0" collapsed="false">
      <c r="A37" s="29"/>
      <c r="B37" s="42"/>
      <c r="C37" s="29"/>
      <c r="D37" s="29"/>
      <c r="E37" s="29"/>
      <c r="F37" s="29"/>
      <c r="G37" s="29"/>
      <c r="H37" s="29"/>
      <c r="I37" s="29"/>
      <c r="J37" s="29"/>
    </row>
    <row r="38" customFormat="false" ht="44" hidden="false" customHeight="true" outlineLevel="0" collapsed="false">
      <c r="A38" s="29"/>
      <c r="B38" s="42"/>
      <c r="C38" s="29"/>
      <c r="D38" s="29"/>
      <c r="E38" s="29"/>
      <c r="F38" s="29"/>
      <c r="G38" s="29"/>
      <c r="H38" s="29"/>
      <c r="I38" s="29"/>
      <c r="J38" s="29"/>
    </row>
    <row r="39" customFormat="false" ht="44" hidden="false" customHeight="true" outlineLevel="0" collapsed="false">
      <c r="A39" s="29"/>
      <c r="B39" s="42"/>
      <c r="C39" s="29"/>
      <c r="D39" s="29"/>
      <c r="E39" s="29"/>
      <c r="F39" s="29"/>
      <c r="G39" s="29"/>
      <c r="H39" s="29"/>
      <c r="I39" s="29"/>
      <c r="J39" s="29"/>
    </row>
    <row r="40" customFormat="false" ht="44" hidden="false" customHeight="true" outlineLevel="0" collapsed="false">
      <c r="A40" s="29"/>
      <c r="B40" s="42"/>
      <c r="C40" s="29"/>
      <c r="D40" s="29"/>
      <c r="E40" s="29"/>
      <c r="F40" s="29"/>
      <c r="G40" s="29"/>
      <c r="H40" s="29"/>
      <c r="I40" s="29"/>
      <c r="J40" s="29"/>
    </row>
    <row r="41" customFormat="false" ht="44" hidden="false" customHeight="true" outlineLevel="0" collapsed="false">
      <c r="A41" s="29"/>
      <c r="B41" s="42"/>
      <c r="C41" s="29"/>
      <c r="D41" s="29"/>
      <c r="E41" s="29"/>
      <c r="F41" s="29"/>
      <c r="G41" s="29"/>
      <c r="H41" s="29"/>
      <c r="I41" s="29"/>
      <c r="J41" s="29"/>
    </row>
    <row r="42" customFormat="false" ht="44" hidden="false" customHeight="true" outlineLevel="0" collapsed="false">
      <c r="A42" s="29"/>
      <c r="B42" s="42"/>
      <c r="C42" s="29"/>
      <c r="D42" s="29"/>
      <c r="E42" s="29"/>
      <c r="F42" s="29"/>
      <c r="G42" s="29"/>
      <c r="H42" s="29"/>
      <c r="I42" s="29"/>
      <c r="J42" s="29"/>
    </row>
    <row r="43" customFormat="false" ht="44" hidden="false" customHeight="true" outlineLevel="0" collapsed="false">
      <c r="A43" s="29"/>
      <c r="B43" s="42"/>
      <c r="C43" s="29"/>
      <c r="D43" s="29"/>
      <c r="E43" s="29"/>
      <c r="F43" s="29"/>
      <c r="G43" s="29"/>
      <c r="H43" s="29"/>
      <c r="I43" s="29"/>
      <c r="J43" s="29"/>
    </row>
    <row r="44" customFormat="false" ht="44" hidden="false" customHeight="true" outlineLevel="0" collapsed="false">
      <c r="A44" s="29"/>
      <c r="B44" s="42"/>
      <c r="C44" s="29"/>
      <c r="D44" s="29"/>
      <c r="E44" s="29"/>
      <c r="F44" s="29"/>
      <c r="G44" s="29"/>
      <c r="H44" s="29"/>
      <c r="I44" s="29"/>
      <c r="J44" s="29"/>
    </row>
    <row r="45" customFormat="false" ht="44" hidden="false" customHeight="true" outlineLevel="0" collapsed="false">
      <c r="A45" s="29"/>
      <c r="B45" s="42"/>
      <c r="C45" s="29"/>
      <c r="D45" s="29"/>
      <c r="E45" s="29"/>
      <c r="F45" s="29"/>
      <c r="G45" s="29"/>
      <c r="H45" s="29"/>
      <c r="I45" s="29"/>
      <c r="J45" s="29"/>
    </row>
    <row r="46" customFormat="false" ht="44" hidden="false" customHeight="true" outlineLevel="0" collapsed="false">
      <c r="A46" s="29"/>
      <c r="B46" s="42"/>
      <c r="C46" s="29"/>
      <c r="D46" s="29"/>
      <c r="E46" s="29"/>
      <c r="F46" s="29"/>
      <c r="G46" s="29"/>
      <c r="H46" s="29"/>
      <c r="I46" s="29"/>
      <c r="J46" s="29"/>
    </row>
    <row r="47" customFormat="false" ht="44" hidden="false" customHeight="true" outlineLevel="0" collapsed="false">
      <c r="A47" s="29"/>
      <c r="B47" s="42"/>
      <c r="C47" s="29"/>
      <c r="D47" s="29"/>
      <c r="E47" s="29"/>
      <c r="F47" s="29"/>
      <c r="G47" s="29"/>
      <c r="H47" s="29"/>
      <c r="I47" s="29"/>
      <c r="J47" s="29"/>
    </row>
    <row r="48" customFormat="false" ht="44" hidden="false" customHeight="true" outlineLevel="0" collapsed="false">
      <c r="A48" s="29"/>
      <c r="B48" s="42"/>
      <c r="C48" s="29"/>
      <c r="D48" s="29"/>
      <c r="E48" s="29"/>
      <c r="F48" s="29"/>
      <c r="G48" s="29"/>
      <c r="H48" s="29"/>
      <c r="I48" s="29"/>
      <c r="J48" s="29"/>
    </row>
    <row r="49" customFormat="false" ht="44" hidden="false" customHeight="true" outlineLevel="0" collapsed="false">
      <c r="A49" s="29"/>
      <c r="B49" s="42"/>
      <c r="C49" s="29"/>
      <c r="D49" s="29"/>
      <c r="E49" s="29"/>
      <c r="F49" s="29"/>
      <c r="G49" s="29"/>
      <c r="H49" s="29"/>
      <c r="I49" s="29"/>
      <c r="J49" s="29"/>
    </row>
    <row r="50" customFormat="false" ht="44" hidden="false" customHeight="true" outlineLevel="0" collapsed="false">
      <c r="A50" s="29"/>
      <c r="B50" s="42"/>
      <c r="C50" s="29"/>
      <c r="D50" s="29"/>
      <c r="E50" s="29"/>
      <c r="F50" s="29"/>
      <c r="G50" s="29"/>
      <c r="H50" s="29"/>
      <c r="I50" s="29"/>
      <c r="J50" s="29"/>
    </row>
    <row r="51" customFormat="false" ht="44" hidden="false" customHeight="true" outlineLevel="0" collapsed="false">
      <c r="A51" s="29"/>
      <c r="B51" s="42"/>
      <c r="C51" s="29"/>
      <c r="D51" s="29"/>
      <c r="E51" s="29"/>
      <c r="F51" s="29"/>
      <c r="G51" s="29"/>
      <c r="H51" s="29"/>
      <c r="I51" s="29"/>
      <c r="J51" s="29"/>
    </row>
    <row r="52" customFormat="false" ht="44" hidden="false" customHeight="true" outlineLevel="0" collapsed="false">
      <c r="A52" s="29"/>
      <c r="B52" s="42"/>
      <c r="C52" s="29"/>
      <c r="D52" s="29"/>
      <c r="E52" s="29"/>
      <c r="F52" s="29"/>
      <c r="G52" s="29"/>
      <c r="H52" s="29"/>
      <c r="I52" s="29"/>
      <c r="J52" s="29"/>
    </row>
    <row r="53" customFormat="false" ht="44" hidden="false" customHeight="true" outlineLevel="0" collapsed="false">
      <c r="A53" s="29"/>
      <c r="B53" s="42"/>
      <c r="C53" s="29"/>
      <c r="D53" s="29"/>
      <c r="E53" s="29"/>
      <c r="F53" s="29"/>
      <c r="G53" s="29"/>
      <c r="H53" s="29"/>
      <c r="I53" s="29"/>
      <c r="J53" s="29"/>
    </row>
    <row r="54" customFormat="false" ht="44" hidden="false" customHeight="true" outlineLevel="0" collapsed="false">
      <c r="A54" s="29"/>
      <c r="B54" s="42"/>
      <c r="C54" s="29"/>
      <c r="D54" s="29"/>
      <c r="E54" s="29"/>
      <c r="F54" s="29"/>
      <c r="G54" s="29"/>
      <c r="H54" s="29"/>
      <c r="I54" s="29"/>
      <c r="J54" s="29"/>
    </row>
    <row r="55" customFormat="false" ht="44" hidden="false" customHeight="true" outlineLevel="0" collapsed="false">
      <c r="A55" s="29"/>
      <c r="B55" s="42"/>
      <c r="C55" s="29"/>
      <c r="D55" s="29"/>
      <c r="E55" s="29"/>
      <c r="F55" s="29"/>
      <c r="G55" s="29"/>
      <c r="H55" s="29"/>
      <c r="I55" s="29"/>
      <c r="J55" s="29"/>
    </row>
    <row r="56" customFormat="false" ht="44" hidden="false" customHeight="true" outlineLevel="0" collapsed="false">
      <c r="A56" s="29"/>
      <c r="B56" s="42"/>
      <c r="C56" s="29"/>
      <c r="D56" s="29"/>
      <c r="E56" s="29"/>
      <c r="F56" s="29"/>
      <c r="G56" s="29"/>
      <c r="H56" s="29"/>
      <c r="I56" s="29"/>
      <c r="J56" s="29"/>
    </row>
    <row r="57" customFormat="false" ht="44" hidden="false" customHeight="true" outlineLevel="0" collapsed="false">
      <c r="A57" s="29"/>
      <c r="B57" s="42"/>
      <c r="C57" s="29"/>
      <c r="D57" s="29"/>
      <c r="E57" s="29"/>
      <c r="F57" s="29"/>
      <c r="G57" s="29"/>
      <c r="H57" s="29"/>
      <c r="I57" s="29"/>
      <c r="J57" s="29"/>
    </row>
    <row r="58" customFormat="false" ht="44" hidden="false" customHeight="true" outlineLevel="0" collapsed="false">
      <c r="A58" s="29"/>
      <c r="B58" s="42"/>
      <c r="C58" s="29"/>
      <c r="D58" s="29"/>
      <c r="E58" s="29"/>
      <c r="F58" s="29"/>
      <c r="G58" s="29"/>
      <c r="H58" s="29"/>
      <c r="I58" s="29"/>
      <c r="J58" s="29"/>
    </row>
    <row r="59" customFormat="false" ht="44" hidden="false" customHeight="true" outlineLevel="0" collapsed="false">
      <c r="A59" s="29"/>
      <c r="B59" s="42"/>
      <c r="C59" s="29"/>
      <c r="D59" s="29"/>
      <c r="E59" s="29"/>
      <c r="F59" s="29"/>
      <c r="G59" s="29"/>
      <c r="H59" s="29"/>
      <c r="I59" s="29"/>
      <c r="J59" s="29"/>
    </row>
    <row r="60" customFormat="false" ht="44" hidden="false" customHeight="true" outlineLevel="0" collapsed="false">
      <c r="A60" s="29"/>
      <c r="B60" s="42"/>
      <c r="C60" s="29"/>
      <c r="D60" s="29"/>
      <c r="E60" s="29"/>
      <c r="F60" s="29"/>
      <c r="G60" s="29"/>
      <c r="H60" s="29"/>
      <c r="I60" s="29"/>
      <c r="J60" s="29"/>
    </row>
    <row r="61" customFormat="false" ht="44" hidden="false" customHeight="true" outlineLevel="0" collapsed="false">
      <c r="A61" s="29"/>
      <c r="B61" s="42"/>
      <c r="C61" s="29"/>
      <c r="D61" s="29"/>
      <c r="E61" s="29"/>
      <c r="F61" s="29"/>
      <c r="G61" s="29"/>
      <c r="H61" s="29"/>
      <c r="I61" s="29"/>
      <c r="J61" s="29"/>
    </row>
    <row r="62" customFormat="false" ht="44" hidden="false" customHeight="true" outlineLevel="0" collapsed="false">
      <c r="A62" s="29"/>
      <c r="B62" s="42"/>
      <c r="C62" s="29"/>
      <c r="D62" s="29"/>
      <c r="E62" s="29"/>
      <c r="F62" s="29"/>
      <c r="G62" s="29"/>
      <c r="H62" s="29"/>
      <c r="I62" s="29"/>
      <c r="J62" s="29"/>
    </row>
    <row r="63" customFormat="false" ht="44" hidden="false" customHeight="true" outlineLevel="0" collapsed="false">
      <c r="A63" s="29"/>
      <c r="B63" s="42"/>
      <c r="C63" s="29"/>
      <c r="D63" s="29"/>
      <c r="E63" s="29"/>
      <c r="F63" s="29"/>
      <c r="G63" s="29"/>
      <c r="H63" s="29"/>
      <c r="I63" s="29"/>
      <c r="J63" s="29"/>
    </row>
    <row r="64" customFormat="false" ht="44" hidden="false" customHeight="true" outlineLevel="0" collapsed="false">
      <c r="A64" s="29"/>
      <c r="B64" s="42"/>
      <c r="C64" s="29"/>
      <c r="D64" s="29"/>
      <c r="E64" s="29"/>
      <c r="F64" s="29"/>
      <c r="G64" s="29"/>
      <c r="H64" s="29"/>
      <c r="I64" s="29"/>
      <c r="J64" s="29"/>
    </row>
    <row r="65" customFormat="false" ht="44" hidden="false" customHeight="true" outlineLevel="0" collapsed="false">
      <c r="A65" s="29"/>
      <c r="B65" s="42"/>
      <c r="C65" s="29"/>
      <c r="D65" s="29"/>
      <c r="E65" s="29"/>
      <c r="F65" s="29"/>
      <c r="G65" s="29"/>
      <c r="H65" s="29"/>
      <c r="I65" s="29"/>
      <c r="J65" s="29"/>
    </row>
    <row r="66" customFormat="false" ht="44" hidden="false" customHeight="true" outlineLevel="0" collapsed="false">
      <c r="A66" s="29"/>
      <c r="B66" s="42"/>
      <c r="C66" s="29"/>
      <c r="D66" s="29"/>
      <c r="E66" s="29"/>
      <c r="F66" s="29"/>
      <c r="G66" s="29"/>
      <c r="H66" s="29"/>
      <c r="I66" s="29"/>
      <c r="J66" s="29"/>
    </row>
    <row r="67" customFormat="false" ht="44" hidden="false" customHeight="true" outlineLevel="0" collapsed="false">
      <c r="A67" s="29"/>
      <c r="B67" s="42"/>
      <c r="C67" s="29"/>
      <c r="D67" s="29"/>
      <c r="E67" s="29"/>
      <c r="F67" s="29"/>
      <c r="G67" s="29"/>
      <c r="H67" s="29"/>
      <c r="I67" s="29"/>
      <c r="J67" s="29"/>
    </row>
    <row r="68" customFormat="false" ht="44" hidden="false" customHeight="true" outlineLevel="0" collapsed="false">
      <c r="A68" s="29"/>
      <c r="B68" s="42"/>
      <c r="C68" s="29"/>
      <c r="D68" s="29"/>
      <c r="E68" s="29"/>
      <c r="F68" s="29"/>
      <c r="G68" s="29"/>
      <c r="H68" s="29"/>
      <c r="I68" s="29"/>
      <c r="J68" s="29"/>
    </row>
    <row r="69" customFormat="false" ht="44" hidden="false" customHeight="true" outlineLevel="0" collapsed="false">
      <c r="A69" s="29"/>
      <c r="B69" s="42"/>
      <c r="C69" s="29"/>
      <c r="D69" s="29"/>
      <c r="E69" s="29"/>
      <c r="F69" s="29"/>
      <c r="G69" s="29"/>
      <c r="H69" s="29"/>
      <c r="I69" s="29"/>
      <c r="J69" s="29"/>
    </row>
    <row r="70" customFormat="false" ht="44" hidden="false" customHeight="true" outlineLevel="0" collapsed="false">
      <c r="A70" s="29"/>
      <c r="B70" s="42"/>
      <c r="C70" s="29"/>
      <c r="D70" s="29"/>
      <c r="E70" s="29"/>
      <c r="F70" s="29"/>
      <c r="G70" s="29"/>
      <c r="H70" s="29"/>
      <c r="I70" s="29"/>
      <c r="J70" s="29"/>
    </row>
    <row r="71" customFormat="false" ht="44" hidden="false" customHeight="true" outlineLevel="0" collapsed="false">
      <c r="A71" s="29"/>
      <c r="B71" s="42"/>
      <c r="C71" s="29"/>
      <c r="D71" s="29"/>
      <c r="E71" s="29"/>
      <c r="F71" s="29"/>
      <c r="G71" s="29"/>
      <c r="H71" s="29"/>
      <c r="I71" s="29"/>
      <c r="J71" s="29"/>
    </row>
    <row r="72" customFormat="false" ht="44" hidden="false" customHeight="true" outlineLevel="0" collapsed="false">
      <c r="A72" s="29"/>
      <c r="B72" s="42"/>
      <c r="C72" s="29"/>
      <c r="D72" s="29"/>
      <c r="E72" s="29"/>
      <c r="F72" s="29"/>
      <c r="G72" s="29"/>
      <c r="H72" s="29"/>
      <c r="I72" s="29"/>
      <c r="J72" s="29"/>
    </row>
    <row r="73" customFormat="false" ht="44" hidden="false" customHeight="true" outlineLevel="0" collapsed="false">
      <c r="A73" s="29"/>
      <c r="B73" s="42"/>
      <c r="C73" s="29"/>
      <c r="D73" s="29"/>
      <c r="E73" s="29"/>
      <c r="F73" s="29"/>
      <c r="G73" s="29"/>
      <c r="H73" s="29"/>
      <c r="I73" s="29"/>
      <c r="J73" s="29"/>
    </row>
    <row r="74" customFormat="false" ht="44" hidden="false" customHeight="true" outlineLevel="0" collapsed="false">
      <c r="A74" s="29"/>
      <c r="B74" s="42"/>
      <c r="C74" s="29"/>
      <c r="D74" s="29"/>
      <c r="E74" s="29"/>
      <c r="F74" s="29"/>
      <c r="G74" s="29"/>
      <c r="H74" s="29"/>
      <c r="I74" s="29"/>
      <c r="J74" s="29"/>
    </row>
    <row r="75" customFormat="false" ht="44" hidden="false" customHeight="true" outlineLevel="0" collapsed="false">
      <c r="A75" s="29"/>
      <c r="B75" s="42"/>
      <c r="C75" s="29"/>
      <c r="D75" s="29"/>
      <c r="E75" s="29"/>
      <c r="F75" s="29"/>
      <c r="G75" s="29"/>
      <c r="H75" s="29"/>
      <c r="I75" s="29"/>
      <c r="J75" s="29"/>
    </row>
    <row r="76" customFormat="false" ht="44" hidden="false" customHeight="true" outlineLevel="0" collapsed="false">
      <c r="A76" s="29"/>
      <c r="B76" s="42"/>
      <c r="C76" s="29"/>
      <c r="D76" s="29"/>
      <c r="E76" s="29"/>
      <c r="F76" s="29"/>
      <c r="G76" s="29"/>
      <c r="H76" s="29"/>
      <c r="I76" s="29"/>
      <c r="J76" s="29"/>
    </row>
    <row r="77" customFormat="false" ht="44" hidden="false" customHeight="true" outlineLevel="0" collapsed="false">
      <c r="A77" s="29"/>
      <c r="B77" s="42"/>
      <c r="C77" s="29"/>
      <c r="D77" s="29"/>
      <c r="E77" s="29"/>
      <c r="F77" s="29"/>
      <c r="G77" s="29"/>
      <c r="H77" s="29"/>
      <c r="I77" s="29"/>
      <c r="J77" s="29"/>
    </row>
    <row r="78" customFormat="false" ht="44" hidden="false" customHeight="true" outlineLevel="0" collapsed="false">
      <c r="A78" s="29"/>
      <c r="B78" s="42"/>
      <c r="C78" s="29"/>
      <c r="D78" s="29"/>
      <c r="E78" s="29"/>
      <c r="F78" s="29"/>
      <c r="G78" s="29"/>
      <c r="H78" s="29"/>
      <c r="I78" s="29"/>
      <c r="J78" s="29"/>
    </row>
    <row r="79" customFormat="false" ht="44" hidden="false" customHeight="true" outlineLevel="0" collapsed="false">
      <c r="A79" s="29"/>
      <c r="B79" s="42"/>
      <c r="C79" s="29"/>
      <c r="D79" s="29"/>
      <c r="E79" s="29"/>
      <c r="F79" s="29"/>
      <c r="G79" s="29"/>
      <c r="H79" s="29"/>
      <c r="I79" s="29"/>
      <c r="J79" s="29"/>
    </row>
    <row r="80" customFormat="false" ht="44" hidden="false" customHeight="true" outlineLevel="0" collapsed="false">
      <c r="A80" s="29"/>
      <c r="B80" s="42"/>
      <c r="C80" s="29"/>
      <c r="D80" s="29"/>
      <c r="E80" s="29"/>
      <c r="F80" s="29"/>
      <c r="G80" s="29"/>
      <c r="H80" s="29"/>
      <c r="I80" s="29"/>
      <c r="J80" s="29"/>
    </row>
    <row r="81" customFormat="false" ht="44" hidden="false" customHeight="true" outlineLevel="0" collapsed="false">
      <c r="A81" s="29"/>
      <c r="B81" s="42"/>
      <c r="C81" s="29"/>
      <c r="D81" s="29"/>
      <c r="E81" s="29"/>
      <c r="F81" s="29"/>
      <c r="G81" s="29"/>
      <c r="H81" s="29"/>
      <c r="I81" s="29"/>
      <c r="J81" s="29"/>
    </row>
    <row r="82" customFormat="false" ht="44" hidden="false" customHeight="true" outlineLevel="0" collapsed="false">
      <c r="A82" s="29"/>
      <c r="B82" s="42"/>
      <c r="C82" s="29"/>
      <c r="D82" s="29"/>
      <c r="E82" s="29"/>
      <c r="F82" s="29"/>
      <c r="G82" s="29"/>
      <c r="H82" s="29"/>
      <c r="I82" s="29"/>
      <c r="J82" s="29"/>
    </row>
    <row r="83" customFormat="false" ht="44" hidden="false" customHeight="true" outlineLevel="0" collapsed="false">
      <c r="A83" s="29"/>
      <c r="B83" s="42"/>
      <c r="C83" s="29"/>
      <c r="D83" s="29"/>
      <c r="E83" s="29"/>
      <c r="F83" s="29"/>
      <c r="G83" s="29"/>
      <c r="H83" s="29"/>
      <c r="I83" s="29"/>
      <c r="J83" s="29"/>
    </row>
    <row r="84" customFormat="false" ht="44" hidden="false" customHeight="true" outlineLevel="0" collapsed="false">
      <c r="A84" s="29"/>
      <c r="B84" s="42"/>
      <c r="C84" s="29"/>
      <c r="D84" s="29"/>
      <c r="E84" s="29"/>
      <c r="F84" s="29"/>
      <c r="G84" s="29"/>
      <c r="H84" s="29"/>
      <c r="I84" s="29"/>
      <c r="J84" s="29"/>
    </row>
    <row r="85" customFormat="false" ht="44" hidden="false" customHeight="true" outlineLevel="0" collapsed="false">
      <c r="A85" s="29"/>
      <c r="B85" s="42"/>
      <c r="C85" s="29"/>
      <c r="D85" s="29"/>
      <c r="E85" s="29"/>
      <c r="F85" s="29"/>
      <c r="G85" s="29"/>
      <c r="H85" s="29"/>
      <c r="I85" s="29"/>
      <c r="J85" s="29"/>
    </row>
    <row r="86" customFormat="false" ht="44" hidden="false" customHeight="true" outlineLevel="0" collapsed="false">
      <c r="A86" s="29"/>
      <c r="B86" s="42"/>
      <c r="C86" s="29"/>
      <c r="D86" s="29"/>
      <c r="E86" s="29"/>
      <c r="F86" s="29"/>
      <c r="G86" s="29"/>
      <c r="H86" s="29"/>
      <c r="I86" s="29"/>
      <c r="J86" s="29"/>
    </row>
    <row r="87" customFormat="false" ht="44" hidden="false" customHeight="true" outlineLevel="0" collapsed="false">
      <c r="A87" s="29"/>
      <c r="B87" s="42"/>
      <c r="C87" s="29"/>
      <c r="D87" s="29"/>
      <c r="E87" s="29"/>
      <c r="F87" s="29"/>
      <c r="G87" s="29"/>
      <c r="H87" s="29"/>
      <c r="I87" s="29"/>
      <c r="J87" s="29"/>
    </row>
    <row r="88" customFormat="false" ht="44" hidden="false" customHeight="true" outlineLevel="0" collapsed="false">
      <c r="A88" s="29"/>
      <c r="B88" s="42"/>
      <c r="C88" s="29"/>
      <c r="D88" s="29"/>
      <c r="E88" s="29"/>
      <c r="F88" s="29"/>
      <c r="G88" s="29"/>
      <c r="H88" s="29"/>
      <c r="I88" s="29"/>
      <c r="J88" s="29"/>
    </row>
    <row r="89" customFormat="false" ht="44" hidden="false" customHeight="true" outlineLevel="0" collapsed="false">
      <c r="A89" s="29"/>
      <c r="B89" s="42"/>
      <c r="C89" s="29"/>
      <c r="D89" s="29"/>
      <c r="E89" s="29"/>
      <c r="F89" s="29"/>
      <c r="G89" s="29"/>
      <c r="H89" s="29"/>
      <c r="I89" s="29"/>
      <c r="J89" s="29"/>
    </row>
    <row r="90" customFormat="false" ht="44" hidden="false" customHeight="true" outlineLevel="0" collapsed="false">
      <c r="A90" s="29"/>
      <c r="B90" s="42"/>
      <c r="C90" s="29"/>
      <c r="D90" s="29"/>
      <c r="E90" s="29"/>
      <c r="F90" s="29"/>
      <c r="G90" s="29"/>
      <c r="H90" s="29"/>
      <c r="I90" s="29"/>
      <c r="J90" s="29"/>
    </row>
    <row r="91" customFormat="false" ht="44" hidden="false" customHeight="true" outlineLevel="0" collapsed="false">
      <c r="A91" s="29"/>
      <c r="B91" s="42"/>
      <c r="C91" s="29"/>
      <c r="D91" s="29"/>
      <c r="E91" s="29"/>
      <c r="F91" s="29"/>
      <c r="G91" s="29"/>
      <c r="H91" s="29"/>
      <c r="I91" s="29"/>
      <c r="J91" s="29"/>
    </row>
    <row r="92" customFormat="false" ht="44" hidden="false" customHeight="true" outlineLevel="0" collapsed="false">
      <c r="A92" s="29"/>
      <c r="B92" s="42"/>
      <c r="C92" s="29"/>
      <c r="D92" s="29"/>
      <c r="E92" s="29"/>
      <c r="F92" s="29"/>
      <c r="G92" s="29"/>
      <c r="H92" s="29"/>
      <c r="I92" s="29"/>
      <c r="J92" s="29"/>
    </row>
    <row r="93" customFormat="false" ht="44" hidden="false" customHeight="true" outlineLevel="0" collapsed="false">
      <c r="A93" s="29"/>
      <c r="B93" s="42"/>
      <c r="C93" s="29"/>
      <c r="D93" s="29"/>
      <c r="E93" s="29"/>
      <c r="F93" s="29"/>
      <c r="G93" s="29"/>
      <c r="H93" s="29"/>
      <c r="I93" s="29"/>
      <c r="J93" s="29"/>
    </row>
    <row r="94" customFormat="false" ht="44" hidden="false" customHeight="true" outlineLevel="0" collapsed="false">
      <c r="A94" s="29"/>
      <c r="B94" s="42"/>
      <c r="C94" s="29"/>
      <c r="D94" s="29"/>
      <c r="E94" s="29"/>
      <c r="F94" s="29"/>
      <c r="G94" s="29"/>
      <c r="H94" s="29"/>
      <c r="I94" s="29"/>
      <c r="J94" s="29"/>
    </row>
    <row r="95" customFormat="false" ht="44" hidden="false" customHeight="true" outlineLevel="0" collapsed="false">
      <c r="A95" s="29"/>
      <c r="B95" s="42"/>
      <c r="C95" s="29"/>
      <c r="D95" s="29"/>
      <c r="E95" s="29"/>
      <c r="F95" s="29"/>
      <c r="G95" s="29"/>
      <c r="H95" s="29"/>
      <c r="I95" s="29"/>
      <c r="J95" s="29"/>
    </row>
    <row r="96" customFormat="false" ht="44" hidden="false" customHeight="true" outlineLevel="0" collapsed="false">
      <c r="A96" s="29"/>
      <c r="B96" s="42"/>
      <c r="C96" s="29"/>
      <c r="D96" s="29"/>
      <c r="E96" s="29"/>
      <c r="F96" s="29"/>
      <c r="G96" s="29"/>
      <c r="H96" s="29"/>
      <c r="I96" s="29"/>
      <c r="J96" s="29"/>
    </row>
    <row r="97" customFormat="false" ht="44" hidden="false" customHeight="true" outlineLevel="0" collapsed="false">
      <c r="A97" s="29"/>
      <c r="B97" s="42"/>
      <c r="C97" s="29"/>
      <c r="D97" s="29"/>
      <c r="E97" s="29"/>
      <c r="F97" s="29"/>
      <c r="G97" s="29"/>
      <c r="H97" s="29"/>
      <c r="I97" s="29"/>
      <c r="J97" s="29"/>
    </row>
    <row r="98" customFormat="false" ht="44" hidden="false" customHeight="true" outlineLevel="0" collapsed="false">
      <c r="A98" s="29"/>
      <c r="B98" s="42"/>
      <c r="C98" s="29"/>
      <c r="D98" s="29"/>
      <c r="E98" s="29"/>
      <c r="F98" s="29"/>
      <c r="G98" s="29"/>
      <c r="H98" s="29"/>
      <c r="I98" s="29"/>
      <c r="J98" s="29"/>
    </row>
    <row r="99" customFormat="false" ht="44" hidden="false" customHeight="true" outlineLevel="0" collapsed="false">
      <c r="A99" s="29"/>
      <c r="B99" s="42"/>
      <c r="C99" s="29"/>
      <c r="D99" s="29"/>
      <c r="E99" s="29"/>
      <c r="F99" s="29"/>
      <c r="G99" s="29"/>
      <c r="H99" s="29"/>
      <c r="I99" s="29"/>
      <c r="J99" s="29"/>
    </row>
    <row r="100" customFormat="false" ht="44" hidden="false" customHeight="true" outlineLevel="0" collapsed="false">
      <c r="A100" s="29"/>
      <c r="B100" s="42"/>
      <c r="C100" s="29"/>
      <c r="D100" s="29"/>
      <c r="E100" s="29"/>
      <c r="F100" s="29"/>
      <c r="G100" s="29"/>
      <c r="H100" s="29"/>
      <c r="I100" s="29"/>
      <c r="J100" s="29"/>
    </row>
    <row r="101" customFormat="false" ht="44" hidden="false" customHeight="true" outlineLevel="0" collapsed="false">
      <c r="A101" s="29"/>
      <c r="B101" s="42"/>
      <c r="C101" s="29"/>
      <c r="D101" s="29"/>
      <c r="E101" s="29"/>
      <c r="F101" s="29"/>
      <c r="G101" s="29"/>
      <c r="H101" s="29"/>
      <c r="I101" s="29"/>
      <c r="J101" s="29"/>
    </row>
    <row r="102" customFormat="false" ht="44" hidden="false" customHeight="true" outlineLevel="0" collapsed="false">
      <c r="A102" s="29"/>
      <c r="B102" s="42"/>
      <c r="C102" s="29"/>
      <c r="D102" s="29"/>
      <c r="E102" s="29"/>
      <c r="F102" s="29"/>
      <c r="G102" s="29"/>
      <c r="H102" s="29"/>
      <c r="I102" s="29"/>
      <c r="J102" s="29"/>
    </row>
    <row r="103" customFormat="false" ht="44" hidden="false" customHeight="true" outlineLevel="0" collapsed="false">
      <c r="A103" s="29"/>
      <c r="B103" s="42"/>
      <c r="C103" s="29"/>
      <c r="D103" s="29"/>
      <c r="E103" s="29"/>
      <c r="F103" s="29"/>
      <c r="G103" s="29"/>
      <c r="H103" s="29"/>
      <c r="I103" s="29"/>
      <c r="J103" s="29"/>
    </row>
    <row r="104" customFormat="false" ht="44" hidden="false" customHeight="true" outlineLevel="0" collapsed="false">
      <c r="A104" s="29"/>
      <c r="B104" s="42"/>
      <c r="C104" s="29"/>
      <c r="D104" s="29"/>
      <c r="E104" s="29"/>
      <c r="F104" s="29"/>
      <c r="G104" s="29"/>
      <c r="H104" s="29"/>
      <c r="I104" s="29"/>
      <c r="J104" s="29"/>
    </row>
    <row r="105" customFormat="false" ht="44" hidden="false" customHeight="true" outlineLevel="0" collapsed="false">
      <c r="A105" s="29"/>
      <c r="B105" s="42"/>
      <c r="C105" s="29"/>
      <c r="D105" s="29"/>
      <c r="E105" s="29"/>
      <c r="F105" s="29"/>
      <c r="G105" s="29"/>
      <c r="H105" s="29"/>
      <c r="I105" s="29"/>
      <c r="J105" s="29"/>
    </row>
    <row r="106" customFormat="false" ht="44" hidden="false" customHeight="true" outlineLevel="0" collapsed="false">
      <c r="A106" s="29"/>
      <c r="B106" s="42"/>
      <c r="C106" s="29"/>
      <c r="D106" s="29"/>
      <c r="E106" s="29"/>
      <c r="F106" s="29"/>
      <c r="G106" s="29"/>
      <c r="H106" s="29"/>
      <c r="I106" s="29"/>
      <c r="J106" s="29"/>
    </row>
    <row r="107" customFormat="false" ht="44" hidden="false" customHeight="true" outlineLevel="0" collapsed="false">
      <c r="A107" s="29"/>
      <c r="B107" s="42"/>
      <c r="C107" s="29"/>
      <c r="D107" s="29"/>
      <c r="E107" s="29"/>
      <c r="F107" s="29"/>
      <c r="G107" s="29"/>
      <c r="H107" s="29"/>
      <c r="I107" s="29"/>
      <c r="J107" s="29"/>
    </row>
    <row r="108" customFormat="false" ht="44" hidden="false" customHeight="true" outlineLevel="0" collapsed="false">
      <c r="A108" s="29"/>
      <c r="B108" s="42"/>
      <c r="C108" s="29"/>
      <c r="D108" s="29"/>
      <c r="E108" s="29"/>
      <c r="F108" s="29"/>
      <c r="G108" s="29"/>
      <c r="H108" s="29"/>
      <c r="I108" s="29"/>
      <c r="J108" s="29"/>
    </row>
    <row r="109" customFormat="false" ht="44" hidden="false" customHeight="true" outlineLevel="0" collapsed="false">
      <c r="A109" s="29"/>
      <c r="B109" s="42"/>
      <c r="C109" s="29"/>
      <c r="D109" s="29"/>
      <c r="E109" s="29"/>
      <c r="F109" s="29"/>
      <c r="G109" s="29"/>
      <c r="H109" s="29"/>
      <c r="I109" s="29"/>
      <c r="J109" s="29"/>
    </row>
    <row r="110" customFormat="false" ht="44" hidden="false" customHeight="true" outlineLevel="0" collapsed="false">
      <c r="A110" s="29"/>
      <c r="B110" s="42"/>
      <c r="C110" s="29"/>
      <c r="D110" s="29"/>
      <c r="E110" s="29"/>
      <c r="F110" s="29"/>
      <c r="G110" s="29"/>
      <c r="H110" s="29"/>
      <c r="I110" s="29"/>
      <c r="J110" s="29"/>
    </row>
    <row r="111" customFormat="false" ht="44" hidden="false" customHeight="true" outlineLevel="0" collapsed="false">
      <c r="A111" s="29"/>
      <c r="B111" s="42"/>
      <c r="C111" s="29"/>
      <c r="D111" s="29"/>
      <c r="E111" s="29"/>
      <c r="F111" s="29"/>
      <c r="G111" s="29"/>
      <c r="H111" s="29"/>
      <c r="I111" s="29"/>
      <c r="J111" s="29"/>
    </row>
    <row r="112" customFormat="false" ht="44" hidden="false" customHeight="true" outlineLevel="0" collapsed="false">
      <c r="A112" s="29"/>
      <c r="B112" s="42"/>
      <c r="C112" s="29"/>
      <c r="D112" s="29"/>
      <c r="E112" s="29"/>
      <c r="F112" s="29"/>
      <c r="G112" s="29"/>
      <c r="H112" s="29"/>
      <c r="I112" s="29"/>
      <c r="J112" s="29"/>
    </row>
    <row r="113" customFormat="false" ht="44" hidden="false" customHeight="true" outlineLevel="0" collapsed="false">
      <c r="A113" s="29"/>
      <c r="B113" s="42"/>
      <c r="C113" s="29"/>
      <c r="D113" s="29"/>
      <c r="E113" s="29"/>
      <c r="F113" s="29"/>
      <c r="G113" s="29"/>
      <c r="H113" s="29"/>
      <c r="I113" s="29"/>
      <c r="J113" s="29"/>
    </row>
    <row r="114" customFormat="false" ht="44" hidden="false" customHeight="true" outlineLevel="0" collapsed="false">
      <c r="A114" s="29"/>
      <c r="B114" s="42"/>
      <c r="C114" s="29"/>
      <c r="D114" s="29"/>
      <c r="E114" s="29"/>
      <c r="F114" s="29"/>
      <c r="G114" s="29"/>
      <c r="H114" s="29"/>
      <c r="I114" s="29"/>
      <c r="J114" s="29"/>
    </row>
    <row r="115" customFormat="false" ht="44" hidden="false" customHeight="true" outlineLevel="0" collapsed="false">
      <c r="A115" s="29"/>
      <c r="B115" s="42"/>
      <c r="C115" s="29"/>
      <c r="D115" s="29"/>
      <c r="E115" s="29"/>
      <c r="F115" s="29"/>
      <c r="G115" s="29"/>
      <c r="H115" s="29"/>
      <c r="I115" s="29"/>
      <c r="J115" s="29"/>
    </row>
    <row r="116" customFormat="false" ht="44" hidden="false" customHeight="true" outlineLevel="0" collapsed="false">
      <c r="A116" s="29"/>
      <c r="B116" s="42"/>
      <c r="C116" s="29"/>
      <c r="D116" s="29"/>
      <c r="E116" s="29"/>
      <c r="F116" s="29"/>
      <c r="G116" s="29"/>
      <c r="H116" s="29"/>
      <c r="I116" s="29"/>
      <c r="J116" s="29"/>
    </row>
    <row r="117" customFormat="false" ht="44" hidden="false" customHeight="true" outlineLevel="0" collapsed="false">
      <c r="A117" s="29"/>
      <c r="B117" s="42"/>
      <c r="C117" s="29"/>
      <c r="D117" s="29"/>
      <c r="E117" s="29"/>
      <c r="F117" s="29"/>
      <c r="G117" s="29"/>
      <c r="H117" s="29"/>
      <c r="I117" s="29"/>
      <c r="J117" s="29"/>
    </row>
    <row r="118" customFormat="false" ht="44" hidden="false" customHeight="true" outlineLevel="0" collapsed="false">
      <c r="A118" s="29"/>
      <c r="B118" s="42"/>
      <c r="C118" s="29"/>
      <c r="D118" s="29"/>
      <c r="E118" s="29"/>
      <c r="F118" s="29"/>
      <c r="G118" s="29"/>
      <c r="H118" s="29"/>
      <c r="I118" s="29"/>
      <c r="J118" s="29"/>
    </row>
    <row r="119" customFormat="false" ht="44" hidden="false" customHeight="true" outlineLevel="0" collapsed="false">
      <c r="A119" s="29"/>
      <c r="B119" s="42"/>
      <c r="C119" s="29"/>
      <c r="D119" s="29"/>
      <c r="E119" s="29"/>
      <c r="F119" s="29"/>
      <c r="G119" s="29"/>
      <c r="H119" s="29"/>
      <c r="I119" s="29"/>
      <c r="J119" s="29"/>
    </row>
    <row r="120" customFormat="false" ht="44" hidden="false" customHeight="true" outlineLevel="0" collapsed="false">
      <c r="A120" s="29"/>
      <c r="B120" s="42"/>
      <c r="C120" s="29"/>
      <c r="D120" s="29"/>
      <c r="E120" s="29"/>
      <c r="F120" s="29"/>
      <c r="G120" s="29"/>
      <c r="H120" s="29"/>
      <c r="I120" s="29"/>
      <c r="J120" s="29"/>
    </row>
    <row r="121" customFormat="false" ht="44" hidden="false" customHeight="true" outlineLevel="0" collapsed="false">
      <c r="A121" s="29"/>
      <c r="B121" s="42"/>
      <c r="C121" s="29"/>
      <c r="D121" s="29"/>
      <c r="E121" s="29"/>
      <c r="F121" s="29"/>
      <c r="G121" s="29"/>
      <c r="H121" s="29"/>
      <c r="I121" s="29"/>
      <c r="J121" s="29"/>
    </row>
    <row r="122" customFormat="false" ht="44" hidden="false" customHeight="true" outlineLevel="0" collapsed="false">
      <c r="A122" s="29"/>
      <c r="B122" s="42"/>
      <c r="C122" s="29"/>
      <c r="D122" s="29"/>
      <c r="E122" s="29"/>
      <c r="F122" s="29"/>
      <c r="G122" s="29"/>
      <c r="H122" s="29"/>
      <c r="I122" s="29"/>
      <c r="J122" s="29"/>
    </row>
    <row r="123" customFormat="false" ht="44" hidden="false" customHeight="true" outlineLevel="0" collapsed="false">
      <c r="A123" s="29"/>
      <c r="B123" s="42"/>
      <c r="C123" s="29"/>
      <c r="D123" s="29"/>
      <c r="E123" s="29"/>
      <c r="F123" s="29"/>
      <c r="G123" s="29"/>
      <c r="H123" s="29"/>
      <c r="I123" s="29"/>
      <c r="J123" s="29"/>
    </row>
    <row r="124" customFormat="false" ht="44" hidden="false" customHeight="true" outlineLevel="0" collapsed="false">
      <c r="A124" s="29"/>
      <c r="B124" s="42"/>
      <c r="C124" s="29"/>
      <c r="D124" s="29"/>
      <c r="E124" s="29"/>
      <c r="F124" s="29"/>
      <c r="G124" s="29"/>
      <c r="H124" s="29"/>
      <c r="I124" s="29"/>
      <c r="J124" s="29"/>
    </row>
    <row r="125" customFormat="false" ht="44" hidden="false" customHeight="true" outlineLevel="0" collapsed="false">
      <c r="A125" s="29"/>
      <c r="B125" s="42"/>
      <c r="C125" s="29"/>
      <c r="D125" s="29"/>
      <c r="E125" s="29"/>
      <c r="F125" s="29"/>
      <c r="G125" s="29"/>
      <c r="H125" s="29"/>
      <c r="I125" s="29"/>
      <c r="J125" s="29"/>
    </row>
    <row r="126" customFormat="false" ht="44" hidden="false" customHeight="true" outlineLevel="0" collapsed="false">
      <c r="A126" s="29"/>
      <c r="B126" s="42"/>
      <c r="C126" s="29"/>
      <c r="D126" s="29"/>
      <c r="E126" s="29"/>
      <c r="F126" s="29"/>
      <c r="G126" s="29"/>
      <c r="H126" s="29"/>
      <c r="I126" s="29"/>
      <c r="J126" s="29"/>
    </row>
    <row r="127" customFormat="false" ht="44" hidden="false" customHeight="true" outlineLevel="0" collapsed="false">
      <c r="A127" s="29"/>
      <c r="B127" s="42"/>
      <c r="C127" s="29"/>
      <c r="D127" s="29"/>
      <c r="E127" s="29"/>
      <c r="F127" s="29"/>
      <c r="G127" s="29"/>
      <c r="H127" s="29"/>
      <c r="I127" s="29"/>
      <c r="J127" s="29"/>
    </row>
    <row r="128" customFormat="false" ht="44" hidden="false" customHeight="true" outlineLevel="0" collapsed="false">
      <c r="A128" s="29"/>
      <c r="B128" s="42"/>
      <c r="C128" s="29"/>
      <c r="D128" s="29"/>
      <c r="E128" s="29"/>
      <c r="F128" s="29"/>
      <c r="G128" s="29"/>
      <c r="H128" s="29"/>
      <c r="I128" s="29"/>
      <c r="J128" s="29"/>
    </row>
    <row r="129" customFormat="false" ht="44" hidden="false" customHeight="true" outlineLevel="0" collapsed="false">
      <c r="A129" s="29"/>
      <c r="B129" s="42"/>
      <c r="C129" s="29"/>
      <c r="D129" s="29"/>
      <c r="E129" s="29"/>
      <c r="F129" s="29"/>
      <c r="G129" s="29"/>
      <c r="H129" s="29"/>
      <c r="I129" s="29"/>
      <c r="J129" s="29"/>
    </row>
    <row r="130" customFormat="false" ht="44" hidden="false" customHeight="true" outlineLevel="0" collapsed="false">
      <c r="A130" s="29"/>
      <c r="B130" s="42"/>
      <c r="C130" s="29"/>
      <c r="D130" s="29"/>
      <c r="E130" s="29"/>
      <c r="F130" s="29"/>
      <c r="G130" s="29"/>
      <c r="H130" s="29"/>
      <c r="I130" s="29"/>
      <c r="J130" s="29"/>
    </row>
    <row r="131" customFormat="false" ht="44" hidden="false" customHeight="true" outlineLevel="0" collapsed="false">
      <c r="A131" s="29"/>
      <c r="B131" s="42"/>
      <c r="C131" s="29"/>
      <c r="D131" s="29"/>
      <c r="E131" s="29"/>
      <c r="F131" s="29"/>
      <c r="G131" s="29"/>
      <c r="H131" s="29"/>
      <c r="I131" s="29"/>
      <c r="J131" s="29"/>
    </row>
    <row r="132" customFormat="false" ht="44" hidden="false" customHeight="true" outlineLevel="0" collapsed="false">
      <c r="A132" s="29"/>
      <c r="B132" s="42"/>
      <c r="C132" s="29"/>
      <c r="D132" s="29"/>
      <c r="E132" s="29"/>
      <c r="F132" s="29"/>
      <c r="G132" s="29"/>
      <c r="H132" s="29"/>
      <c r="I132" s="29"/>
      <c r="J132" s="29"/>
    </row>
    <row r="133" customFormat="false" ht="44" hidden="false" customHeight="true" outlineLevel="0" collapsed="false">
      <c r="A133" s="29"/>
      <c r="B133" s="42"/>
      <c r="C133" s="29"/>
      <c r="D133" s="29"/>
      <c r="E133" s="29"/>
      <c r="F133" s="29"/>
      <c r="G133" s="29"/>
      <c r="H133" s="29"/>
      <c r="I133" s="29"/>
      <c r="J133" s="29"/>
    </row>
    <row r="134" customFormat="false" ht="44" hidden="false" customHeight="true" outlineLevel="0" collapsed="false">
      <c r="A134" s="29"/>
      <c r="B134" s="42"/>
      <c r="C134" s="29"/>
      <c r="D134" s="29"/>
      <c r="E134" s="29"/>
      <c r="F134" s="29"/>
      <c r="G134" s="29"/>
      <c r="H134" s="29"/>
      <c r="I134" s="29"/>
      <c r="J134" s="29"/>
    </row>
    <row r="135" customFormat="false" ht="44" hidden="false" customHeight="true" outlineLevel="0" collapsed="false">
      <c r="A135" s="29"/>
      <c r="B135" s="42"/>
      <c r="C135" s="29"/>
      <c r="D135" s="29"/>
      <c r="E135" s="29"/>
      <c r="F135" s="29"/>
      <c r="G135" s="29"/>
      <c r="H135" s="29"/>
      <c r="I135" s="29"/>
      <c r="J135" s="29"/>
    </row>
    <row r="136" customFormat="false" ht="44" hidden="false" customHeight="true" outlineLevel="0" collapsed="false">
      <c r="A136" s="29"/>
      <c r="B136" s="42"/>
      <c r="C136" s="29"/>
      <c r="D136" s="29"/>
      <c r="E136" s="29"/>
      <c r="F136" s="29"/>
      <c r="G136" s="29"/>
      <c r="H136" s="29"/>
      <c r="I136" s="29"/>
      <c r="J136" s="29"/>
    </row>
    <row r="137" customFormat="false" ht="44" hidden="false" customHeight="true" outlineLevel="0" collapsed="false">
      <c r="A137" s="29"/>
      <c r="B137" s="42"/>
      <c r="C137" s="29"/>
      <c r="D137" s="29"/>
      <c r="E137" s="29"/>
      <c r="F137" s="29"/>
      <c r="G137" s="29"/>
      <c r="H137" s="29"/>
      <c r="I137" s="29"/>
      <c r="J137" s="29"/>
    </row>
    <row r="138" customFormat="false" ht="44" hidden="false" customHeight="true" outlineLevel="0" collapsed="false">
      <c r="A138" s="29"/>
      <c r="B138" s="42"/>
      <c r="C138" s="29"/>
      <c r="D138" s="29"/>
      <c r="E138" s="29"/>
      <c r="F138" s="29"/>
      <c r="G138" s="29"/>
      <c r="H138" s="29"/>
      <c r="I138" s="29"/>
      <c r="J138" s="29"/>
    </row>
    <row r="139" customFormat="false" ht="44" hidden="false" customHeight="true" outlineLevel="0" collapsed="false">
      <c r="A139" s="29"/>
      <c r="B139" s="42"/>
      <c r="C139" s="29"/>
      <c r="D139" s="29"/>
      <c r="E139" s="29"/>
      <c r="F139" s="29"/>
      <c r="G139" s="29"/>
      <c r="H139" s="29"/>
      <c r="I139" s="29"/>
      <c r="J139" s="29"/>
    </row>
    <row r="140" customFormat="false" ht="44" hidden="false" customHeight="true" outlineLevel="0" collapsed="false">
      <c r="A140" s="29"/>
      <c r="B140" s="42"/>
      <c r="C140" s="29"/>
      <c r="D140" s="29"/>
      <c r="E140" s="29"/>
      <c r="F140" s="29"/>
      <c r="G140" s="29"/>
      <c r="H140" s="29"/>
      <c r="I140" s="29"/>
      <c r="J140" s="29"/>
    </row>
    <row r="141" customFormat="false" ht="44" hidden="false" customHeight="true" outlineLevel="0" collapsed="false">
      <c r="A141" s="29"/>
      <c r="B141" s="42"/>
      <c r="C141" s="29"/>
      <c r="D141" s="29"/>
      <c r="E141" s="29"/>
      <c r="F141" s="29"/>
      <c r="G141" s="29"/>
      <c r="H141" s="29"/>
      <c r="I141" s="29"/>
      <c r="J141" s="29"/>
    </row>
    <row r="142" customFormat="false" ht="44" hidden="false" customHeight="true" outlineLevel="0" collapsed="false">
      <c r="A142" s="29"/>
      <c r="B142" s="42"/>
      <c r="C142" s="29"/>
      <c r="D142" s="29"/>
      <c r="E142" s="29"/>
      <c r="F142" s="29"/>
      <c r="G142" s="29"/>
      <c r="H142" s="29"/>
      <c r="I142" s="29"/>
      <c r="J142" s="29"/>
    </row>
    <row r="143" customFormat="false" ht="44" hidden="false" customHeight="true" outlineLevel="0" collapsed="false">
      <c r="A143" s="29"/>
      <c r="B143" s="42"/>
      <c r="C143" s="29"/>
      <c r="D143" s="29"/>
      <c r="E143" s="29"/>
      <c r="F143" s="29"/>
      <c r="G143" s="29"/>
      <c r="H143" s="29"/>
      <c r="I143" s="29"/>
      <c r="J143" s="29"/>
    </row>
    <row r="144" customFormat="false" ht="44" hidden="false" customHeight="true" outlineLevel="0" collapsed="false">
      <c r="A144" s="29"/>
      <c r="B144" s="42"/>
      <c r="C144" s="29"/>
      <c r="D144" s="29"/>
      <c r="E144" s="29"/>
      <c r="F144" s="29"/>
      <c r="G144" s="29"/>
      <c r="H144" s="29"/>
      <c r="I144" s="29"/>
      <c r="J144" s="29"/>
    </row>
    <row r="145" customFormat="false" ht="44" hidden="false" customHeight="true" outlineLevel="0" collapsed="false">
      <c r="A145" s="29"/>
      <c r="B145" s="42"/>
      <c r="C145" s="29"/>
      <c r="D145" s="29"/>
      <c r="E145" s="29"/>
      <c r="F145" s="29"/>
      <c r="G145" s="29"/>
      <c r="H145" s="29"/>
      <c r="I145" s="29"/>
      <c r="J145" s="29"/>
    </row>
    <row r="146" customFormat="false" ht="44" hidden="false" customHeight="true" outlineLevel="0" collapsed="false">
      <c r="A146" s="29"/>
      <c r="B146" s="42"/>
      <c r="C146" s="29"/>
      <c r="D146" s="29"/>
      <c r="E146" s="29"/>
      <c r="F146" s="29"/>
      <c r="G146" s="29"/>
      <c r="H146" s="29"/>
      <c r="I146" s="29"/>
      <c r="J146" s="29"/>
    </row>
    <row r="147" customFormat="false" ht="44" hidden="false" customHeight="true" outlineLevel="0" collapsed="false">
      <c r="A147" s="29"/>
      <c r="B147" s="42"/>
      <c r="C147" s="29"/>
      <c r="D147" s="29"/>
      <c r="E147" s="29"/>
      <c r="F147" s="29"/>
      <c r="G147" s="29"/>
      <c r="H147" s="29"/>
      <c r="I147" s="29"/>
      <c r="J147" s="29"/>
    </row>
    <row r="148" customFormat="false" ht="44" hidden="false" customHeight="true" outlineLevel="0" collapsed="false">
      <c r="A148" s="29"/>
      <c r="B148" s="42"/>
      <c r="C148" s="29"/>
      <c r="D148" s="29"/>
      <c r="E148" s="29"/>
      <c r="F148" s="29"/>
      <c r="G148" s="29"/>
      <c r="H148" s="29"/>
      <c r="I148" s="29"/>
      <c r="J148" s="29"/>
    </row>
    <row r="149" customFormat="false" ht="44" hidden="false" customHeight="true" outlineLevel="0" collapsed="false">
      <c r="A149" s="29"/>
      <c r="B149" s="42"/>
      <c r="C149" s="29"/>
      <c r="D149" s="29"/>
      <c r="E149" s="29"/>
      <c r="F149" s="29"/>
      <c r="G149" s="29"/>
      <c r="H149" s="29"/>
      <c r="I149" s="29"/>
      <c r="J149" s="29"/>
    </row>
    <row r="150" customFormat="false" ht="44" hidden="false" customHeight="true" outlineLevel="0" collapsed="false">
      <c r="A150" s="29"/>
      <c r="B150" s="42"/>
      <c r="C150" s="29"/>
      <c r="D150" s="29"/>
      <c r="E150" s="29"/>
      <c r="F150" s="29"/>
      <c r="G150" s="29"/>
      <c r="H150" s="29"/>
      <c r="I150" s="29"/>
      <c r="J150" s="29"/>
    </row>
    <row r="151" customFormat="false" ht="44" hidden="false" customHeight="true" outlineLevel="0" collapsed="false">
      <c r="A151" s="29"/>
      <c r="B151" s="42"/>
      <c r="C151" s="29"/>
      <c r="D151" s="29"/>
      <c r="E151" s="29"/>
      <c r="F151" s="29"/>
      <c r="G151" s="29"/>
      <c r="H151" s="29"/>
      <c r="I151" s="29"/>
      <c r="J151" s="29"/>
    </row>
    <row r="152" customFormat="false" ht="44" hidden="false" customHeight="true" outlineLevel="0" collapsed="false">
      <c r="A152" s="29"/>
      <c r="B152" s="42"/>
      <c r="C152" s="29"/>
      <c r="D152" s="29"/>
      <c r="E152" s="29"/>
      <c r="F152" s="29"/>
      <c r="G152" s="29"/>
      <c r="H152" s="29"/>
      <c r="I152" s="29"/>
      <c r="J152" s="29"/>
    </row>
    <row r="153" customFormat="false" ht="44" hidden="false" customHeight="true" outlineLevel="0" collapsed="false">
      <c r="A153" s="29"/>
      <c r="B153" s="42"/>
      <c r="C153" s="29"/>
      <c r="D153" s="29"/>
      <c r="E153" s="29"/>
      <c r="F153" s="29"/>
      <c r="G153" s="29"/>
      <c r="H153" s="29"/>
      <c r="I153" s="29"/>
      <c r="J153" s="29"/>
    </row>
    <row r="154" customFormat="false" ht="44" hidden="false" customHeight="true" outlineLevel="0" collapsed="false">
      <c r="A154" s="29"/>
      <c r="B154" s="42"/>
      <c r="C154" s="29"/>
      <c r="D154" s="29"/>
      <c r="E154" s="29"/>
      <c r="F154" s="29"/>
      <c r="G154" s="29"/>
      <c r="H154" s="29"/>
      <c r="I154" s="29"/>
      <c r="J154" s="29"/>
    </row>
    <row r="155" customFormat="false" ht="44" hidden="false" customHeight="true" outlineLevel="0" collapsed="false">
      <c r="A155" s="29"/>
      <c r="B155" s="42"/>
      <c r="C155" s="29"/>
      <c r="D155" s="29"/>
      <c r="E155" s="29"/>
      <c r="F155" s="29"/>
      <c r="G155" s="29"/>
      <c r="H155" s="29"/>
      <c r="I155" s="29"/>
      <c r="J155" s="29"/>
    </row>
    <row r="156" customFormat="false" ht="44" hidden="false" customHeight="true" outlineLevel="0" collapsed="false">
      <c r="A156" s="29"/>
      <c r="B156" s="42"/>
      <c r="C156" s="29"/>
      <c r="D156" s="29"/>
      <c r="E156" s="29"/>
      <c r="F156" s="29"/>
      <c r="G156" s="29"/>
      <c r="H156" s="29"/>
      <c r="I156" s="29"/>
      <c r="J156" s="29"/>
    </row>
    <row r="157" customFormat="false" ht="44" hidden="false" customHeight="true" outlineLevel="0" collapsed="false">
      <c r="A157" s="29"/>
      <c r="B157" s="42"/>
      <c r="C157" s="29"/>
      <c r="D157" s="29"/>
      <c r="E157" s="29"/>
      <c r="F157" s="29"/>
      <c r="G157" s="29"/>
      <c r="H157" s="29"/>
      <c r="I157" s="29"/>
      <c r="J157" s="29"/>
    </row>
    <row r="158" customFormat="false" ht="44" hidden="false" customHeight="true" outlineLevel="0" collapsed="false">
      <c r="A158" s="29"/>
      <c r="B158" s="42"/>
      <c r="C158" s="29"/>
      <c r="D158" s="29"/>
      <c r="E158" s="29"/>
      <c r="F158" s="29"/>
      <c r="G158" s="29"/>
      <c r="H158" s="29"/>
      <c r="I158" s="29"/>
      <c r="J158" s="29"/>
    </row>
    <row r="159" customFormat="false" ht="44" hidden="false" customHeight="true" outlineLevel="0" collapsed="false">
      <c r="A159" s="29"/>
      <c r="B159" s="42"/>
      <c r="C159" s="29"/>
      <c r="D159" s="29"/>
      <c r="E159" s="29"/>
      <c r="F159" s="29"/>
      <c r="G159" s="29"/>
      <c r="H159" s="29"/>
      <c r="I159" s="29"/>
      <c r="J159" s="29"/>
    </row>
    <row r="160" customFormat="false" ht="44" hidden="false" customHeight="true" outlineLevel="0" collapsed="false">
      <c r="A160" s="29"/>
      <c r="B160" s="42"/>
      <c r="C160" s="29"/>
      <c r="D160" s="29"/>
      <c r="E160" s="29"/>
      <c r="F160" s="29"/>
      <c r="G160" s="29"/>
      <c r="H160" s="29"/>
      <c r="I160" s="29"/>
      <c r="J160" s="29"/>
    </row>
    <row r="161" customFormat="false" ht="44" hidden="false" customHeight="true" outlineLevel="0" collapsed="false">
      <c r="A161" s="29"/>
      <c r="B161" s="42"/>
      <c r="C161" s="29"/>
      <c r="D161" s="29"/>
      <c r="E161" s="29"/>
      <c r="F161" s="29"/>
      <c r="G161" s="29"/>
      <c r="H161" s="29"/>
      <c r="I161" s="29"/>
      <c r="J161" s="29"/>
    </row>
    <row r="162" customFormat="false" ht="44" hidden="false" customHeight="true" outlineLevel="0" collapsed="false">
      <c r="A162" s="29"/>
      <c r="B162" s="42"/>
      <c r="C162" s="29"/>
      <c r="D162" s="29"/>
      <c r="E162" s="29"/>
      <c r="F162" s="29"/>
      <c r="G162" s="29"/>
      <c r="H162" s="29"/>
      <c r="I162" s="29"/>
      <c r="J162" s="29"/>
    </row>
    <row r="163" customFormat="false" ht="44" hidden="false" customHeight="true" outlineLevel="0" collapsed="false">
      <c r="A163" s="29"/>
      <c r="B163" s="42"/>
      <c r="C163" s="29"/>
      <c r="D163" s="29"/>
      <c r="E163" s="29"/>
      <c r="F163" s="29"/>
      <c r="G163" s="29"/>
      <c r="H163" s="29"/>
      <c r="I163" s="29"/>
      <c r="J163" s="29"/>
    </row>
    <row r="164" customFormat="false" ht="44" hidden="false" customHeight="true" outlineLevel="0" collapsed="false">
      <c r="A164" s="29"/>
      <c r="B164" s="42"/>
      <c r="C164" s="29"/>
      <c r="D164" s="29"/>
      <c r="E164" s="29"/>
      <c r="F164" s="29"/>
      <c r="G164" s="29"/>
      <c r="H164" s="29"/>
      <c r="I164" s="29"/>
      <c r="J164" s="29"/>
    </row>
    <row r="165" customFormat="false" ht="44" hidden="false" customHeight="true" outlineLevel="0" collapsed="false">
      <c r="A165" s="29"/>
      <c r="B165" s="42"/>
      <c r="C165" s="29"/>
      <c r="D165" s="29"/>
      <c r="E165" s="29"/>
      <c r="F165" s="29"/>
      <c r="G165" s="29"/>
      <c r="H165" s="29"/>
      <c r="I165" s="29"/>
      <c r="J165" s="29"/>
    </row>
    <row r="166" customFormat="false" ht="44" hidden="false" customHeight="true" outlineLevel="0" collapsed="false">
      <c r="A166" s="29"/>
      <c r="B166" s="42"/>
      <c r="C166" s="29"/>
      <c r="D166" s="29"/>
      <c r="E166" s="29"/>
      <c r="F166" s="29"/>
      <c r="G166" s="29"/>
      <c r="H166" s="29"/>
      <c r="I166" s="29"/>
      <c r="J166" s="29"/>
    </row>
    <row r="167" customFormat="false" ht="44" hidden="false" customHeight="true" outlineLevel="0" collapsed="false">
      <c r="A167" s="29"/>
      <c r="B167" s="42"/>
      <c r="C167" s="29"/>
      <c r="D167" s="29"/>
      <c r="E167" s="29"/>
      <c r="F167" s="29"/>
      <c r="G167" s="29"/>
      <c r="H167" s="29"/>
      <c r="I167" s="29"/>
      <c r="J167" s="29"/>
    </row>
    <row r="168" customFormat="false" ht="44" hidden="false" customHeight="true" outlineLevel="0" collapsed="false">
      <c r="A168" s="29"/>
      <c r="B168" s="42"/>
      <c r="C168" s="29"/>
      <c r="D168" s="29"/>
      <c r="E168" s="29"/>
      <c r="F168" s="29"/>
      <c r="G168" s="29"/>
      <c r="H168" s="29"/>
      <c r="I168" s="29"/>
      <c r="J168" s="29"/>
    </row>
    <row r="169" customFormat="false" ht="44" hidden="false" customHeight="true" outlineLevel="0" collapsed="false">
      <c r="A169" s="29"/>
      <c r="B169" s="42"/>
      <c r="C169" s="29"/>
      <c r="D169" s="29"/>
      <c r="E169" s="29"/>
      <c r="F169" s="29"/>
      <c r="G169" s="29"/>
      <c r="H169" s="29"/>
      <c r="I169" s="29"/>
      <c r="J169" s="29"/>
    </row>
    <row r="170" customFormat="false" ht="44" hidden="false" customHeight="true" outlineLevel="0" collapsed="false">
      <c r="A170" s="29"/>
      <c r="B170" s="42"/>
      <c r="C170" s="29"/>
      <c r="D170" s="29"/>
      <c r="E170" s="29"/>
      <c r="F170" s="29"/>
      <c r="G170" s="29"/>
      <c r="H170" s="29"/>
      <c r="I170" s="29"/>
      <c r="J170" s="29"/>
    </row>
    <row r="171" customFormat="false" ht="44" hidden="false" customHeight="true" outlineLevel="0" collapsed="false">
      <c r="A171" s="29"/>
      <c r="B171" s="42"/>
      <c r="C171" s="29"/>
      <c r="D171" s="29"/>
      <c r="E171" s="29"/>
      <c r="F171" s="29"/>
      <c r="G171" s="29"/>
      <c r="H171" s="29"/>
      <c r="I171" s="29"/>
      <c r="J171" s="29"/>
    </row>
    <row r="172" customFormat="false" ht="44" hidden="false" customHeight="true" outlineLevel="0" collapsed="false">
      <c r="A172" s="29"/>
      <c r="B172" s="42"/>
      <c r="C172" s="29"/>
      <c r="D172" s="29"/>
      <c r="E172" s="29"/>
      <c r="F172" s="29"/>
      <c r="G172" s="29"/>
      <c r="H172" s="29"/>
      <c r="I172" s="29"/>
      <c r="J172" s="29"/>
    </row>
    <row r="173" customFormat="false" ht="44" hidden="false" customHeight="true" outlineLevel="0" collapsed="false">
      <c r="A173" s="29"/>
      <c r="B173" s="42"/>
      <c r="C173" s="29"/>
      <c r="D173" s="29"/>
      <c r="E173" s="29"/>
      <c r="F173" s="29"/>
      <c r="G173" s="29"/>
      <c r="H173" s="29"/>
      <c r="I173" s="29"/>
      <c r="J173" s="29"/>
    </row>
    <row r="174" customFormat="false" ht="44" hidden="false" customHeight="true" outlineLevel="0" collapsed="false">
      <c r="A174" s="29"/>
      <c r="B174" s="42"/>
      <c r="C174" s="29"/>
      <c r="D174" s="29"/>
      <c r="E174" s="29"/>
      <c r="F174" s="29"/>
      <c r="G174" s="29"/>
      <c r="H174" s="29"/>
      <c r="I174" s="29"/>
      <c r="J174" s="29"/>
    </row>
    <row r="175" customFormat="false" ht="44" hidden="false" customHeight="true" outlineLevel="0" collapsed="false">
      <c r="A175" s="29"/>
      <c r="B175" s="42"/>
      <c r="C175" s="29"/>
      <c r="D175" s="29"/>
      <c r="E175" s="29"/>
      <c r="F175" s="29"/>
      <c r="G175" s="29"/>
      <c r="H175" s="29"/>
      <c r="I175" s="29"/>
      <c r="J175" s="29"/>
    </row>
    <row r="176" customFormat="false" ht="44" hidden="false" customHeight="true" outlineLevel="0" collapsed="false">
      <c r="A176" s="29"/>
      <c r="B176" s="42"/>
      <c r="C176" s="29"/>
      <c r="D176" s="29"/>
      <c r="E176" s="29"/>
      <c r="F176" s="29"/>
      <c r="G176" s="29"/>
      <c r="H176" s="29"/>
      <c r="I176" s="29"/>
      <c r="J176" s="29"/>
    </row>
    <row r="177" customFormat="false" ht="44" hidden="false" customHeight="true" outlineLevel="0" collapsed="false">
      <c r="A177" s="29"/>
      <c r="B177" s="42"/>
      <c r="C177" s="29"/>
      <c r="D177" s="29"/>
      <c r="E177" s="29"/>
      <c r="F177" s="29"/>
      <c r="G177" s="29"/>
      <c r="H177" s="29"/>
      <c r="I177" s="29"/>
      <c r="J177" s="29"/>
    </row>
    <row r="178" customFormat="false" ht="44" hidden="false" customHeight="true" outlineLevel="0" collapsed="false">
      <c r="A178" s="29"/>
      <c r="B178" s="42"/>
      <c r="C178" s="29"/>
      <c r="D178" s="29"/>
      <c r="E178" s="29"/>
      <c r="F178" s="29"/>
      <c r="G178" s="29"/>
      <c r="H178" s="29"/>
      <c r="I178" s="29"/>
      <c r="J178" s="29"/>
    </row>
    <row r="179" customFormat="false" ht="44" hidden="false" customHeight="true" outlineLevel="0" collapsed="false">
      <c r="A179" s="29"/>
      <c r="B179" s="42"/>
      <c r="C179" s="29"/>
      <c r="D179" s="29"/>
      <c r="E179" s="29"/>
      <c r="F179" s="29"/>
      <c r="G179" s="29"/>
      <c r="H179" s="29"/>
      <c r="I179" s="29"/>
      <c r="J179" s="29"/>
    </row>
    <row r="180" customFormat="false" ht="44" hidden="false" customHeight="true" outlineLevel="0" collapsed="false">
      <c r="A180" s="29"/>
      <c r="B180" s="42"/>
      <c r="C180" s="29"/>
      <c r="D180" s="29"/>
      <c r="E180" s="29"/>
      <c r="F180" s="29"/>
      <c r="G180" s="29"/>
      <c r="H180" s="29"/>
      <c r="I180" s="29"/>
      <c r="J180" s="29"/>
    </row>
    <row r="181" customFormat="false" ht="44" hidden="false" customHeight="true" outlineLevel="0" collapsed="false">
      <c r="A181" s="29"/>
      <c r="B181" s="42"/>
      <c r="C181" s="29"/>
      <c r="D181" s="29"/>
      <c r="E181" s="29"/>
      <c r="F181" s="29"/>
      <c r="G181" s="29"/>
      <c r="H181" s="29"/>
      <c r="I181" s="29"/>
      <c r="J181" s="29"/>
    </row>
    <row r="182" customFormat="false" ht="44" hidden="false" customHeight="true" outlineLevel="0" collapsed="false">
      <c r="A182" s="29"/>
      <c r="B182" s="42"/>
      <c r="C182" s="29"/>
      <c r="D182" s="29"/>
      <c r="E182" s="29"/>
      <c r="F182" s="29"/>
      <c r="G182" s="29"/>
      <c r="H182" s="29"/>
      <c r="I182" s="29"/>
      <c r="J182" s="29"/>
    </row>
    <row r="183" customFormat="false" ht="44" hidden="false" customHeight="true" outlineLevel="0" collapsed="false">
      <c r="A183" s="29"/>
      <c r="B183" s="42"/>
      <c r="C183" s="29"/>
      <c r="D183" s="29"/>
      <c r="E183" s="29"/>
      <c r="F183" s="29"/>
      <c r="G183" s="29"/>
      <c r="H183" s="29"/>
      <c r="I183" s="29"/>
      <c r="J183" s="29"/>
    </row>
    <row r="184" customFormat="false" ht="44" hidden="false" customHeight="true" outlineLevel="0" collapsed="false">
      <c r="A184" s="29"/>
      <c r="B184" s="42"/>
      <c r="C184" s="29"/>
      <c r="D184" s="29"/>
      <c r="E184" s="29"/>
      <c r="F184" s="29"/>
      <c r="G184" s="29"/>
      <c r="H184" s="29"/>
      <c r="I184" s="29"/>
      <c r="J184" s="29"/>
    </row>
    <row r="185" customFormat="false" ht="44" hidden="false" customHeight="true" outlineLevel="0" collapsed="false">
      <c r="A185" s="29"/>
      <c r="B185" s="42"/>
      <c r="C185" s="29"/>
      <c r="D185" s="29"/>
      <c r="E185" s="29"/>
      <c r="F185" s="29"/>
      <c r="G185" s="29"/>
      <c r="H185" s="29"/>
      <c r="I185" s="29"/>
      <c r="J185" s="29"/>
    </row>
    <row r="186" customFormat="false" ht="44" hidden="false" customHeight="true" outlineLevel="0" collapsed="false">
      <c r="A186" s="29"/>
      <c r="B186" s="42"/>
      <c r="C186" s="29"/>
      <c r="D186" s="29"/>
      <c r="E186" s="29"/>
      <c r="F186" s="29"/>
      <c r="G186" s="29"/>
      <c r="H186" s="29"/>
      <c r="I186" s="29"/>
      <c r="J186" s="29"/>
    </row>
    <row r="187" customFormat="false" ht="44" hidden="false" customHeight="true" outlineLevel="0" collapsed="false">
      <c r="A187" s="29"/>
      <c r="B187" s="42"/>
      <c r="C187" s="29"/>
      <c r="D187" s="29"/>
      <c r="E187" s="29"/>
      <c r="F187" s="29"/>
      <c r="G187" s="29"/>
      <c r="H187" s="29"/>
      <c r="I187" s="29"/>
      <c r="J187" s="29"/>
    </row>
    <row r="188" customFormat="false" ht="44" hidden="false" customHeight="true" outlineLevel="0" collapsed="false">
      <c r="A188" s="29"/>
      <c r="B188" s="42"/>
      <c r="C188" s="29"/>
      <c r="D188" s="29"/>
      <c r="E188" s="29"/>
      <c r="F188" s="29"/>
      <c r="G188" s="29"/>
      <c r="H188" s="29"/>
      <c r="I188" s="29"/>
      <c r="J188" s="29"/>
    </row>
    <row r="189" customFormat="false" ht="44" hidden="false" customHeight="true" outlineLevel="0" collapsed="false">
      <c r="A189" s="29"/>
      <c r="B189" s="42"/>
      <c r="C189" s="29"/>
      <c r="D189" s="29"/>
      <c r="E189" s="29"/>
      <c r="F189" s="29"/>
      <c r="G189" s="29"/>
      <c r="H189" s="29"/>
      <c r="I189" s="29"/>
      <c r="J189" s="29"/>
    </row>
    <row r="190" customFormat="false" ht="44" hidden="false" customHeight="true" outlineLevel="0" collapsed="false">
      <c r="A190" s="29"/>
      <c r="B190" s="42"/>
      <c r="C190" s="29"/>
      <c r="D190" s="29"/>
      <c r="E190" s="29"/>
      <c r="F190" s="29"/>
      <c r="G190" s="29"/>
      <c r="H190" s="29"/>
      <c r="I190" s="29"/>
      <c r="J190" s="29"/>
    </row>
    <row r="191" customFormat="false" ht="44" hidden="false" customHeight="true" outlineLevel="0" collapsed="false">
      <c r="A191" s="29"/>
      <c r="B191" s="42"/>
      <c r="C191" s="29"/>
      <c r="D191" s="29"/>
      <c r="E191" s="29"/>
      <c r="F191" s="29"/>
      <c r="G191" s="29"/>
      <c r="H191" s="29"/>
      <c r="I191" s="29"/>
      <c r="J191" s="29"/>
    </row>
    <row r="192" customFormat="false" ht="44" hidden="false" customHeight="true" outlineLevel="0" collapsed="false">
      <c r="A192" s="29"/>
      <c r="B192" s="42"/>
      <c r="C192" s="29"/>
      <c r="D192" s="29"/>
      <c r="E192" s="29"/>
      <c r="F192" s="29"/>
      <c r="G192" s="29"/>
      <c r="H192" s="29"/>
      <c r="I192" s="29"/>
      <c r="J192" s="29"/>
    </row>
    <row r="193" customFormat="false" ht="44" hidden="false" customHeight="true" outlineLevel="0" collapsed="false">
      <c r="A193" s="29"/>
      <c r="B193" s="42"/>
      <c r="C193" s="29"/>
      <c r="D193" s="29"/>
      <c r="E193" s="29"/>
      <c r="F193" s="29"/>
      <c r="G193" s="29"/>
      <c r="H193" s="29"/>
      <c r="I193" s="29"/>
      <c r="J193" s="29"/>
    </row>
    <row r="194" customFormat="false" ht="44" hidden="false" customHeight="true" outlineLevel="0" collapsed="false">
      <c r="A194" s="29"/>
      <c r="B194" s="42"/>
      <c r="C194" s="29"/>
      <c r="D194" s="29"/>
      <c r="E194" s="29"/>
      <c r="F194" s="29"/>
      <c r="G194" s="29"/>
      <c r="H194" s="29"/>
      <c r="I194" s="29"/>
      <c r="J194" s="29"/>
    </row>
    <row r="195" customFormat="false" ht="44" hidden="false" customHeight="true" outlineLevel="0" collapsed="false">
      <c r="A195" s="29"/>
      <c r="B195" s="42"/>
      <c r="C195" s="29"/>
      <c r="D195" s="29"/>
      <c r="E195" s="29"/>
      <c r="F195" s="29"/>
      <c r="G195" s="29"/>
      <c r="H195" s="29"/>
      <c r="I195" s="29"/>
      <c r="J195" s="29"/>
    </row>
    <row r="196" customFormat="false" ht="44" hidden="false" customHeight="true" outlineLevel="0" collapsed="false">
      <c r="A196" s="29"/>
      <c r="B196" s="42"/>
      <c r="C196" s="29"/>
      <c r="D196" s="29"/>
      <c r="E196" s="29"/>
      <c r="F196" s="29"/>
      <c r="G196" s="29"/>
      <c r="H196" s="29"/>
      <c r="I196" s="29"/>
      <c r="J196" s="29"/>
    </row>
    <row r="197" customFormat="false" ht="44" hidden="false" customHeight="true" outlineLevel="0" collapsed="false">
      <c r="A197" s="29"/>
      <c r="B197" s="42"/>
      <c r="C197" s="29"/>
      <c r="D197" s="29"/>
      <c r="E197" s="29"/>
      <c r="F197" s="29"/>
      <c r="G197" s="29"/>
      <c r="H197" s="29"/>
      <c r="I197" s="29"/>
      <c r="J197" s="29"/>
    </row>
    <row r="198" customFormat="false" ht="44" hidden="false" customHeight="true" outlineLevel="0" collapsed="false">
      <c r="A198" s="29"/>
      <c r="B198" s="42"/>
      <c r="C198" s="29"/>
      <c r="D198" s="29"/>
      <c r="E198" s="29"/>
      <c r="F198" s="29"/>
      <c r="G198" s="29"/>
      <c r="H198" s="29"/>
      <c r="I198" s="29"/>
      <c r="J198" s="29"/>
    </row>
    <row r="199" customFormat="false" ht="44" hidden="false" customHeight="true" outlineLevel="0" collapsed="false">
      <c r="A199" s="29"/>
      <c r="B199" s="42"/>
      <c r="C199" s="29"/>
      <c r="D199" s="29"/>
      <c r="E199" s="29"/>
      <c r="F199" s="29"/>
      <c r="G199" s="29"/>
      <c r="H199" s="29"/>
      <c r="I199" s="29"/>
      <c r="J199" s="29"/>
    </row>
    <row r="200" customFormat="false" ht="44" hidden="false" customHeight="true" outlineLevel="0" collapsed="false">
      <c r="A200" s="29"/>
      <c r="B200" s="42"/>
      <c r="C200" s="29"/>
      <c r="D200" s="29"/>
      <c r="E200" s="29"/>
      <c r="F200" s="29"/>
      <c r="G200" s="29"/>
      <c r="H200" s="29"/>
      <c r="I200" s="29"/>
      <c r="J200" s="29"/>
    </row>
    <row r="201" customFormat="false" ht="44" hidden="false" customHeight="true" outlineLevel="0" collapsed="false">
      <c r="A201" s="29"/>
      <c r="B201" s="42"/>
      <c r="C201" s="29"/>
      <c r="D201" s="29"/>
      <c r="E201" s="29"/>
      <c r="F201" s="29"/>
      <c r="G201" s="29"/>
      <c r="H201" s="29"/>
      <c r="I201" s="29"/>
      <c r="J201" s="29"/>
    </row>
    <row r="202" customFormat="false" ht="44" hidden="false" customHeight="true" outlineLevel="0" collapsed="false">
      <c r="A202" s="29"/>
      <c r="B202" s="42"/>
      <c r="C202" s="29"/>
      <c r="D202" s="29"/>
      <c r="E202" s="29"/>
      <c r="F202" s="29"/>
      <c r="G202" s="29"/>
      <c r="H202" s="29"/>
      <c r="I202" s="29"/>
      <c r="J202" s="29"/>
    </row>
    <row r="203" customFormat="false" ht="44" hidden="false" customHeight="true" outlineLevel="0" collapsed="false">
      <c r="A203" s="29"/>
      <c r="B203" s="42"/>
      <c r="C203" s="29"/>
      <c r="D203" s="29"/>
      <c r="E203" s="29"/>
      <c r="F203" s="29"/>
      <c r="G203" s="29"/>
      <c r="H203" s="29"/>
      <c r="I203" s="29"/>
      <c r="J203" s="29"/>
    </row>
    <row r="204" customFormat="false" ht="44" hidden="false" customHeight="true" outlineLevel="0" collapsed="false">
      <c r="A204" s="29"/>
      <c r="B204" s="42"/>
      <c r="C204" s="29"/>
      <c r="D204" s="29"/>
      <c r="E204" s="29"/>
      <c r="F204" s="29"/>
      <c r="G204" s="29"/>
      <c r="H204" s="29"/>
      <c r="I204" s="29"/>
      <c r="J204" s="29"/>
    </row>
    <row r="205" customFormat="false" ht="44" hidden="false" customHeight="true" outlineLevel="0" collapsed="false">
      <c r="A205" s="29"/>
      <c r="B205" s="42"/>
      <c r="C205" s="29"/>
      <c r="D205" s="29"/>
      <c r="E205" s="29"/>
      <c r="F205" s="29"/>
      <c r="G205" s="29"/>
      <c r="H205" s="29"/>
      <c r="I205" s="29"/>
      <c r="J205" s="29"/>
    </row>
    <row r="206" customFormat="false" ht="44" hidden="false" customHeight="true" outlineLevel="0" collapsed="false">
      <c r="A206" s="29"/>
      <c r="B206" s="42"/>
      <c r="C206" s="29"/>
      <c r="D206" s="29"/>
      <c r="E206" s="29"/>
      <c r="F206" s="29"/>
      <c r="G206" s="29"/>
      <c r="H206" s="29"/>
      <c r="I206" s="29"/>
      <c r="J206" s="29"/>
    </row>
    <row r="207" customFormat="false" ht="44" hidden="false" customHeight="true" outlineLevel="0" collapsed="false">
      <c r="A207" s="29"/>
      <c r="B207" s="42"/>
      <c r="C207" s="29"/>
      <c r="D207" s="29"/>
      <c r="E207" s="29"/>
      <c r="F207" s="29"/>
      <c r="G207" s="29"/>
      <c r="H207" s="29"/>
      <c r="I207" s="29"/>
      <c r="J207" s="29"/>
    </row>
    <row r="208" customFormat="false" ht="44" hidden="false" customHeight="true" outlineLevel="0" collapsed="false">
      <c r="A208" s="29"/>
      <c r="B208" s="42"/>
      <c r="C208" s="29"/>
      <c r="D208" s="29"/>
      <c r="E208" s="29"/>
      <c r="F208" s="29"/>
      <c r="G208" s="29"/>
      <c r="H208" s="29"/>
      <c r="I208" s="29"/>
      <c r="J208" s="29"/>
    </row>
    <row r="209" customFormat="false" ht="44" hidden="false" customHeight="true" outlineLevel="0" collapsed="false">
      <c r="A209" s="29"/>
      <c r="B209" s="42"/>
      <c r="C209" s="29"/>
      <c r="D209" s="29"/>
      <c r="E209" s="29"/>
      <c r="F209" s="29"/>
      <c r="G209" s="29"/>
      <c r="H209" s="29"/>
      <c r="I209" s="29"/>
      <c r="J209" s="29"/>
    </row>
    <row r="210" customFormat="false" ht="44" hidden="false" customHeight="true" outlineLevel="0" collapsed="false">
      <c r="A210" s="29"/>
      <c r="B210" s="42"/>
      <c r="C210" s="29"/>
      <c r="D210" s="29"/>
      <c r="E210" s="29"/>
      <c r="F210" s="29"/>
      <c r="G210" s="29"/>
      <c r="H210" s="29"/>
      <c r="I210" s="29"/>
      <c r="J210" s="29"/>
    </row>
    <row r="211" customFormat="false" ht="44" hidden="false" customHeight="true" outlineLevel="0" collapsed="false">
      <c r="A211" s="29"/>
      <c r="B211" s="42"/>
      <c r="C211" s="29"/>
      <c r="D211" s="29"/>
      <c r="E211" s="29"/>
      <c r="F211" s="29"/>
      <c r="G211" s="29"/>
      <c r="H211" s="29"/>
      <c r="I211" s="29"/>
      <c r="J211" s="29"/>
    </row>
    <row r="212" customFormat="false" ht="44" hidden="false" customHeight="true" outlineLevel="0" collapsed="false">
      <c r="A212" s="29"/>
      <c r="B212" s="42"/>
      <c r="C212" s="29"/>
      <c r="D212" s="29"/>
      <c r="E212" s="29"/>
      <c r="F212" s="29"/>
      <c r="G212" s="29"/>
      <c r="H212" s="29"/>
      <c r="I212" s="29"/>
      <c r="J212" s="29"/>
    </row>
    <row r="213" customFormat="false" ht="44" hidden="false" customHeight="true" outlineLevel="0" collapsed="false">
      <c r="A213" s="29"/>
      <c r="B213" s="42"/>
      <c r="C213" s="29"/>
      <c r="D213" s="29"/>
      <c r="E213" s="29"/>
      <c r="F213" s="29"/>
      <c r="G213" s="29"/>
      <c r="H213" s="29"/>
      <c r="I213" s="29"/>
      <c r="J213" s="29"/>
    </row>
    <row r="214" customFormat="false" ht="44" hidden="false" customHeight="true" outlineLevel="0" collapsed="false">
      <c r="A214" s="29"/>
      <c r="B214" s="42"/>
      <c r="C214" s="29"/>
      <c r="D214" s="29"/>
      <c r="E214" s="29"/>
      <c r="F214" s="29"/>
      <c r="G214" s="29"/>
      <c r="H214" s="29"/>
      <c r="I214" s="29"/>
      <c r="J214" s="29"/>
    </row>
    <row r="215" customFormat="false" ht="44" hidden="false" customHeight="true" outlineLevel="0" collapsed="false">
      <c r="A215" s="29"/>
      <c r="B215" s="42"/>
      <c r="C215" s="29"/>
      <c r="D215" s="29"/>
      <c r="E215" s="29"/>
      <c r="F215" s="29"/>
      <c r="G215" s="29"/>
      <c r="H215" s="29"/>
      <c r="I215" s="29"/>
      <c r="J215" s="29"/>
    </row>
    <row r="216" customFormat="false" ht="44" hidden="false" customHeight="true" outlineLevel="0" collapsed="false">
      <c r="A216" s="29"/>
      <c r="B216" s="42"/>
      <c r="C216" s="29"/>
      <c r="D216" s="29"/>
      <c r="E216" s="29"/>
      <c r="F216" s="29"/>
      <c r="G216" s="29"/>
      <c r="H216" s="29"/>
      <c r="I216" s="29"/>
      <c r="J216" s="29"/>
    </row>
    <row r="217" customFormat="false" ht="44" hidden="false" customHeight="true" outlineLevel="0" collapsed="false">
      <c r="A217" s="29"/>
      <c r="B217" s="42"/>
      <c r="C217" s="29"/>
      <c r="D217" s="29"/>
      <c r="E217" s="29"/>
      <c r="F217" s="29"/>
      <c r="G217" s="29"/>
      <c r="H217" s="29"/>
      <c r="I217" s="29"/>
      <c r="J217" s="29"/>
    </row>
    <row r="218" customFormat="false" ht="44" hidden="false" customHeight="true" outlineLevel="0" collapsed="false">
      <c r="A218" s="29"/>
      <c r="B218" s="42"/>
      <c r="C218" s="29"/>
      <c r="D218" s="29"/>
      <c r="E218" s="29"/>
      <c r="F218" s="29"/>
      <c r="G218" s="29"/>
      <c r="H218" s="29"/>
      <c r="I218" s="29"/>
      <c r="J218" s="29"/>
    </row>
    <row r="219" customFormat="false" ht="44" hidden="false" customHeight="true" outlineLevel="0" collapsed="false">
      <c r="A219" s="29"/>
      <c r="B219" s="42"/>
      <c r="C219" s="29"/>
      <c r="D219" s="29"/>
      <c r="E219" s="29"/>
      <c r="F219" s="29"/>
      <c r="G219" s="29"/>
      <c r="H219" s="29"/>
      <c r="I219" s="29"/>
      <c r="J219" s="29"/>
    </row>
    <row r="220" customFormat="false" ht="44" hidden="false" customHeight="true" outlineLevel="0" collapsed="false">
      <c r="A220" s="29"/>
      <c r="B220" s="42"/>
      <c r="C220" s="29"/>
      <c r="D220" s="29"/>
      <c r="E220" s="29"/>
      <c r="F220" s="29"/>
      <c r="G220" s="29"/>
      <c r="H220" s="29"/>
      <c r="I220" s="29"/>
      <c r="J220" s="29"/>
    </row>
    <row r="221" customFormat="false" ht="44" hidden="false" customHeight="true" outlineLevel="0" collapsed="false">
      <c r="A221" s="29"/>
      <c r="B221" s="42"/>
      <c r="C221" s="29"/>
      <c r="D221" s="29"/>
      <c r="E221" s="29"/>
      <c r="F221" s="29"/>
      <c r="G221" s="29"/>
      <c r="H221" s="29"/>
      <c r="I221" s="29"/>
      <c r="J221" s="29"/>
    </row>
    <row r="222" customFormat="false" ht="44" hidden="false" customHeight="true" outlineLevel="0" collapsed="false">
      <c r="A222" s="29"/>
      <c r="B222" s="42"/>
      <c r="C222" s="29"/>
      <c r="D222" s="29"/>
      <c r="E222" s="29"/>
      <c r="F222" s="29"/>
      <c r="G222" s="29"/>
      <c r="H222" s="29"/>
      <c r="I222" s="29"/>
      <c r="J222" s="29"/>
    </row>
    <row r="223" customFormat="false" ht="44" hidden="false" customHeight="true" outlineLevel="0" collapsed="false">
      <c r="A223" s="29"/>
      <c r="B223" s="42"/>
      <c r="C223" s="29"/>
      <c r="D223" s="29"/>
      <c r="E223" s="29"/>
      <c r="F223" s="29"/>
      <c r="G223" s="29"/>
      <c r="H223" s="29"/>
      <c r="I223" s="29"/>
      <c r="J223" s="29"/>
    </row>
    <row r="224" customFormat="false" ht="44" hidden="false" customHeight="true" outlineLevel="0" collapsed="false">
      <c r="A224" s="29"/>
      <c r="B224" s="42"/>
      <c r="C224" s="29"/>
      <c r="D224" s="29"/>
      <c r="E224" s="29"/>
      <c r="F224" s="29"/>
      <c r="G224" s="29"/>
      <c r="H224" s="29"/>
      <c r="I224" s="29"/>
      <c r="J224" s="29"/>
    </row>
    <row r="225" customFormat="false" ht="44" hidden="false" customHeight="true" outlineLevel="0" collapsed="false">
      <c r="A225" s="29"/>
      <c r="B225" s="42"/>
      <c r="C225" s="29"/>
      <c r="D225" s="29"/>
      <c r="E225" s="29"/>
      <c r="F225" s="29"/>
      <c r="G225" s="29"/>
      <c r="H225" s="29"/>
      <c r="I225" s="29"/>
      <c r="J225" s="29"/>
    </row>
    <row r="226" customFormat="false" ht="44" hidden="false" customHeight="true" outlineLevel="0" collapsed="false">
      <c r="A226" s="29"/>
      <c r="B226" s="42"/>
      <c r="C226" s="29"/>
      <c r="D226" s="29"/>
      <c r="E226" s="29"/>
      <c r="F226" s="29"/>
      <c r="G226" s="29"/>
      <c r="H226" s="29"/>
      <c r="I226" s="29"/>
      <c r="J226" s="29"/>
    </row>
    <row r="227" customFormat="false" ht="44" hidden="false" customHeight="true" outlineLevel="0" collapsed="false">
      <c r="A227" s="29"/>
      <c r="B227" s="42"/>
      <c r="C227" s="29"/>
      <c r="D227" s="29"/>
      <c r="E227" s="29"/>
      <c r="F227" s="29"/>
      <c r="G227" s="29"/>
      <c r="H227" s="29"/>
      <c r="I227" s="29"/>
      <c r="J227" s="29"/>
    </row>
    <row r="228" customFormat="false" ht="44" hidden="false" customHeight="true" outlineLevel="0" collapsed="false">
      <c r="A228" s="29"/>
      <c r="B228" s="42"/>
      <c r="C228" s="29"/>
      <c r="D228" s="29"/>
      <c r="E228" s="29"/>
      <c r="F228" s="29"/>
      <c r="G228" s="29"/>
      <c r="H228" s="29"/>
      <c r="I228" s="29"/>
      <c r="J228" s="29"/>
    </row>
    <row r="229" customFormat="false" ht="44" hidden="false" customHeight="true" outlineLevel="0" collapsed="false">
      <c r="A229" s="29"/>
      <c r="B229" s="42"/>
      <c r="C229" s="29"/>
      <c r="D229" s="29"/>
      <c r="E229" s="29"/>
      <c r="F229" s="29"/>
      <c r="G229" s="29"/>
      <c r="H229" s="29"/>
      <c r="I229" s="29"/>
      <c r="J229" s="29"/>
    </row>
    <row r="230" customFormat="false" ht="44" hidden="false" customHeight="true" outlineLevel="0" collapsed="false">
      <c r="A230" s="29"/>
      <c r="B230" s="42"/>
      <c r="C230" s="29"/>
      <c r="D230" s="29"/>
      <c r="E230" s="29"/>
      <c r="F230" s="29"/>
      <c r="G230" s="29"/>
      <c r="H230" s="29"/>
      <c r="I230" s="29"/>
      <c r="J230" s="29"/>
    </row>
    <row r="231" customFormat="false" ht="44" hidden="false" customHeight="true" outlineLevel="0" collapsed="false">
      <c r="A231" s="29"/>
      <c r="B231" s="42"/>
      <c r="C231" s="29"/>
      <c r="D231" s="29"/>
      <c r="E231" s="29"/>
      <c r="F231" s="29"/>
      <c r="G231" s="29"/>
      <c r="H231" s="29"/>
      <c r="I231" s="29"/>
      <c r="J231" s="29"/>
    </row>
    <row r="232" customFormat="false" ht="44" hidden="false" customHeight="true" outlineLevel="0" collapsed="false">
      <c r="A232" s="29"/>
      <c r="B232" s="42"/>
      <c r="C232" s="29"/>
      <c r="D232" s="29"/>
      <c r="E232" s="29"/>
      <c r="F232" s="29"/>
      <c r="G232" s="29"/>
      <c r="H232" s="29"/>
      <c r="I232" s="29"/>
      <c r="J232" s="29"/>
    </row>
    <row r="233" customFormat="false" ht="44" hidden="false" customHeight="true" outlineLevel="0" collapsed="false">
      <c r="A233" s="29"/>
      <c r="B233" s="42"/>
      <c r="C233" s="29"/>
      <c r="D233" s="29"/>
      <c r="E233" s="29"/>
      <c r="F233" s="29"/>
      <c r="G233" s="29"/>
      <c r="H233" s="29"/>
      <c r="I233" s="29"/>
      <c r="J233" s="29"/>
    </row>
    <row r="234" customFormat="false" ht="44" hidden="false" customHeight="true" outlineLevel="0" collapsed="false">
      <c r="A234" s="29"/>
      <c r="B234" s="42"/>
      <c r="C234" s="29"/>
      <c r="D234" s="29"/>
      <c r="E234" s="29"/>
      <c r="F234" s="29"/>
      <c r="G234" s="29"/>
      <c r="H234" s="29"/>
      <c r="I234" s="29"/>
      <c r="J234" s="29"/>
    </row>
    <row r="235" customFormat="false" ht="44" hidden="false" customHeight="true" outlineLevel="0" collapsed="false">
      <c r="A235" s="29"/>
      <c r="B235" s="42"/>
      <c r="C235" s="29"/>
      <c r="D235" s="29"/>
      <c r="E235" s="29"/>
      <c r="F235" s="29"/>
      <c r="G235" s="29"/>
      <c r="H235" s="29"/>
      <c r="I235" s="29"/>
      <c r="J235" s="29"/>
    </row>
    <row r="236" customFormat="false" ht="44" hidden="false" customHeight="true" outlineLevel="0" collapsed="false">
      <c r="A236" s="29"/>
      <c r="B236" s="42"/>
      <c r="C236" s="29"/>
      <c r="D236" s="29"/>
      <c r="E236" s="29"/>
      <c r="F236" s="29"/>
      <c r="G236" s="29"/>
      <c r="H236" s="29"/>
      <c r="I236" s="29"/>
      <c r="J236" s="29"/>
    </row>
    <row r="237" customFormat="false" ht="44" hidden="false" customHeight="true" outlineLevel="0" collapsed="false">
      <c r="A237" s="29"/>
      <c r="B237" s="42"/>
      <c r="C237" s="29"/>
      <c r="D237" s="29"/>
      <c r="E237" s="29"/>
      <c r="F237" s="29"/>
      <c r="G237" s="29"/>
      <c r="H237" s="29"/>
      <c r="I237" s="29"/>
      <c r="J237" s="29"/>
    </row>
    <row r="238" customFormat="false" ht="44" hidden="false" customHeight="true" outlineLevel="0" collapsed="false">
      <c r="A238" s="29"/>
      <c r="B238" s="42"/>
      <c r="C238" s="29"/>
      <c r="D238" s="29"/>
      <c r="E238" s="29"/>
      <c r="F238" s="29"/>
      <c r="G238" s="29"/>
      <c r="H238" s="29"/>
      <c r="I238" s="29"/>
      <c r="J238" s="29"/>
    </row>
    <row r="239" customFormat="false" ht="44" hidden="false" customHeight="true" outlineLevel="0" collapsed="false">
      <c r="A239" s="29"/>
      <c r="B239" s="42"/>
      <c r="C239" s="29"/>
      <c r="D239" s="29"/>
      <c r="E239" s="29"/>
      <c r="F239" s="29"/>
      <c r="G239" s="29"/>
      <c r="H239" s="29"/>
      <c r="I239" s="29"/>
      <c r="J239" s="29"/>
    </row>
    <row r="240" customFormat="false" ht="44" hidden="false" customHeight="true" outlineLevel="0" collapsed="false">
      <c r="A240" s="29"/>
      <c r="B240" s="42"/>
      <c r="C240" s="29"/>
      <c r="D240" s="29"/>
      <c r="E240" s="29"/>
      <c r="F240" s="29"/>
      <c r="G240" s="29"/>
      <c r="H240" s="29"/>
      <c r="I240" s="29"/>
      <c r="J240" s="29"/>
    </row>
    <row r="241" customFormat="false" ht="44" hidden="false" customHeight="true" outlineLevel="0" collapsed="false">
      <c r="A241" s="29"/>
      <c r="B241" s="42"/>
      <c r="C241" s="29"/>
      <c r="D241" s="29"/>
      <c r="E241" s="29"/>
      <c r="F241" s="29"/>
      <c r="G241" s="29"/>
      <c r="H241" s="29"/>
      <c r="I241" s="29"/>
      <c r="J241" s="29"/>
    </row>
    <row r="242" customFormat="false" ht="44" hidden="false" customHeight="true" outlineLevel="0" collapsed="false">
      <c r="A242" s="29"/>
      <c r="B242" s="42"/>
      <c r="C242" s="29"/>
      <c r="D242" s="29"/>
      <c r="E242" s="29"/>
      <c r="F242" s="29"/>
      <c r="G242" s="29"/>
      <c r="H242" s="29"/>
      <c r="I242" s="29"/>
      <c r="J242" s="29"/>
    </row>
    <row r="243" customFormat="false" ht="44" hidden="false" customHeight="true" outlineLevel="0" collapsed="false">
      <c r="A243" s="29"/>
      <c r="B243" s="42"/>
      <c r="C243" s="29"/>
      <c r="D243" s="29"/>
      <c r="E243" s="29"/>
      <c r="F243" s="29"/>
      <c r="G243" s="29"/>
      <c r="H243" s="29"/>
      <c r="I243" s="29"/>
      <c r="J243" s="29"/>
    </row>
    <row r="244" customFormat="false" ht="44" hidden="false" customHeight="true" outlineLevel="0" collapsed="false">
      <c r="A244" s="29"/>
      <c r="B244" s="42"/>
      <c r="C244" s="29"/>
      <c r="D244" s="29"/>
      <c r="E244" s="29"/>
      <c r="F244" s="29"/>
      <c r="G244" s="29"/>
      <c r="H244" s="29"/>
      <c r="I244" s="29"/>
      <c r="J244" s="29"/>
    </row>
    <row r="245" customFormat="false" ht="44" hidden="false" customHeight="true" outlineLevel="0" collapsed="false">
      <c r="A245" s="29"/>
      <c r="B245" s="42"/>
      <c r="C245" s="29"/>
      <c r="D245" s="29"/>
      <c r="E245" s="29"/>
      <c r="F245" s="29"/>
      <c r="G245" s="29"/>
      <c r="H245" s="29"/>
      <c r="I245" s="29"/>
      <c r="J245" s="29"/>
    </row>
    <row r="246" customFormat="false" ht="44" hidden="false" customHeight="true" outlineLevel="0" collapsed="false">
      <c r="A246" s="29"/>
      <c r="B246" s="42"/>
      <c r="C246" s="29"/>
      <c r="D246" s="29"/>
      <c r="E246" s="29"/>
      <c r="F246" s="29"/>
      <c r="G246" s="29"/>
      <c r="H246" s="29"/>
      <c r="I246" s="29"/>
      <c r="J246" s="29"/>
    </row>
    <row r="247" customFormat="false" ht="44" hidden="false" customHeight="true" outlineLevel="0" collapsed="false">
      <c r="A247" s="29"/>
      <c r="B247" s="42"/>
      <c r="C247" s="29"/>
      <c r="D247" s="29"/>
      <c r="E247" s="29"/>
      <c r="F247" s="29"/>
      <c r="G247" s="29"/>
      <c r="H247" s="29"/>
      <c r="I247" s="29"/>
      <c r="J247" s="29"/>
    </row>
    <row r="248" customFormat="false" ht="44" hidden="false" customHeight="true" outlineLevel="0" collapsed="false">
      <c r="A248" s="29"/>
      <c r="B248" s="42"/>
      <c r="C248" s="29"/>
      <c r="D248" s="29"/>
      <c r="E248" s="29"/>
      <c r="F248" s="29"/>
      <c r="G248" s="29"/>
      <c r="H248" s="29"/>
      <c r="I248" s="29"/>
      <c r="J248" s="29"/>
    </row>
    <row r="249" customFormat="false" ht="44" hidden="false" customHeight="true" outlineLevel="0" collapsed="false">
      <c r="A249" s="29"/>
      <c r="B249" s="42"/>
      <c r="C249" s="29"/>
      <c r="D249" s="29"/>
      <c r="E249" s="29"/>
      <c r="F249" s="29"/>
      <c r="G249" s="29"/>
      <c r="H249" s="29"/>
      <c r="I249" s="29"/>
      <c r="J249" s="29"/>
    </row>
    <row r="250" customFormat="false" ht="44" hidden="false" customHeight="true" outlineLevel="0" collapsed="false">
      <c r="A250" s="29"/>
      <c r="B250" s="42"/>
      <c r="C250" s="29"/>
      <c r="D250" s="29"/>
      <c r="E250" s="29"/>
      <c r="F250" s="29"/>
      <c r="G250" s="29"/>
      <c r="H250" s="29"/>
      <c r="I250" s="29"/>
      <c r="J250" s="29"/>
    </row>
    <row r="251" customFormat="false" ht="44" hidden="false" customHeight="true" outlineLevel="0" collapsed="false">
      <c r="A251" s="29"/>
      <c r="B251" s="42"/>
      <c r="C251" s="29"/>
      <c r="D251" s="29"/>
      <c r="E251" s="29"/>
      <c r="F251" s="29"/>
      <c r="G251" s="29"/>
      <c r="H251" s="29"/>
      <c r="I251" s="29"/>
      <c r="J251" s="29"/>
    </row>
    <row r="252" customFormat="false" ht="44" hidden="false" customHeight="true" outlineLevel="0" collapsed="false">
      <c r="A252" s="29"/>
      <c r="B252" s="42"/>
      <c r="C252" s="29"/>
      <c r="D252" s="29"/>
      <c r="E252" s="29"/>
      <c r="F252" s="29"/>
      <c r="G252" s="29"/>
      <c r="H252" s="29"/>
      <c r="I252" s="29"/>
      <c r="J252" s="29"/>
    </row>
    <row r="253" customFormat="false" ht="44" hidden="false" customHeight="true" outlineLevel="0" collapsed="false">
      <c r="A253" s="29"/>
      <c r="B253" s="42"/>
      <c r="C253" s="29"/>
      <c r="D253" s="29"/>
      <c r="E253" s="29"/>
      <c r="F253" s="29"/>
      <c r="G253" s="29"/>
      <c r="H253" s="29"/>
      <c r="I253" s="29"/>
      <c r="J253" s="29"/>
    </row>
    <row r="254" customFormat="false" ht="44" hidden="false" customHeight="true" outlineLevel="0" collapsed="false">
      <c r="A254" s="29"/>
      <c r="B254" s="42"/>
      <c r="C254" s="29"/>
      <c r="D254" s="29"/>
      <c r="E254" s="29"/>
      <c r="F254" s="29"/>
      <c r="G254" s="29"/>
      <c r="H254" s="29"/>
      <c r="I254" s="29"/>
      <c r="J254" s="29"/>
    </row>
    <row r="255" customFormat="false" ht="44" hidden="false" customHeight="true" outlineLevel="0" collapsed="false">
      <c r="A255" s="29"/>
      <c r="B255" s="42"/>
      <c r="C255" s="29"/>
      <c r="D255" s="29"/>
      <c r="E255" s="29"/>
      <c r="F255" s="29"/>
      <c r="G255" s="29"/>
      <c r="H255" s="29"/>
      <c r="I255" s="29"/>
      <c r="J255" s="29"/>
    </row>
    <row r="256" customFormat="false" ht="44" hidden="false" customHeight="true" outlineLevel="0" collapsed="false">
      <c r="A256" s="29"/>
      <c r="B256" s="42"/>
      <c r="C256" s="29"/>
      <c r="D256" s="29"/>
      <c r="E256" s="29"/>
      <c r="F256" s="29"/>
      <c r="G256" s="29"/>
      <c r="H256" s="29"/>
      <c r="I256" s="29"/>
      <c r="J256" s="29"/>
    </row>
    <row r="257" customFormat="false" ht="44" hidden="false" customHeight="true" outlineLevel="0" collapsed="false">
      <c r="A257" s="29"/>
      <c r="B257" s="42"/>
      <c r="C257" s="29"/>
      <c r="D257" s="29"/>
      <c r="E257" s="29"/>
      <c r="F257" s="29"/>
      <c r="G257" s="29"/>
      <c r="H257" s="29"/>
      <c r="I257" s="29"/>
      <c r="J257" s="29"/>
    </row>
    <row r="258" customFormat="false" ht="44" hidden="false" customHeight="true" outlineLevel="0" collapsed="false">
      <c r="A258" s="29"/>
      <c r="B258" s="42"/>
      <c r="C258" s="29"/>
      <c r="D258" s="29"/>
      <c r="E258" s="29"/>
      <c r="F258" s="29"/>
      <c r="G258" s="29"/>
      <c r="H258" s="29"/>
      <c r="I258" s="29"/>
      <c r="J258" s="29"/>
    </row>
    <row r="259" customFormat="false" ht="44" hidden="false" customHeight="true" outlineLevel="0" collapsed="false">
      <c r="A259" s="29"/>
      <c r="B259" s="42"/>
      <c r="C259" s="29"/>
      <c r="D259" s="29"/>
      <c r="E259" s="29"/>
      <c r="F259" s="29"/>
      <c r="G259" s="29"/>
      <c r="H259" s="29"/>
      <c r="I259" s="29"/>
      <c r="J259" s="29"/>
    </row>
    <row r="260" customFormat="false" ht="44" hidden="false" customHeight="true" outlineLevel="0" collapsed="false">
      <c r="A260" s="29"/>
      <c r="B260" s="42"/>
      <c r="C260" s="29"/>
      <c r="D260" s="29"/>
      <c r="E260" s="29"/>
      <c r="F260" s="29"/>
      <c r="G260" s="29"/>
      <c r="H260" s="29"/>
      <c r="I260" s="29"/>
      <c r="J260" s="29"/>
    </row>
    <row r="261" customFormat="false" ht="44" hidden="false" customHeight="true" outlineLevel="0" collapsed="false">
      <c r="A261" s="29"/>
      <c r="B261" s="42"/>
      <c r="C261" s="29"/>
      <c r="D261" s="29"/>
      <c r="E261" s="29"/>
      <c r="F261" s="29"/>
      <c r="G261" s="29"/>
      <c r="H261" s="29"/>
      <c r="I261" s="29"/>
      <c r="J261" s="29"/>
    </row>
    <row r="262" customFormat="false" ht="44" hidden="false" customHeight="true" outlineLevel="0" collapsed="false">
      <c r="A262" s="29"/>
      <c r="B262" s="42"/>
      <c r="C262" s="29"/>
      <c r="D262" s="29"/>
      <c r="E262" s="29"/>
      <c r="F262" s="29"/>
      <c r="G262" s="29"/>
      <c r="H262" s="29"/>
      <c r="I262" s="29"/>
      <c r="J262" s="29"/>
    </row>
    <row r="263" customFormat="false" ht="44" hidden="false" customHeight="true" outlineLevel="0" collapsed="false">
      <c r="A263" s="29"/>
      <c r="B263" s="42"/>
      <c r="C263" s="29"/>
      <c r="D263" s="29"/>
      <c r="E263" s="29"/>
      <c r="F263" s="29"/>
      <c r="G263" s="29"/>
      <c r="H263" s="29"/>
      <c r="I263" s="29"/>
      <c r="J263" s="29"/>
    </row>
    <row r="264" customFormat="false" ht="44" hidden="false" customHeight="true" outlineLevel="0" collapsed="false">
      <c r="A264" s="29"/>
      <c r="B264" s="42"/>
      <c r="C264" s="29"/>
      <c r="D264" s="29"/>
      <c r="E264" s="29"/>
      <c r="F264" s="29"/>
      <c r="G264" s="29"/>
      <c r="H264" s="29"/>
      <c r="I264" s="29"/>
      <c r="J264" s="29"/>
    </row>
    <row r="265" customFormat="false" ht="44" hidden="false" customHeight="true" outlineLevel="0" collapsed="false">
      <c r="A265" s="29"/>
      <c r="B265" s="42"/>
      <c r="C265" s="29"/>
      <c r="D265" s="29"/>
      <c r="E265" s="29"/>
      <c r="F265" s="29"/>
      <c r="G265" s="29"/>
      <c r="H265" s="29"/>
      <c r="I265" s="29"/>
      <c r="J265" s="29"/>
    </row>
    <row r="266" customFormat="false" ht="44" hidden="false" customHeight="true" outlineLevel="0" collapsed="false">
      <c r="A266" s="29"/>
      <c r="B266" s="42"/>
      <c r="C266" s="29"/>
      <c r="D266" s="29"/>
      <c r="E266" s="29"/>
      <c r="F266" s="29"/>
      <c r="G266" s="29"/>
      <c r="H266" s="29"/>
      <c r="I266" s="29"/>
      <c r="J266" s="29"/>
    </row>
    <row r="267" customFormat="false" ht="44" hidden="false" customHeight="true" outlineLevel="0" collapsed="false">
      <c r="A267" s="29"/>
      <c r="B267" s="42"/>
      <c r="C267" s="29"/>
      <c r="D267" s="29"/>
      <c r="E267" s="29"/>
      <c r="F267" s="29"/>
      <c r="G267" s="29"/>
      <c r="H267" s="29"/>
      <c r="I267" s="29"/>
      <c r="J267" s="29"/>
    </row>
    <row r="268" customFormat="false" ht="44" hidden="false" customHeight="true" outlineLevel="0" collapsed="false">
      <c r="A268" s="29"/>
      <c r="B268" s="42"/>
      <c r="C268" s="29"/>
      <c r="D268" s="29"/>
      <c r="E268" s="29"/>
      <c r="F268" s="29"/>
      <c r="G268" s="29"/>
      <c r="H268" s="29"/>
      <c r="I268" s="29"/>
      <c r="J268" s="29"/>
    </row>
    <row r="269" customFormat="false" ht="44" hidden="false" customHeight="true" outlineLevel="0" collapsed="false">
      <c r="A269" s="29"/>
      <c r="B269" s="42"/>
      <c r="C269" s="29"/>
      <c r="D269" s="29"/>
      <c r="E269" s="29"/>
      <c r="F269" s="29"/>
      <c r="G269" s="29"/>
      <c r="H269" s="29"/>
      <c r="I269" s="29"/>
      <c r="J269" s="29"/>
    </row>
    <row r="270" customFormat="false" ht="44" hidden="false" customHeight="true" outlineLevel="0" collapsed="false">
      <c r="A270" s="29"/>
      <c r="B270" s="42"/>
      <c r="C270" s="29"/>
      <c r="D270" s="29"/>
      <c r="E270" s="29"/>
      <c r="F270" s="29"/>
      <c r="G270" s="29"/>
      <c r="H270" s="29"/>
      <c r="I270" s="29"/>
      <c r="J270" s="29"/>
    </row>
    <row r="271" customFormat="false" ht="44" hidden="false" customHeight="true" outlineLevel="0" collapsed="false">
      <c r="A271" s="29"/>
      <c r="B271" s="42"/>
      <c r="C271" s="29"/>
      <c r="D271" s="29"/>
      <c r="E271" s="29"/>
      <c r="F271" s="29"/>
      <c r="G271" s="29"/>
      <c r="H271" s="29"/>
      <c r="I271" s="29"/>
      <c r="J271" s="29"/>
    </row>
    <row r="272" customFormat="false" ht="44" hidden="false" customHeight="true" outlineLevel="0" collapsed="false">
      <c r="A272" s="29"/>
      <c r="B272" s="42"/>
      <c r="C272" s="29"/>
      <c r="D272" s="29"/>
      <c r="E272" s="29"/>
      <c r="F272" s="29"/>
      <c r="G272" s="29"/>
      <c r="H272" s="29"/>
      <c r="I272" s="29"/>
      <c r="J272" s="29"/>
    </row>
    <row r="273" customFormat="false" ht="44" hidden="false" customHeight="true" outlineLevel="0" collapsed="false">
      <c r="A273" s="29"/>
      <c r="B273" s="42"/>
      <c r="C273" s="29"/>
      <c r="D273" s="29"/>
      <c r="E273" s="29"/>
      <c r="F273" s="29"/>
      <c r="G273" s="29"/>
      <c r="H273" s="29"/>
      <c r="I273" s="29"/>
      <c r="J273" s="29"/>
    </row>
    <row r="274" customFormat="false" ht="44" hidden="false" customHeight="true" outlineLevel="0" collapsed="false">
      <c r="A274" s="29"/>
      <c r="B274" s="42"/>
      <c r="C274" s="29"/>
      <c r="D274" s="29"/>
      <c r="E274" s="29"/>
      <c r="F274" s="29"/>
      <c r="G274" s="29"/>
      <c r="H274" s="29"/>
      <c r="I274" s="29"/>
      <c r="J274" s="29"/>
    </row>
    <row r="275" customFormat="false" ht="44" hidden="false" customHeight="true" outlineLevel="0" collapsed="false">
      <c r="A275" s="29"/>
      <c r="B275" s="42"/>
      <c r="C275" s="29"/>
      <c r="D275" s="29"/>
      <c r="E275" s="29"/>
      <c r="F275" s="29"/>
      <c r="G275" s="29"/>
      <c r="H275" s="29"/>
      <c r="I275" s="29"/>
      <c r="J275" s="29"/>
    </row>
    <row r="276" customFormat="false" ht="44" hidden="false" customHeight="true" outlineLevel="0" collapsed="false">
      <c r="A276" s="29"/>
      <c r="B276" s="42"/>
      <c r="C276" s="29"/>
      <c r="D276" s="29"/>
      <c r="E276" s="29"/>
      <c r="F276" s="29"/>
      <c r="G276" s="29"/>
      <c r="H276" s="29"/>
      <c r="I276" s="29"/>
      <c r="J276" s="29"/>
    </row>
    <row r="277" customFormat="false" ht="44" hidden="false" customHeight="true" outlineLevel="0" collapsed="false">
      <c r="A277" s="29"/>
      <c r="B277" s="42"/>
      <c r="C277" s="29"/>
      <c r="D277" s="29"/>
      <c r="E277" s="29"/>
      <c r="F277" s="29"/>
      <c r="G277" s="29"/>
      <c r="H277" s="29"/>
      <c r="I277" s="29"/>
      <c r="J277" s="29"/>
    </row>
    <row r="278" customFormat="false" ht="44" hidden="false" customHeight="true" outlineLevel="0" collapsed="false">
      <c r="A278" s="29"/>
      <c r="B278" s="42"/>
      <c r="C278" s="29"/>
      <c r="D278" s="29"/>
      <c r="E278" s="29"/>
      <c r="F278" s="29"/>
      <c r="G278" s="29"/>
      <c r="H278" s="29"/>
      <c r="I278" s="29"/>
      <c r="J278" s="29"/>
    </row>
    <row r="279" customFormat="false" ht="44" hidden="false" customHeight="true" outlineLevel="0" collapsed="false">
      <c r="A279" s="29"/>
      <c r="B279" s="42"/>
      <c r="C279" s="29"/>
      <c r="D279" s="29"/>
      <c r="E279" s="29"/>
      <c r="F279" s="29"/>
      <c r="G279" s="29"/>
      <c r="H279" s="29"/>
      <c r="I279" s="29"/>
      <c r="J279" s="29"/>
    </row>
    <row r="280" customFormat="false" ht="44" hidden="false" customHeight="true" outlineLevel="0" collapsed="false">
      <c r="A280" s="29"/>
      <c r="B280" s="42"/>
      <c r="C280" s="29"/>
      <c r="D280" s="29"/>
      <c r="E280" s="29"/>
      <c r="F280" s="29"/>
      <c r="G280" s="29"/>
      <c r="H280" s="29"/>
      <c r="I280" s="29"/>
      <c r="J280" s="29"/>
    </row>
    <row r="281" customFormat="false" ht="44" hidden="false" customHeight="true" outlineLevel="0" collapsed="false">
      <c r="A281" s="29"/>
      <c r="B281" s="42"/>
      <c r="C281" s="29"/>
      <c r="D281" s="29"/>
      <c r="E281" s="29"/>
      <c r="F281" s="29"/>
      <c r="G281" s="29"/>
      <c r="H281" s="29"/>
      <c r="I281" s="29"/>
      <c r="J281" s="29"/>
    </row>
    <row r="282" customFormat="false" ht="44" hidden="false" customHeight="true" outlineLevel="0" collapsed="false">
      <c r="A282" s="29"/>
      <c r="B282" s="42"/>
      <c r="C282" s="29"/>
      <c r="D282" s="29"/>
      <c r="E282" s="29"/>
      <c r="F282" s="29"/>
      <c r="G282" s="29"/>
      <c r="H282" s="29"/>
      <c r="I282" s="29"/>
      <c r="J282" s="29"/>
    </row>
    <row r="283" customFormat="false" ht="44" hidden="false" customHeight="true" outlineLevel="0" collapsed="false">
      <c r="A283" s="29"/>
      <c r="B283" s="42"/>
      <c r="C283" s="29"/>
      <c r="D283" s="29"/>
      <c r="E283" s="29"/>
      <c r="F283" s="29"/>
      <c r="G283" s="29"/>
      <c r="H283" s="29"/>
      <c r="I283" s="29"/>
      <c r="J283" s="29"/>
    </row>
    <row r="284" customFormat="false" ht="44" hidden="false" customHeight="true" outlineLevel="0" collapsed="false">
      <c r="A284" s="29"/>
      <c r="B284" s="42"/>
      <c r="C284" s="29"/>
      <c r="D284" s="29"/>
      <c r="E284" s="29"/>
      <c r="F284" s="29"/>
      <c r="G284" s="29"/>
      <c r="H284" s="29"/>
      <c r="I284" s="29"/>
      <c r="J284" s="29"/>
    </row>
    <row r="285" customFormat="false" ht="44" hidden="false" customHeight="true" outlineLevel="0" collapsed="false">
      <c r="A285" s="29"/>
      <c r="B285" s="42"/>
      <c r="C285" s="29"/>
      <c r="D285" s="29"/>
      <c r="E285" s="29"/>
      <c r="F285" s="29"/>
      <c r="G285" s="29"/>
      <c r="H285" s="29"/>
      <c r="I285" s="29"/>
      <c r="J285" s="29"/>
    </row>
    <row r="286" customFormat="false" ht="44" hidden="false" customHeight="true" outlineLevel="0" collapsed="false">
      <c r="A286" s="29"/>
      <c r="B286" s="42"/>
      <c r="C286" s="29"/>
      <c r="D286" s="29"/>
      <c r="E286" s="29"/>
      <c r="F286" s="29"/>
      <c r="G286" s="29"/>
      <c r="H286" s="29"/>
      <c r="I286" s="29"/>
      <c r="J286" s="29"/>
    </row>
    <row r="287" customFormat="false" ht="44" hidden="false" customHeight="true" outlineLevel="0" collapsed="false">
      <c r="A287" s="29"/>
      <c r="B287" s="42"/>
      <c r="C287" s="29"/>
      <c r="D287" s="29"/>
      <c r="E287" s="29"/>
      <c r="F287" s="29"/>
      <c r="G287" s="29"/>
      <c r="H287" s="29"/>
      <c r="I287" s="29"/>
      <c r="J287" s="29"/>
    </row>
    <row r="288" customFormat="false" ht="44" hidden="false" customHeight="true" outlineLevel="0" collapsed="false">
      <c r="A288" s="29"/>
      <c r="B288" s="42"/>
      <c r="C288" s="29"/>
      <c r="D288" s="29"/>
      <c r="E288" s="29"/>
      <c r="F288" s="29"/>
      <c r="G288" s="29"/>
      <c r="H288" s="29"/>
      <c r="I288" s="29"/>
      <c r="J288" s="29"/>
    </row>
    <row r="289" customFormat="false" ht="44" hidden="false" customHeight="true" outlineLevel="0" collapsed="false">
      <c r="A289" s="29"/>
      <c r="B289" s="42"/>
      <c r="C289" s="29"/>
      <c r="D289" s="29"/>
      <c r="E289" s="29"/>
      <c r="F289" s="29"/>
      <c r="G289" s="29"/>
      <c r="H289" s="29"/>
      <c r="I289" s="29"/>
      <c r="J289" s="29"/>
    </row>
    <row r="290" customFormat="false" ht="44" hidden="false" customHeight="true" outlineLevel="0" collapsed="false">
      <c r="A290" s="29"/>
      <c r="B290" s="42"/>
      <c r="C290" s="29"/>
      <c r="D290" s="29"/>
      <c r="E290" s="29"/>
      <c r="F290" s="29"/>
      <c r="G290" s="29"/>
      <c r="H290" s="29"/>
      <c r="I290" s="29"/>
      <c r="J290" s="29"/>
    </row>
    <row r="291" customFormat="false" ht="44" hidden="false" customHeight="true" outlineLevel="0" collapsed="false">
      <c r="A291" s="29"/>
      <c r="B291" s="42"/>
      <c r="C291" s="29"/>
      <c r="D291" s="29"/>
      <c r="E291" s="29"/>
      <c r="F291" s="29"/>
      <c r="G291" s="29"/>
      <c r="H291" s="29"/>
      <c r="I291" s="29"/>
      <c r="J291" s="29"/>
    </row>
    <row r="292" customFormat="false" ht="44" hidden="false" customHeight="true" outlineLevel="0" collapsed="false">
      <c r="A292" s="29"/>
      <c r="B292" s="42"/>
      <c r="C292" s="29"/>
      <c r="D292" s="29"/>
      <c r="E292" s="29"/>
      <c r="F292" s="29"/>
      <c r="G292" s="29"/>
      <c r="H292" s="29"/>
      <c r="I292" s="29"/>
      <c r="J292" s="29"/>
    </row>
    <row r="293" customFormat="false" ht="44" hidden="false" customHeight="true" outlineLevel="0" collapsed="false">
      <c r="A293" s="29"/>
      <c r="B293" s="42"/>
      <c r="C293" s="29"/>
      <c r="D293" s="29"/>
      <c r="E293" s="29"/>
      <c r="F293" s="29"/>
      <c r="G293" s="29"/>
      <c r="H293" s="29"/>
      <c r="I293" s="29"/>
      <c r="J293" s="29"/>
    </row>
    <row r="294" customFormat="false" ht="44" hidden="false" customHeight="true" outlineLevel="0" collapsed="false">
      <c r="A294" s="29"/>
      <c r="B294" s="42"/>
      <c r="C294" s="29"/>
      <c r="D294" s="29"/>
      <c r="E294" s="29"/>
      <c r="F294" s="29"/>
      <c r="G294" s="29"/>
      <c r="H294" s="29"/>
      <c r="I294" s="29"/>
      <c r="J294" s="29"/>
    </row>
    <row r="295" customFormat="false" ht="44" hidden="false" customHeight="true" outlineLevel="0" collapsed="false">
      <c r="A295" s="29"/>
      <c r="B295" s="42"/>
      <c r="C295" s="29"/>
      <c r="D295" s="29"/>
      <c r="E295" s="29"/>
      <c r="F295" s="29"/>
      <c r="G295" s="29"/>
      <c r="H295" s="29"/>
      <c r="I295" s="29"/>
      <c r="J295" s="29"/>
    </row>
    <row r="296" customFormat="false" ht="44" hidden="false" customHeight="true" outlineLevel="0" collapsed="false">
      <c r="A296" s="29"/>
      <c r="B296" s="42"/>
      <c r="C296" s="29"/>
      <c r="D296" s="29"/>
      <c r="E296" s="29"/>
      <c r="F296" s="29"/>
      <c r="G296" s="29"/>
      <c r="H296" s="29"/>
      <c r="I296" s="29"/>
      <c r="J296" s="29"/>
    </row>
    <row r="297" customFormat="false" ht="44" hidden="false" customHeight="true" outlineLevel="0" collapsed="false">
      <c r="A297" s="29"/>
      <c r="B297" s="42"/>
      <c r="C297" s="29"/>
      <c r="D297" s="29"/>
      <c r="E297" s="29"/>
      <c r="F297" s="29"/>
      <c r="G297" s="29"/>
      <c r="H297" s="29"/>
      <c r="I297" s="29"/>
      <c r="J297" s="29"/>
    </row>
    <row r="298" customFormat="false" ht="44" hidden="false" customHeight="true" outlineLevel="0" collapsed="false">
      <c r="A298" s="29"/>
      <c r="B298" s="42"/>
      <c r="C298" s="29"/>
      <c r="D298" s="29"/>
      <c r="E298" s="29"/>
      <c r="F298" s="29"/>
      <c r="G298" s="29"/>
      <c r="H298" s="29"/>
      <c r="I298" s="29"/>
      <c r="J298" s="29"/>
    </row>
    <row r="299" customFormat="false" ht="44" hidden="false" customHeight="true" outlineLevel="0" collapsed="false">
      <c r="A299" s="29"/>
      <c r="B299" s="42"/>
      <c r="C299" s="29"/>
      <c r="D299" s="29"/>
      <c r="E299" s="29"/>
      <c r="F299" s="29"/>
      <c r="G299" s="29"/>
      <c r="H299" s="29"/>
      <c r="I299" s="29"/>
      <c r="J299" s="29"/>
    </row>
    <row r="300" customFormat="false" ht="44" hidden="false" customHeight="true" outlineLevel="0" collapsed="false">
      <c r="A300" s="29"/>
      <c r="B300" s="42"/>
      <c r="C300" s="29"/>
      <c r="D300" s="29"/>
      <c r="E300" s="29"/>
      <c r="F300" s="29"/>
      <c r="G300" s="29"/>
      <c r="H300" s="29"/>
      <c r="I300" s="29"/>
      <c r="J300" s="29"/>
    </row>
    <row r="301" customFormat="false" ht="44" hidden="false" customHeight="true" outlineLevel="0" collapsed="false">
      <c r="A301" s="29"/>
      <c r="B301" s="42"/>
      <c r="C301" s="29"/>
      <c r="D301" s="29"/>
      <c r="E301" s="29"/>
      <c r="F301" s="29"/>
      <c r="G301" s="29"/>
      <c r="H301" s="29"/>
      <c r="I301" s="29"/>
      <c r="J301" s="29"/>
    </row>
    <row r="302" customFormat="false" ht="44" hidden="false" customHeight="true" outlineLevel="0" collapsed="false">
      <c r="A302" s="29"/>
      <c r="B302" s="42"/>
      <c r="C302" s="29"/>
      <c r="D302" s="29"/>
      <c r="E302" s="29"/>
      <c r="F302" s="29"/>
      <c r="G302" s="29"/>
      <c r="H302" s="29"/>
      <c r="I302" s="29"/>
      <c r="J302" s="29"/>
    </row>
    <row r="303" customFormat="false" ht="44" hidden="false" customHeight="true" outlineLevel="0" collapsed="false">
      <c r="A303" s="29"/>
      <c r="B303" s="42"/>
      <c r="C303" s="29"/>
      <c r="D303" s="29"/>
      <c r="E303" s="29"/>
      <c r="F303" s="29"/>
      <c r="G303" s="29"/>
      <c r="H303" s="29"/>
      <c r="I303" s="29"/>
      <c r="J303" s="29"/>
    </row>
    <row r="304" customFormat="false" ht="44" hidden="false" customHeight="true" outlineLevel="0" collapsed="false">
      <c r="A304" s="29"/>
      <c r="B304" s="42"/>
      <c r="C304" s="29"/>
      <c r="D304" s="29"/>
      <c r="E304" s="29"/>
      <c r="F304" s="29"/>
      <c r="G304" s="29"/>
      <c r="H304" s="29"/>
      <c r="I304" s="29"/>
      <c r="J304" s="29"/>
    </row>
    <row r="305" customFormat="false" ht="44" hidden="false" customHeight="true" outlineLevel="0" collapsed="false">
      <c r="A305" s="29"/>
      <c r="B305" s="42"/>
      <c r="C305" s="29"/>
      <c r="D305" s="29"/>
      <c r="E305" s="29"/>
      <c r="F305" s="29"/>
      <c r="G305" s="29"/>
      <c r="H305" s="29"/>
      <c r="I305" s="29"/>
      <c r="J305" s="29"/>
    </row>
    <row r="306" customFormat="false" ht="44" hidden="false" customHeight="true" outlineLevel="0" collapsed="false">
      <c r="A306" s="29"/>
      <c r="B306" s="42"/>
      <c r="C306" s="29"/>
      <c r="D306" s="29"/>
      <c r="E306" s="29"/>
      <c r="F306" s="29"/>
      <c r="G306" s="29"/>
      <c r="H306" s="29"/>
      <c r="I306" s="29"/>
      <c r="J306" s="29"/>
    </row>
    <row r="307" customFormat="false" ht="44" hidden="false" customHeight="true" outlineLevel="0" collapsed="false">
      <c r="A307" s="29"/>
      <c r="B307" s="42"/>
      <c r="C307" s="29"/>
      <c r="D307" s="29"/>
      <c r="E307" s="29"/>
      <c r="F307" s="29"/>
      <c r="G307" s="29"/>
      <c r="H307" s="29"/>
      <c r="I307" s="29"/>
      <c r="J307" s="29"/>
    </row>
  </sheetData>
  <mergeCells count="2">
    <mergeCell ref="A1:C2"/>
    <mergeCell ref="A3:C4"/>
  </mergeCells>
  <conditionalFormatting sqref="I7:I28">
    <cfRule type="expression" priority="2" aboveAverage="0" equalAverage="0" bottom="0" percent="0" rank="0" text="" dxfId="31">
      <formula>$I7="Open"</formula>
    </cfRule>
    <cfRule type="expression" priority="3" aboveAverage="0" equalAverage="0" bottom="0" percent="0" rank="0" text="" dxfId="32">
      <formula>$I7="Working"</formula>
    </cfRule>
    <cfRule type="expression" priority="4" aboveAverage="0" equalAverage="0" bottom="0" percent="0" rank="0" text="" dxfId="1">
      <formula>$I7="Closed"</formula>
    </cfRule>
  </conditionalFormatting>
  <conditionalFormatting sqref="F7:F307">
    <cfRule type="cellIs" priority="5" operator="equal" aboveAverage="0" equalAverage="0" bottom="0" percent="0" rank="0" text="" dxfId="63">
      <formula>"Unresolved"</formula>
    </cfRule>
    <cfRule type="cellIs" priority="6" operator="equal" aboveAverage="0" equalAverage="0" bottom="0" percent="0" rank="0" text="" dxfId="64">
      <formula>"Fail"</formula>
    </cfRule>
    <cfRule type="cellIs" priority="7" operator="equal" aboveAverage="0" equalAverage="0" bottom="0" percent="0" rank="0" text="" dxfId="65">
      <formula>"Pass"</formula>
    </cfRule>
    <cfRule type="cellIs" priority="8" operator="equal" aboveAverage="0" equalAverage="0" bottom="0" percent="0" rank="0" text="" dxfId="66">
      <formula>"In progress"</formula>
    </cfRule>
    <cfRule type="cellIs" priority="9" operator="equal" aboveAverage="0" equalAverage="0" bottom="0" percent="0" rank="0" text="" dxfId="67">
      <formula>"In review"</formula>
    </cfRule>
    <cfRule type="cellIs" priority="10" operator="equal" aboveAverage="0" equalAverage="0" bottom="0" percent="0" rank="0" text="" dxfId="68">
      <formula>"Complete"</formula>
    </cfRule>
  </conditionalFormatting>
  <dataValidations count="1">
    <dataValidation allowBlank="true" error="Use the dropdown values." errorStyle="stop" errorTitle="Choose a listed value" operator="between" showDropDown="false" showErrorMessage="true" showInputMessage="false" sqref="F7:F307" type="list">
      <formula1>WorkProgress</formula1>
      <formula2>0</formula2>
    </dataValidation>
  </dataValidation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&amp;L&amp;"Arial,Bold"&amp;12&amp;K000000Amendment Log</oddHeader>
    <oddFooter>&amp;L&amp;"Calibri"&amp;11&amp;K000000Amendment Log&amp;R&amp;"Calibri"&amp;11&amp;K000000Page &amp;P of &amp;N</oddFooter>
  </headerFooter>
  <tableParts>
    <tablePart r:id="rId1"/>
  </tableParts>
</worksheet>
</file>

<file path=xl/worksheets/sheet10.xml><?xml version="1.0" encoding="utf-8"?>
<worksheet xmlns="http://schemas.openxmlformats.org/spreadsheetml/2006/main" xmlns:r="http://schemas.openxmlformats.org/officeDocument/2006/relationships">
  <sheetPr filterMode="false">
    <tabColor rgb="FF236D79"/>
    <pageSetUpPr fitToPage="true"/>
  </sheetPr>
  <dimension ref="A1:J307"/>
  <sheetViews>
    <sheetView showFormulas="false" showGridLines="false" showRowColHeaders="true" showZeros="true" rightToLeft="false" tabSelected="0"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1"/>
  <cols>
    <col collapsed="false" customWidth="true" hidden="false" outlineLevel="0" max="1" min="1" style="0" width="15"/>
    <col collapsed="false" customWidth="true" hidden="false" outlineLevel="0" max="2" min="2" style="0" width="23.33"/>
    <col collapsed="false" customWidth="true" hidden="false" outlineLevel="0" max="3" min="3" style="0" width="30"/>
    <col collapsed="false" customWidth="true" hidden="false" outlineLevel="0" max="4" min="4" style="0" width="44.44"/>
    <col collapsed="false" customWidth="true" hidden="true" outlineLevel="1" max="5" min="5" style="0" width="35.56"/>
    <col collapsed="false" customWidth="true" hidden="true" outlineLevel="1" max="6" min="6" style="0" width="8.34"/>
    <col collapsed="false" customWidth="true" hidden="true" outlineLevel="1" max="7" min="7" style="0" width="13.89"/>
    <col collapsed="false" customWidth="true" hidden="true" outlineLevel="1" max="8" min="8" style="0" width="37.79"/>
    <col collapsed="false" customWidth="true" hidden="true" outlineLevel="1" max="10" min="9" style="0" width="12.22"/>
  </cols>
  <sheetData>
    <row r="1" customFormat="false" ht="23" hidden="false" customHeight="true" outlineLevel="0" collapsed="false">
      <c r="A1" s="28" t="s">
        <v>134</v>
      </c>
      <c r="B1" s="28" t="s">
        <v>134</v>
      </c>
      <c r="C1" s="28" t="s">
        <v>134</v>
      </c>
      <c r="D1" s="29"/>
      <c r="E1" s="29"/>
      <c r="F1" s="29"/>
      <c r="G1" s="29"/>
      <c r="H1" s="29"/>
      <c r="I1" s="29"/>
      <c r="J1" s="29"/>
    </row>
    <row r="2" customFormat="false" ht="23" hidden="false" customHeight="true" outlineLevel="0" collapsed="false">
      <c r="A2" s="28" t="s">
        <v>134</v>
      </c>
      <c r="B2" s="28" t="s">
        <v>134</v>
      </c>
      <c r="C2" s="28" t="s">
        <v>134</v>
      </c>
      <c r="D2" s="29"/>
      <c r="E2" s="29"/>
      <c r="F2" s="29"/>
      <c r="G2" s="29"/>
      <c r="H2" s="29"/>
      <c r="I2" s="29"/>
      <c r="J2" s="29"/>
    </row>
    <row r="3" customFormat="false" ht="22" hidden="false" customHeight="true" outlineLevel="0" collapsed="false">
      <c r="A3" s="11" t="s">
        <v>69</v>
      </c>
      <c r="B3" s="11" t="s">
        <v>69</v>
      </c>
      <c r="C3" s="11" t="s">
        <v>69</v>
      </c>
      <c r="D3" s="29"/>
      <c r="E3" s="29"/>
      <c r="F3" s="29"/>
      <c r="G3" s="29"/>
      <c r="H3" s="29"/>
      <c r="I3" s="29"/>
      <c r="J3" s="29"/>
    </row>
    <row r="4" customFormat="false" ht="44" hidden="false" customHeight="true" outlineLevel="0" collapsed="false">
      <c r="A4" s="29"/>
      <c r="B4" s="29"/>
      <c r="C4" s="29"/>
      <c r="D4" s="29"/>
      <c r="E4" s="29"/>
      <c r="F4" s="29"/>
      <c r="G4" s="29"/>
      <c r="H4" s="29"/>
      <c r="I4" s="29"/>
      <c r="J4" s="29"/>
    </row>
    <row r="5" customFormat="false" ht="42" hidden="false" customHeight="true" outlineLevel="0" collapsed="false">
      <c r="A5" s="30" t="s">
        <v>135</v>
      </c>
      <c r="B5" s="30" t="s">
        <v>136</v>
      </c>
      <c r="C5" s="30" t="s">
        <v>137</v>
      </c>
      <c r="D5" s="30" t="s">
        <v>138</v>
      </c>
      <c r="E5" s="30" t="s">
        <v>91</v>
      </c>
      <c r="F5" s="30" t="s">
        <v>92</v>
      </c>
      <c r="G5" s="30" t="s">
        <v>93</v>
      </c>
      <c r="H5" s="30" t="s">
        <v>139</v>
      </c>
      <c r="I5" s="30" t="s">
        <v>140</v>
      </c>
      <c r="J5" s="30" t="s">
        <v>141</v>
      </c>
    </row>
    <row r="6" customFormat="false" ht="76" hidden="false" customHeight="true" outlineLevel="0" collapsed="false">
      <c r="A6" s="31"/>
      <c r="B6" s="33"/>
      <c r="C6" s="33"/>
      <c r="D6" s="33"/>
      <c r="E6" s="33"/>
      <c r="F6" s="33"/>
      <c r="G6" s="33"/>
      <c r="H6" s="33"/>
      <c r="I6" s="40"/>
      <c r="J6" s="40"/>
    </row>
    <row r="7" customFormat="false" ht="76" hidden="false" customHeight="true" outlineLevel="0" collapsed="false">
      <c r="A7" s="36"/>
      <c r="B7" s="38"/>
      <c r="C7" s="38"/>
      <c r="D7" s="38"/>
      <c r="E7" s="38"/>
      <c r="F7" s="38"/>
      <c r="G7" s="38"/>
      <c r="H7" s="38"/>
      <c r="I7" s="41"/>
      <c r="J7" s="41"/>
    </row>
    <row r="8" customFormat="false" ht="76" hidden="false" customHeight="true" outlineLevel="0" collapsed="false">
      <c r="A8" s="31"/>
      <c r="B8" s="33"/>
      <c r="C8" s="33"/>
      <c r="D8" s="33"/>
      <c r="E8" s="33"/>
      <c r="F8" s="33"/>
      <c r="G8" s="33"/>
      <c r="H8" s="33"/>
      <c r="I8" s="40"/>
      <c r="J8" s="40"/>
    </row>
    <row r="9" customFormat="false" ht="76" hidden="false" customHeight="true" outlineLevel="0" collapsed="false">
      <c r="A9" s="36"/>
      <c r="B9" s="38"/>
      <c r="C9" s="38"/>
      <c r="D9" s="38"/>
      <c r="E9" s="38"/>
      <c r="F9" s="38"/>
      <c r="G9" s="38"/>
      <c r="H9" s="38"/>
      <c r="I9" s="41"/>
      <c r="J9" s="41"/>
    </row>
    <row r="10" customFormat="false" ht="76" hidden="false" customHeight="true" outlineLevel="0" collapsed="false">
      <c r="A10" s="31"/>
      <c r="B10" s="33"/>
      <c r="C10" s="33"/>
      <c r="D10" s="33"/>
      <c r="E10" s="33"/>
      <c r="F10" s="33"/>
      <c r="G10" s="33"/>
      <c r="H10" s="33"/>
      <c r="I10" s="40"/>
      <c r="J10" s="40"/>
    </row>
    <row r="11" customFormat="false" ht="76" hidden="false" customHeight="true" outlineLevel="0" collapsed="false">
      <c r="A11" s="36"/>
      <c r="B11" s="38"/>
      <c r="C11" s="38"/>
      <c r="D11" s="38"/>
      <c r="E11" s="38"/>
      <c r="F11" s="38"/>
      <c r="G11" s="38"/>
      <c r="H11" s="38"/>
      <c r="I11" s="41"/>
      <c r="J11" s="41"/>
    </row>
    <row r="12" customFormat="false" ht="76" hidden="false" customHeight="true" outlineLevel="0" collapsed="false">
      <c r="A12" s="31"/>
      <c r="B12" s="33"/>
      <c r="C12" s="33"/>
      <c r="D12" s="33"/>
      <c r="E12" s="33"/>
      <c r="F12" s="33"/>
      <c r="G12" s="33"/>
      <c r="H12" s="33"/>
      <c r="I12" s="40"/>
      <c r="J12" s="40"/>
    </row>
    <row r="13" customFormat="false" ht="76" hidden="false" customHeight="true" outlineLevel="0" collapsed="false">
      <c r="A13" s="36"/>
      <c r="B13" s="38"/>
      <c r="C13" s="38"/>
      <c r="D13" s="38"/>
      <c r="E13" s="38"/>
      <c r="F13" s="38"/>
      <c r="G13" s="38"/>
      <c r="H13" s="38"/>
      <c r="I13" s="41"/>
      <c r="J13" s="41"/>
    </row>
    <row r="14" customFormat="false" ht="44" hidden="false" customHeight="true" outlineLevel="0" collapsed="false">
      <c r="A14" s="29"/>
      <c r="B14" s="29"/>
      <c r="C14" s="29"/>
      <c r="D14" s="29"/>
      <c r="E14" s="29"/>
      <c r="F14" s="29"/>
      <c r="G14" s="29"/>
      <c r="H14" s="29"/>
      <c r="I14" s="29"/>
      <c r="J14" s="29"/>
    </row>
    <row r="15" customFormat="false" ht="44" hidden="false" customHeight="true" outlineLevel="0" collapsed="false">
      <c r="A15" s="29"/>
      <c r="B15" s="29"/>
      <c r="C15" s="29"/>
      <c r="D15" s="29"/>
      <c r="E15" s="29"/>
      <c r="F15" s="29"/>
      <c r="G15" s="29"/>
      <c r="H15" s="29"/>
      <c r="I15" s="29"/>
      <c r="J15" s="29"/>
    </row>
    <row r="16" customFormat="false" ht="44" hidden="false" customHeight="true" outlineLevel="0" collapsed="false">
      <c r="A16" s="29"/>
      <c r="B16" s="29"/>
      <c r="C16" s="29"/>
      <c r="D16" s="29"/>
      <c r="E16" s="29"/>
      <c r="F16" s="29"/>
      <c r="G16" s="29"/>
      <c r="H16" s="29"/>
      <c r="I16" s="29"/>
      <c r="J16" s="29"/>
    </row>
    <row r="17" customFormat="false" ht="44" hidden="false" customHeight="true" outlineLevel="0" collapsed="false">
      <c r="A17" s="29"/>
      <c r="B17" s="29"/>
      <c r="C17" s="29"/>
      <c r="D17" s="29"/>
      <c r="E17" s="29"/>
      <c r="F17" s="29"/>
      <c r="G17" s="29"/>
      <c r="H17" s="29"/>
      <c r="I17" s="29"/>
      <c r="J17" s="29"/>
    </row>
    <row r="18" customFormat="false" ht="44" hidden="false" customHeight="true" outlineLevel="0" collapsed="false">
      <c r="A18" s="29"/>
      <c r="B18" s="29"/>
      <c r="C18" s="29"/>
      <c r="D18" s="29"/>
      <c r="E18" s="29"/>
      <c r="F18" s="29"/>
      <c r="G18" s="29"/>
      <c r="H18" s="29"/>
      <c r="I18" s="29"/>
      <c r="J18" s="29"/>
    </row>
    <row r="19" customFormat="false" ht="44" hidden="false" customHeight="true" outlineLevel="0" collapsed="false">
      <c r="A19" s="29"/>
      <c r="B19" s="29"/>
      <c r="C19" s="29"/>
      <c r="D19" s="29"/>
      <c r="E19" s="29"/>
      <c r="F19" s="29"/>
      <c r="G19" s="29"/>
      <c r="H19" s="29"/>
      <c r="I19" s="29"/>
      <c r="J19" s="29"/>
    </row>
    <row r="20" customFormat="false" ht="44" hidden="false" customHeight="true" outlineLevel="0" collapsed="false">
      <c r="A20" s="29"/>
      <c r="B20" s="29"/>
      <c r="C20" s="29"/>
      <c r="D20" s="29"/>
      <c r="E20" s="29"/>
      <c r="F20" s="29"/>
      <c r="G20" s="29"/>
      <c r="H20" s="29"/>
      <c r="I20" s="29"/>
      <c r="J20" s="29"/>
    </row>
    <row r="21" customFormat="false" ht="44" hidden="false" customHeight="true" outlineLevel="0" collapsed="false">
      <c r="A21" s="29"/>
      <c r="B21" s="29"/>
      <c r="C21" s="29"/>
      <c r="D21" s="29"/>
      <c r="E21" s="29"/>
      <c r="F21" s="29"/>
      <c r="G21" s="29"/>
      <c r="H21" s="29"/>
      <c r="I21" s="29"/>
      <c r="J21" s="29"/>
    </row>
    <row r="22" customFormat="false" ht="44" hidden="false" customHeight="true" outlineLevel="0" collapsed="false">
      <c r="A22" s="29"/>
      <c r="B22" s="29"/>
      <c r="C22" s="29"/>
      <c r="D22" s="29"/>
      <c r="E22" s="29"/>
      <c r="F22" s="29"/>
      <c r="G22" s="29"/>
      <c r="H22" s="29"/>
      <c r="I22" s="29"/>
      <c r="J22" s="29"/>
    </row>
    <row r="23" customFormat="false" ht="44" hidden="false" customHeight="true" outlineLevel="0" collapsed="false">
      <c r="A23" s="29"/>
      <c r="B23" s="29"/>
      <c r="C23" s="29"/>
      <c r="D23" s="29"/>
      <c r="E23" s="29"/>
      <c r="F23" s="29"/>
      <c r="G23" s="29"/>
      <c r="H23" s="29"/>
      <c r="I23" s="29"/>
      <c r="J23" s="29"/>
    </row>
    <row r="24" customFormat="false" ht="44" hidden="false" customHeight="true" outlineLevel="0" collapsed="false">
      <c r="A24" s="29"/>
      <c r="B24" s="29"/>
      <c r="C24" s="29"/>
      <c r="D24" s="29"/>
      <c r="E24" s="29"/>
      <c r="F24" s="29"/>
      <c r="G24" s="29"/>
      <c r="H24" s="29"/>
      <c r="I24" s="29"/>
      <c r="J24" s="29"/>
    </row>
    <row r="25" customFormat="false" ht="44" hidden="false" customHeight="true" outlineLevel="0" collapsed="false">
      <c r="A25" s="29"/>
      <c r="B25" s="29"/>
      <c r="C25" s="29"/>
      <c r="D25" s="29"/>
      <c r="E25" s="29"/>
      <c r="F25" s="29"/>
      <c r="G25" s="29"/>
      <c r="H25" s="29"/>
      <c r="I25" s="29"/>
      <c r="J25" s="29"/>
    </row>
    <row r="26" customFormat="false" ht="44" hidden="false" customHeight="true" outlineLevel="0" collapsed="false">
      <c r="A26" s="29"/>
      <c r="B26" s="29"/>
      <c r="C26" s="29"/>
      <c r="D26" s="29"/>
      <c r="E26" s="29"/>
      <c r="F26" s="29"/>
      <c r="G26" s="29"/>
      <c r="H26" s="29"/>
      <c r="I26" s="29"/>
      <c r="J26" s="29"/>
    </row>
    <row r="27" customFormat="false" ht="44" hidden="false" customHeight="true" outlineLevel="0" collapsed="false">
      <c r="A27" s="29"/>
      <c r="B27" s="29"/>
      <c r="C27" s="29"/>
      <c r="D27" s="29"/>
      <c r="E27" s="29"/>
      <c r="F27" s="29"/>
      <c r="G27" s="29"/>
      <c r="H27" s="29"/>
      <c r="I27" s="29"/>
      <c r="J27" s="29"/>
    </row>
    <row r="28" customFormat="false" ht="44" hidden="false" customHeight="true" outlineLevel="0" collapsed="false">
      <c r="A28" s="29"/>
      <c r="B28" s="29"/>
      <c r="C28" s="29"/>
      <c r="D28" s="29"/>
      <c r="E28" s="29"/>
      <c r="F28" s="29"/>
      <c r="G28" s="29"/>
      <c r="H28" s="29"/>
      <c r="I28" s="29"/>
      <c r="J28" s="29"/>
    </row>
    <row r="29" customFormat="false" ht="44" hidden="false" customHeight="true" outlineLevel="0" collapsed="false">
      <c r="A29" s="29"/>
      <c r="B29" s="29"/>
      <c r="C29" s="29"/>
      <c r="D29" s="29"/>
      <c r="E29" s="29"/>
      <c r="F29" s="29"/>
      <c r="G29" s="29"/>
      <c r="H29" s="29"/>
      <c r="I29" s="29"/>
      <c r="J29" s="29"/>
    </row>
    <row r="30" customFormat="false" ht="44" hidden="false" customHeight="true" outlineLevel="0" collapsed="false">
      <c r="A30" s="29"/>
      <c r="B30" s="29"/>
      <c r="C30" s="29"/>
      <c r="D30" s="29"/>
      <c r="E30" s="29"/>
      <c r="F30" s="29"/>
      <c r="G30" s="29"/>
      <c r="H30" s="29"/>
      <c r="I30" s="29"/>
      <c r="J30" s="29"/>
    </row>
    <row r="31" customFormat="false" ht="44" hidden="false" customHeight="true" outlineLevel="0" collapsed="false">
      <c r="A31" s="29"/>
      <c r="B31" s="29"/>
      <c r="C31" s="29"/>
      <c r="D31" s="29"/>
      <c r="E31" s="29"/>
      <c r="F31" s="29"/>
      <c r="G31" s="29"/>
      <c r="H31" s="29"/>
      <c r="I31" s="29"/>
      <c r="J31" s="29"/>
    </row>
    <row r="32" customFormat="false" ht="44" hidden="false" customHeight="true" outlineLevel="0" collapsed="false">
      <c r="A32" s="29"/>
      <c r="B32" s="29"/>
      <c r="C32" s="29"/>
      <c r="D32" s="29"/>
      <c r="E32" s="29"/>
      <c r="F32" s="29"/>
      <c r="G32" s="29"/>
      <c r="H32" s="29"/>
      <c r="I32" s="29"/>
      <c r="J32" s="29"/>
    </row>
    <row r="33" customFormat="false" ht="44" hidden="false" customHeight="true" outlineLevel="0" collapsed="false">
      <c r="A33" s="29"/>
      <c r="B33" s="29"/>
      <c r="C33" s="29"/>
      <c r="D33" s="29"/>
      <c r="E33" s="29"/>
      <c r="F33" s="29"/>
      <c r="G33" s="29"/>
      <c r="H33" s="29"/>
      <c r="I33" s="29"/>
      <c r="J33" s="29"/>
    </row>
    <row r="34" customFormat="false" ht="44" hidden="false" customHeight="true" outlineLevel="0" collapsed="false">
      <c r="A34" s="29"/>
      <c r="B34" s="29"/>
      <c r="C34" s="29"/>
      <c r="D34" s="29"/>
      <c r="E34" s="29"/>
      <c r="F34" s="29"/>
      <c r="G34" s="29"/>
      <c r="H34" s="29"/>
      <c r="I34" s="29"/>
      <c r="J34" s="29"/>
    </row>
    <row r="35" customFormat="false" ht="44" hidden="false" customHeight="true" outlineLevel="0" collapsed="false">
      <c r="A35" s="29"/>
      <c r="B35" s="29"/>
      <c r="C35" s="29"/>
      <c r="D35" s="29"/>
      <c r="E35" s="29"/>
      <c r="F35" s="29"/>
      <c r="G35" s="29"/>
      <c r="H35" s="29"/>
      <c r="I35" s="29"/>
      <c r="J35" s="29"/>
    </row>
    <row r="36" customFormat="false" ht="44" hidden="false" customHeight="true" outlineLevel="0" collapsed="false">
      <c r="A36" s="29"/>
      <c r="B36" s="29"/>
      <c r="C36" s="29"/>
      <c r="D36" s="29"/>
      <c r="E36" s="29"/>
      <c r="F36" s="29"/>
      <c r="G36" s="29"/>
      <c r="H36" s="29"/>
      <c r="I36" s="29"/>
      <c r="J36" s="29"/>
    </row>
    <row r="37" customFormat="false" ht="44" hidden="false" customHeight="true" outlineLevel="0" collapsed="false">
      <c r="A37" s="29"/>
      <c r="B37" s="29"/>
      <c r="C37" s="29"/>
      <c r="D37" s="29"/>
      <c r="E37" s="29"/>
      <c r="F37" s="29"/>
      <c r="G37" s="29"/>
      <c r="H37" s="29"/>
      <c r="I37" s="29"/>
      <c r="J37" s="29"/>
    </row>
    <row r="38" customFormat="false" ht="44" hidden="false" customHeight="true" outlineLevel="0" collapsed="false">
      <c r="A38" s="29"/>
      <c r="B38" s="29"/>
      <c r="C38" s="29"/>
      <c r="D38" s="29"/>
      <c r="E38" s="29"/>
      <c r="F38" s="29"/>
      <c r="G38" s="29"/>
      <c r="H38" s="29"/>
      <c r="I38" s="29"/>
      <c r="J38" s="29"/>
    </row>
    <row r="39" customFormat="false" ht="44" hidden="false" customHeight="true" outlineLevel="0" collapsed="false">
      <c r="A39" s="29"/>
      <c r="B39" s="29"/>
      <c r="C39" s="29"/>
      <c r="D39" s="29"/>
      <c r="E39" s="29"/>
      <c r="F39" s="29"/>
      <c r="G39" s="29"/>
      <c r="H39" s="29"/>
      <c r="I39" s="29"/>
      <c r="J39" s="29"/>
    </row>
    <row r="40" customFormat="false" ht="44" hidden="false" customHeight="true" outlineLevel="0" collapsed="false">
      <c r="A40" s="29"/>
      <c r="B40" s="29"/>
      <c r="C40" s="29"/>
      <c r="D40" s="29"/>
      <c r="E40" s="29"/>
      <c r="F40" s="29"/>
      <c r="G40" s="29"/>
      <c r="H40" s="29"/>
      <c r="I40" s="29"/>
      <c r="J40" s="29"/>
    </row>
    <row r="41" customFormat="false" ht="44" hidden="false" customHeight="true" outlineLevel="0" collapsed="false">
      <c r="A41" s="29"/>
      <c r="B41" s="29"/>
      <c r="C41" s="29"/>
      <c r="D41" s="29"/>
      <c r="E41" s="29"/>
      <c r="F41" s="29"/>
      <c r="G41" s="29"/>
      <c r="H41" s="29"/>
      <c r="I41" s="29"/>
      <c r="J41" s="29"/>
    </row>
    <row r="42" customFormat="false" ht="44" hidden="false" customHeight="true" outlineLevel="0" collapsed="false">
      <c r="A42" s="29"/>
      <c r="B42" s="29"/>
      <c r="C42" s="29"/>
      <c r="D42" s="29"/>
      <c r="E42" s="29"/>
      <c r="F42" s="29"/>
      <c r="G42" s="29"/>
      <c r="H42" s="29"/>
      <c r="I42" s="29"/>
      <c r="J42" s="29"/>
    </row>
    <row r="43" customFormat="false" ht="44" hidden="false" customHeight="true" outlineLevel="0" collapsed="false">
      <c r="A43" s="29"/>
      <c r="B43" s="29"/>
      <c r="C43" s="29"/>
      <c r="D43" s="29"/>
      <c r="E43" s="29"/>
      <c r="F43" s="29"/>
      <c r="G43" s="29"/>
      <c r="H43" s="29"/>
      <c r="I43" s="29"/>
      <c r="J43" s="29"/>
    </row>
    <row r="44" customFormat="false" ht="44" hidden="false" customHeight="true" outlineLevel="0" collapsed="false">
      <c r="A44" s="29"/>
      <c r="B44" s="29"/>
      <c r="C44" s="29"/>
      <c r="D44" s="29"/>
      <c r="E44" s="29"/>
      <c r="F44" s="29"/>
      <c r="G44" s="29"/>
      <c r="H44" s="29"/>
      <c r="I44" s="29"/>
      <c r="J44" s="29"/>
    </row>
    <row r="45" customFormat="false" ht="44" hidden="false" customHeight="true" outlineLevel="0" collapsed="false">
      <c r="A45" s="29"/>
      <c r="B45" s="29"/>
      <c r="C45" s="29"/>
      <c r="D45" s="29"/>
      <c r="E45" s="29"/>
      <c r="F45" s="29"/>
      <c r="G45" s="29"/>
      <c r="H45" s="29"/>
      <c r="I45" s="29"/>
      <c r="J45" s="29"/>
    </row>
    <row r="46" customFormat="false" ht="44" hidden="false" customHeight="true" outlineLevel="0" collapsed="false">
      <c r="A46" s="29"/>
      <c r="B46" s="29"/>
      <c r="C46" s="29"/>
      <c r="D46" s="29"/>
      <c r="E46" s="29"/>
      <c r="F46" s="29"/>
      <c r="G46" s="29"/>
      <c r="H46" s="29"/>
      <c r="I46" s="29"/>
      <c r="J46" s="29"/>
    </row>
    <row r="47" customFormat="false" ht="44" hidden="false" customHeight="true" outlineLevel="0" collapsed="false">
      <c r="A47" s="29"/>
      <c r="B47" s="29"/>
      <c r="C47" s="29"/>
      <c r="D47" s="29"/>
      <c r="E47" s="29"/>
      <c r="F47" s="29"/>
      <c r="G47" s="29"/>
      <c r="H47" s="29"/>
      <c r="I47" s="29"/>
      <c r="J47" s="29"/>
    </row>
    <row r="48" customFormat="false" ht="44" hidden="false" customHeight="true" outlineLevel="0" collapsed="false">
      <c r="A48" s="29"/>
      <c r="B48" s="29"/>
      <c r="C48" s="29"/>
      <c r="D48" s="29"/>
      <c r="E48" s="29"/>
      <c r="F48" s="29"/>
      <c r="G48" s="29"/>
      <c r="H48" s="29"/>
      <c r="I48" s="29"/>
      <c r="J48" s="29"/>
    </row>
    <row r="49" customFormat="false" ht="44" hidden="false" customHeight="true" outlineLevel="0" collapsed="false">
      <c r="A49" s="29"/>
      <c r="B49" s="29"/>
      <c r="C49" s="29"/>
      <c r="D49" s="29"/>
      <c r="E49" s="29"/>
      <c r="F49" s="29"/>
      <c r="G49" s="29"/>
      <c r="H49" s="29"/>
      <c r="I49" s="29"/>
      <c r="J49" s="29"/>
    </row>
    <row r="50" customFormat="false" ht="44" hidden="false" customHeight="true" outlineLevel="0" collapsed="false">
      <c r="A50" s="29"/>
      <c r="B50" s="29"/>
      <c r="C50" s="29"/>
      <c r="D50" s="29"/>
      <c r="E50" s="29"/>
      <c r="F50" s="29"/>
      <c r="G50" s="29"/>
      <c r="H50" s="29"/>
      <c r="I50" s="29"/>
      <c r="J50" s="29"/>
    </row>
    <row r="51" customFormat="false" ht="44" hidden="false" customHeight="true" outlineLevel="0" collapsed="false">
      <c r="A51" s="29"/>
      <c r="B51" s="29"/>
      <c r="C51" s="29"/>
      <c r="D51" s="29"/>
      <c r="E51" s="29"/>
      <c r="F51" s="29"/>
      <c r="G51" s="29"/>
      <c r="H51" s="29"/>
      <c r="I51" s="29"/>
      <c r="J51" s="29"/>
    </row>
    <row r="52" customFormat="false" ht="44" hidden="false" customHeight="true" outlineLevel="0" collapsed="false">
      <c r="A52" s="29"/>
      <c r="B52" s="29"/>
      <c r="C52" s="29"/>
      <c r="D52" s="29"/>
      <c r="E52" s="29"/>
      <c r="F52" s="29"/>
      <c r="G52" s="29"/>
      <c r="H52" s="29"/>
      <c r="I52" s="29"/>
      <c r="J52" s="29"/>
    </row>
    <row r="53" customFormat="false" ht="44" hidden="false" customHeight="true" outlineLevel="0" collapsed="false">
      <c r="A53" s="29"/>
      <c r="B53" s="29"/>
      <c r="C53" s="29"/>
      <c r="D53" s="29"/>
      <c r="E53" s="29"/>
      <c r="F53" s="29"/>
      <c r="G53" s="29"/>
      <c r="H53" s="29"/>
      <c r="I53" s="29"/>
      <c r="J53" s="29"/>
    </row>
    <row r="54" customFormat="false" ht="44" hidden="false" customHeight="true" outlineLevel="0" collapsed="false">
      <c r="A54" s="29"/>
      <c r="B54" s="29"/>
      <c r="C54" s="29"/>
      <c r="D54" s="29"/>
      <c r="E54" s="29"/>
      <c r="F54" s="29"/>
      <c r="G54" s="29"/>
      <c r="H54" s="29"/>
      <c r="I54" s="29"/>
      <c r="J54" s="29"/>
    </row>
    <row r="55" customFormat="false" ht="44" hidden="false" customHeight="true" outlineLevel="0" collapsed="false">
      <c r="A55" s="29"/>
      <c r="B55" s="29"/>
      <c r="C55" s="29"/>
      <c r="D55" s="29"/>
      <c r="E55" s="29"/>
      <c r="F55" s="29"/>
      <c r="G55" s="29"/>
      <c r="H55" s="29"/>
      <c r="I55" s="29"/>
      <c r="J55" s="29"/>
    </row>
    <row r="56" customFormat="false" ht="44" hidden="false" customHeight="true" outlineLevel="0" collapsed="false">
      <c r="A56" s="29"/>
      <c r="B56" s="29"/>
      <c r="C56" s="29"/>
      <c r="D56" s="29"/>
      <c r="E56" s="29"/>
      <c r="F56" s="29"/>
      <c r="G56" s="29"/>
      <c r="H56" s="29"/>
      <c r="I56" s="29"/>
      <c r="J56" s="29"/>
    </row>
    <row r="57" customFormat="false" ht="44" hidden="false" customHeight="true" outlineLevel="0" collapsed="false">
      <c r="A57" s="29"/>
      <c r="B57" s="29"/>
      <c r="C57" s="29"/>
      <c r="D57" s="29"/>
      <c r="E57" s="29"/>
      <c r="F57" s="29"/>
      <c r="G57" s="29"/>
      <c r="H57" s="29"/>
      <c r="I57" s="29"/>
      <c r="J57" s="29"/>
    </row>
    <row r="58" customFormat="false" ht="44" hidden="false" customHeight="true" outlineLevel="0" collapsed="false">
      <c r="A58" s="29"/>
      <c r="B58" s="29"/>
      <c r="C58" s="29"/>
      <c r="D58" s="29"/>
      <c r="E58" s="29"/>
      <c r="F58" s="29"/>
      <c r="G58" s="29"/>
      <c r="H58" s="29"/>
      <c r="I58" s="29"/>
      <c r="J58" s="29"/>
    </row>
    <row r="59" customFormat="false" ht="44" hidden="false" customHeight="true" outlineLevel="0" collapsed="false">
      <c r="A59" s="29"/>
      <c r="B59" s="29"/>
      <c r="C59" s="29"/>
      <c r="D59" s="29"/>
      <c r="E59" s="29"/>
      <c r="F59" s="29"/>
      <c r="G59" s="29"/>
      <c r="H59" s="29"/>
      <c r="I59" s="29"/>
      <c r="J59" s="29"/>
    </row>
    <row r="60" customFormat="false" ht="44" hidden="false" customHeight="true" outlineLevel="0" collapsed="false">
      <c r="A60" s="29"/>
      <c r="B60" s="29"/>
      <c r="C60" s="29"/>
      <c r="D60" s="29"/>
      <c r="E60" s="29"/>
      <c r="F60" s="29"/>
      <c r="G60" s="29"/>
      <c r="H60" s="29"/>
      <c r="I60" s="29"/>
      <c r="J60" s="29"/>
    </row>
    <row r="61" customFormat="false" ht="44" hidden="false" customHeight="true" outlineLevel="0" collapsed="false">
      <c r="A61" s="29"/>
      <c r="B61" s="29"/>
      <c r="C61" s="29"/>
      <c r="D61" s="29"/>
      <c r="E61" s="29"/>
      <c r="F61" s="29"/>
      <c r="G61" s="29"/>
      <c r="H61" s="29"/>
      <c r="I61" s="29"/>
      <c r="J61" s="29"/>
    </row>
    <row r="62" customFormat="false" ht="44" hidden="false" customHeight="true" outlineLevel="0" collapsed="false">
      <c r="A62" s="29"/>
      <c r="B62" s="29"/>
      <c r="C62" s="29"/>
      <c r="D62" s="29"/>
      <c r="E62" s="29"/>
      <c r="F62" s="29"/>
      <c r="G62" s="29"/>
      <c r="H62" s="29"/>
      <c r="I62" s="29"/>
      <c r="J62" s="29"/>
    </row>
    <row r="63" customFormat="false" ht="44" hidden="false" customHeight="true" outlineLevel="0" collapsed="false">
      <c r="A63" s="29"/>
      <c r="B63" s="29"/>
      <c r="C63" s="29"/>
      <c r="D63" s="29"/>
      <c r="E63" s="29"/>
      <c r="F63" s="29"/>
      <c r="G63" s="29"/>
      <c r="H63" s="29"/>
      <c r="I63" s="29"/>
      <c r="J63" s="29"/>
    </row>
    <row r="64" customFormat="false" ht="44" hidden="false" customHeight="true" outlineLevel="0" collapsed="false">
      <c r="A64" s="29"/>
      <c r="B64" s="29"/>
      <c r="C64" s="29"/>
      <c r="D64" s="29"/>
      <c r="E64" s="29"/>
      <c r="F64" s="29"/>
      <c r="G64" s="29"/>
      <c r="H64" s="29"/>
      <c r="I64" s="29"/>
      <c r="J64" s="29"/>
    </row>
    <row r="65" customFormat="false" ht="44" hidden="false" customHeight="true" outlineLevel="0" collapsed="false">
      <c r="A65" s="29"/>
      <c r="B65" s="29"/>
      <c r="C65" s="29"/>
      <c r="D65" s="29"/>
      <c r="E65" s="29"/>
      <c r="F65" s="29"/>
      <c r="G65" s="29"/>
      <c r="H65" s="29"/>
      <c r="I65" s="29"/>
      <c r="J65" s="29"/>
    </row>
    <row r="66" customFormat="false" ht="44" hidden="false" customHeight="true" outlineLevel="0" collapsed="false">
      <c r="A66" s="29"/>
      <c r="B66" s="29"/>
      <c r="C66" s="29"/>
      <c r="D66" s="29"/>
      <c r="E66" s="29"/>
      <c r="F66" s="29"/>
      <c r="G66" s="29"/>
      <c r="H66" s="29"/>
      <c r="I66" s="29"/>
      <c r="J66" s="29"/>
    </row>
    <row r="67" customFormat="false" ht="44" hidden="false" customHeight="true" outlineLevel="0" collapsed="false">
      <c r="A67" s="29"/>
      <c r="B67" s="29"/>
      <c r="C67" s="29"/>
      <c r="D67" s="29"/>
      <c r="E67" s="29"/>
      <c r="F67" s="29"/>
      <c r="G67" s="29"/>
      <c r="H67" s="29"/>
      <c r="I67" s="29"/>
      <c r="J67" s="29"/>
    </row>
    <row r="68" customFormat="false" ht="44" hidden="false" customHeight="true" outlineLevel="0" collapsed="false">
      <c r="A68" s="29"/>
      <c r="B68" s="29"/>
      <c r="C68" s="29"/>
      <c r="D68" s="29"/>
      <c r="E68" s="29"/>
      <c r="F68" s="29"/>
      <c r="G68" s="29"/>
      <c r="H68" s="29"/>
      <c r="I68" s="29"/>
      <c r="J68" s="29"/>
    </row>
    <row r="69" customFormat="false" ht="44" hidden="false" customHeight="true" outlineLevel="0" collapsed="false">
      <c r="A69" s="29"/>
      <c r="B69" s="29"/>
      <c r="C69" s="29"/>
      <c r="D69" s="29"/>
      <c r="E69" s="29"/>
      <c r="F69" s="29"/>
      <c r="G69" s="29"/>
      <c r="H69" s="29"/>
      <c r="I69" s="29"/>
      <c r="J69" s="29"/>
    </row>
    <row r="70" customFormat="false" ht="44" hidden="false" customHeight="true" outlineLevel="0" collapsed="false">
      <c r="A70" s="29"/>
      <c r="B70" s="29"/>
      <c r="C70" s="29"/>
      <c r="D70" s="29"/>
      <c r="E70" s="29"/>
      <c r="F70" s="29"/>
      <c r="G70" s="29"/>
      <c r="H70" s="29"/>
      <c r="I70" s="29"/>
      <c r="J70" s="29"/>
    </row>
    <row r="71" customFormat="false" ht="44" hidden="false" customHeight="true" outlineLevel="0" collapsed="false">
      <c r="A71" s="29"/>
      <c r="B71" s="29"/>
      <c r="C71" s="29"/>
      <c r="D71" s="29"/>
      <c r="E71" s="29"/>
      <c r="F71" s="29"/>
      <c r="G71" s="29"/>
      <c r="H71" s="29"/>
      <c r="I71" s="29"/>
      <c r="J71" s="29"/>
    </row>
    <row r="72" customFormat="false" ht="44" hidden="false" customHeight="true" outlineLevel="0" collapsed="false">
      <c r="A72" s="29"/>
      <c r="B72" s="29"/>
      <c r="C72" s="29"/>
      <c r="D72" s="29"/>
      <c r="E72" s="29"/>
      <c r="F72" s="29"/>
      <c r="G72" s="29"/>
      <c r="H72" s="29"/>
      <c r="I72" s="29"/>
      <c r="J72" s="29"/>
    </row>
    <row r="73" customFormat="false" ht="44" hidden="false" customHeight="true" outlineLevel="0" collapsed="false">
      <c r="A73" s="29"/>
      <c r="B73" s="29"/>
      <c r="C73" s="29"/>
      <c r="D73" s="29"/>
      <c r="E73" s="29"/>
      <c r="F73" s="29"/>
      <c r="G73" s="29"/>
      <c r="H73" s="29"/>
      <c r="I73" s="29"/>
      <c r="J73" s="29"/>
    </row>
    <row r="74" customFormat="false" ht="44" hidden="false" customHeight="true" outlineLevel="0" collapsed="false">
      <c r="A74" s="29"/>
      <c r="B74" s="29"/>
      <c r="C74" s="29"/>
      <c r="D74" s="29"/>
      <c r="E74" s="29"/>
      <c r="F74" s="29"/>
      <c r="G74" s="29"/>
      <c r="H74" s="29"/>
      <c r="I74" s="29"/>
      <c r="J74" s="29"/>
    </row>
    <row r="75" customFormat="false" ht="44" hidden="false" customHeight="true" outlineLevel="0" collapsed="false">
      <c r="A75" s="29"/>
      <c r="B75" s="29"/>
      <c r="C75" s="29"/>
      <c r="D75" s="29"/>
      <c r="E75" s="29"/>
      <c r="F75" s="29"/>
      <c r="G75" s="29"/>
      <c r="H75" s="29"/>
      <c r="I75" s="29"/>
      <c r="J75" s="29"/>
    </row>
    <row r="76" customFormat="false" ht="44" hidden="false" customHeight="true" outlineLevel="0" collapsed="false">
      <c r="A76" s="29"/>
      <c r="B76" s="29"/>
      <c r="C76" s="29"/>
      <c r="D76" s="29"/>
      <c r="E76" s="29"/>
      <c r="F76" s="29"/>
      <c r="G76" s="29"/>
      <c r="H76" s="29"/>
      <c r="I76" s="29"/>
      <c r="J76" s="29"/>
    </row>
    <row r="77" customFormat="false" ht="44" hidden="false" customHeight="true" outlineLevel="0" collapsed="false">
      <c r="A77" s="29"/>
      <c r="B77" s="29"/>
      <c r="C77" s="29"/>
      <c r="D77" s="29"/>
      <c r="E77" s="29"/>
      <c r="F77" s="29"/>
      <c r="G77" s="29"/>
      <c r="H77" s="29"/>
      <c r="I77" s="29"/>
      <c r="J77" s="29"/>
    </row>
    <row r="78" customFormat="false" ht="44" hidden="false" customHeight="true" outlineLevel="0" collapsed="false">
      <c r="A78" s="29"/>
      <c r="B78" s="29"/>
      <c r="C78" s="29"/>
      <c r="D78" s="29"/>
      <c r="E78" s="29"/>
      <c r="F78" s="29"/>
      <c r="G78" s="29"/>
      <c r="H78" s="29"/>
      <c r="I78" s="29"/>
      <c r="J78" s="29"/>
    </row>
    <row r="79" customFormat="false" ht="44" hidden="false" customHeight="true" outlineLevel="0" collapsed="false">
      <c r="A79" s="29"/>
      <c r="B79" s="29"/>
      <c r="C79" s="29"/>
      <c r="D79" s="29"/>
      <c r="E79" s="29"/>
      <c r="F79" s="29"/>
      <c r="G79" s="29"/>
      <c r="H79" s="29"/>
      <c r="I79" s="29"/>
      <c r="J79" s="29"/>
    </row>
    <row r="80" customFormat="false" ht="44" hidden="false" customHeight="true" outlineLevel="0" collapsed="false">
      <c r="A80" s="29"/>
      <c r="B80" s="29"/>
      <c r="C80" s="29"/>
      <c r="D80" s="29"/>
      <c r="E80" s="29"/>
      <c r="F80" s="29"/>
      <c r="G80" s="29"/>
      <c r="H80" s="29"/>
      <c r="I80" s="29"/>
      <c r="J80" s="29"/>
    </row>
    <row r="81" customFormat="false" ht="44" hidden="false" customHeight="true" outlineLevel="0" collapsed="false">
      <c r="A81" s="29"/>
      <c r="B81" s="29"/>
      <c r="C81" s="29"/>
      <c r="D81" s="29"/>
      <c r="E81" s="29"/>
      <c r="F81" s="29"/>
      <c r="G81" s="29"/>
      <c r="H81" s="29"/>
      <c r="I81" s="29"/>
      <c r="J81" s="29"/>
    </row>
    <row r="82" customFormat="false" ht="44" hidden="false" customHeight="true" outlineLevel="0" collapsed="false">
      <c r="A82" s="29"/>
      <c r="B82" s="29"/>
      <c r="C82" s="29"/>
      <c r="D82" s="29"/>
      <c r="E82" s="29"/>
      <c r="F82" s="29"/>
      <c r="G82" s="29"/>
      <c r="H82" s="29"/>
      <c r="I82" s="29"/>
      <c r="J82" s="29"/>
    </row>
    <row r="83" customFormat="false" ht="44" hidden="false" customHeight="true" outlineLevel="0" collapsed="false">
      <c r="A83" s="29"/>
      <c r="B83" s="29"/>
      <c r="C83" s="29"/>
      <c r="D83" s="29"/>
      <c r="E83" s="29"/>
      <c r="F83" s="29"/>
      <c r="G83" s="29"/>
      <c r="H83" s="29"/>
      <c r="I83" s="29"/>
      <c r="J83" s="29"/>
    </row>
    <row r="84" customFormat="false" ht="44" hidden="false" customHeight="true" outlineLevel="0" collapsed="false">
      <c r="A84" s="29"/>
      <c r="B84" s="29"/>
      <c r="C84" s="29"/>
      <c r="D84" s="29"/>
      <c r="E84" s="29"/>
      <c r="F84" s="29"/>
      <c r="G84" s="29"/>
      <c r="H84" s="29"/>
      <c r="I84" s="29"/>
      <c r="J84" s="29"/>
    </row>
    <row r="85" customFormat="false" ht="44" hidden="false" customHeight="true" outlineLevel="0" collapsed="false">
      <c r="A85" s="29"/>
      <c r="B85" s="29"/>
      <c r="C85" s="29"/>
      <c r="D85" s="29"/>
      <c r="E85" s="29"/>
      <c r="F85" s="29"/>
      <c r="G85" s="29"/>
      <c r="H85" s="29"/>
      <c r="I85" s="29"/>
      <c r="J85" s="29"/>
    </row>
    <row r="86" customFormat="false" ht="44" hidden="false" customHeight="true" outlineLevel="0" collapsed="false">
      <c r="A86" s="29"/>
      <c r="B86" s="29"/>
      <c r="C86" s="29"/>
      <c r="D86" s="29"/>
      <c r="E86" s="29"/>
      <c r="F86" s="29"/>
      <c r="G86" s="29"/>
      <c r="H86" s="29"/>
      <c r="I86" s="29"/>
      <c r="J86" s="29"/>
    </row>
    <row r="87" customFormat="false" ht="44" hidden="false" customHeight="true" outlineLevel="0" collapsed="false">
      <c r="A87" s="29"/>
      <c r="B87" s="29"/>
      <c r="C87" s="29"/>
      <c r="D87" s="29"/>
      <c r="E87" s="29"/>
      <c r="F87" s="29"/>
      <c r="G87" s="29"/>
      <c r="H87" s="29"/>
      <c r="I87" s="29"/>
      <c r="J87" s="29"/>
    </row>
    <row r="88" customFormat="false" ht="44" hidden="false" customHeight="true" outlineLevel="0" collapsed="false">
      <c r="A88" s="29"/>
      <c r="B88" s="29"/>
      <c r="C88" s="29"/>
      <c r="D88" s="29"/>
      <c r="E88" s="29"/>
      <c r="F88" s="29"/>
      <c r="G88" s="29"/>
      <c r="H88" s="29"/>
      <c r="I88" s="29"/>
      <c r="J88" s="29"/>
    </row>
    <row r="89" customFormat="false" ht="44" hidden="false" customHeight="true" outlineLevel="0" collapsed="false">
      <c r="A89" s="29"/>
      <c r="B89" s="29"/>
      <c r="C89" s="29"/>
      <c r="D89" s="29"/>
      <c r="E89" s="29"/>
      <c r="F89" s="29"/>
      <c r="G89" s="29"/>
      <c r="H89" s="29"/>
      <c r="I89" s="29"/>
      <c r="J89" s="29"/>
    </row>
    <row r="90" customFormat="false" ht="44" hidden="false" customHeight="true" outlineLevel="0" collapsed="false">
      <c r="A90" s="29"/>
      <c r="B90" s="29"/>
      <c r="C90" s="29"/>
      <c r="D90" s="29"/>
      <c r="E90" s="29"/>
      <c r="F90" s="29"/>
      <c r="G90" s="29"/>
      <c r="H90" s="29"/>
      <c r="I90" s="29"/>
      <c r="J90" s="29"/>
    </row>
    <row r="91" customFormat="false" ht="44" hidden="false" customHeight="true" outlineLevel="0" collapsed="false">
      <c r="A91" s="29"/>
      <c r="B91" s="29"/>
      <c r="C91" s="29"/>
      <c r="D91" s="29"/>
      <c r="E91" s="29"/>
      <c r="F91" s="29"/>
      <c r="G91" s="29"/>
      <c r="H91" s="29"/>
      <c r="I91" s="29"/>
      <c r="J91" s="29"/>
    </row>
    <row r="92" customFormat="false" ht="44" hidden="false" customHeight="true" outlineLevel="0" collapsed="false">
      <c r="A92" s="29"/>
      <c r="B92" s="29"/>
      <c r="C92" s="29"/>
      <c r="D92" s="29"/>
      <c r="E92" s="29"/>
      <c r="F92" s="29"/>
      <c r="G92" s="29"/>
      <c r="H92" s="29"/>
      <c r="I92" s="29"/>
      <c r="J92" s="29"/>
    </row>
    <row r="93" customFormat="false" ht="44" hidden="false" customHeight="true" outlineLevel="0" collapsed="false">
      <c r="A93" s="29"/>
      <c r="B93" s="29"/>
      <c r="C93" s="29"/>
      <c r="D93" s="29"/>
      <c r="E93" s="29"/>
      <c r="F93" s="29"/>
      <c r="G93" s="29"/>
      <c r="H93" s="29"/>
      <c r="I93" s="29"/>
      <c r="J93" s="29"/>
    </row>
    <row r="94" customFormat="false" ht="44" hidden="false" customHeight="true" outlineLevel="0" collapsed="false">
      <c r="A94" s="29"/>
      <c r="B94" s="29"/>
      <c r="C94" s="29"/>
      <c r="D94" s="29"/>
      <c r="E94" s="29"/>
      <c r="F94" s="29"/>
      <c r="G94" s="29"/>
      <c r="H94" s="29"/>
      <c r="I94" s="29"/>
      <c r="J94" s="29"/>
    </row>
    <row r="95" customFormat="false" ht="44" hidden="false" customHeight="true" outlineLevel="0" collapsed="false">
      <c r="A95" s="29"/>
      <c r="B95" s="29"/>
      <c r="C95" s="29"/>
      <c r="D95" s="29"/>
      <c r="E95" s="29"/>
      <c r="F95" s="29"/>
      <c r="G95" s="29"/>
      <c r="H95" s="29"/>
      <c r="I95" s="29"/>
      <c r="J95" s="29"/>
    </row>
    <row r="96" customFormat="false" ht="44" hidden="false" customHeight="true" outlineLevel="0" collapsed="false">
      <c r="A96" s="29"/>
      <c r="B96" s="29"/>
      <c r="C96" s="29"/>
      <c r="D96" s="29"/>
      <c r="E96" s="29"/>
      <c r="F96" s="29"/>
      <c r="G96" s="29"/>
      <c r="H96" s="29"/>
      <c r="I96" s="29"/>
      <c r="J96" s="29"/>
    </row>
    <row r="97" customFormat="false" ht="44" hidden="false" customHeight="true" outlineLevel="0" collapsed="false">
      <c r="A97" s="29"/>
      <c r="B97" s="29"/>
      <c r="C97" s="29"/>
      <c r="D97" s="29"/>
      <c r="E97" s="29"/>
      <c r="F97" s="29"/>
      <c r="G97" s="29"/>
      <c r="H97" s="29"/>
      <c r="I97" s="29"/>
      <c r="J97" s="29"/>
    </row>
    <row r="98" customFormat="false" ht="44" hidden="false" customHeight="true" outlineLevel="0" collapsed="false">
      <c r="A98" s="29"/>
      <c r="B98" s="29"/>
      <c r="C98" s="29"/>
      <c r="D98" s="29"/>
      <c r="E98" s="29"/>
      <c r="F98" s="29"/>
      <c r="G98" s="29"/>
      <c r="H98" s="29"/>
      <c r="I98" s="29"/>
      <c r="J98" s="29"/>
    </row>
    <row r="99" customFormat="false" ht="44" hidden="false" customHeight="true" outlineLevel="0" collapsed="false">
      <c r="A99" s="29"/>
      <c r="B99" s="29"/>
      <c r="C99" s="29"/>
      <c r="D99" s="29"/>
      <c r="E99" s="29"/>
      <c r="F99" s="29"/>
      <c r="G99" s="29"/>
      <c r="H99" s="29"/>
      <c r="I99" s="29"/>
      <c r="J99" s="29"/>
    </row>
    <row r="100" customFormat="false" ht="44" hidden="false" customHeight="true" outlineLevel="0" collapsed="false">
      <c r="A100" s="29"/>
      <c r="B100" s="29"/>
      <c r="C100" s="29"/>
      <c r="D100" s="29"/>
      <c r="E100" s="29"/>
      <c r="F100" s="29"/>
      <c r="G100" s="29"/>
      <c r="H100" s="29"/>
      <c r="I100" s="29"/>
      <c r="J100" s="29"/>
    </row>
    <row r="101" customFormat="false" ht="44" hidden="false" customHeight="true" outlineLevel="0" collapsed="false">
      <c r="A101" s="29"/>
      <c r="B101" s="29"/>
      <c r="C101" s="29"/>
      <c r="D101" s="29"/>
      <c r="E101" s="29"/>
      <c r="F101" s="29"/>
      <c r="G101" s="29"/>
      <c r="H101" s="29"/>
      <c r="I101" s="29"/>
      <c r="J101" s="29"/>
    </row>
    <row r="102" customFormat="false" ht="44" hidden="false" customHeight="true" outlineLevel="0" collapsed="false">
      <c r="A102" s="29"/>
      <c r="B102" s="29"/>
      <c r="C102" s="29"/>
      <c r="D102" s="29"/>
      <c r="E102" s="29"/>
      <c r="F102" s="29"/>
      <c r="G102" s="29"/>
      <c r="H102" s="29"/>
      <c r="I102" s="29"/>
      <c r="J102" s="29"/>
    </row>
    <row r="103" customFormat="false" ht="44" hidden="false" customHeight="true" outlineLevel="0" collapsed="false">
      <c r="A103" s="29"/>
      <c r="B103" s="29"/>
      <c r="C103" s="29"/>
      <c r="D103" s="29"/>
      <c r="E103" s="29"/>
      <c r="F103" s="29"/>
      <c r="G103" s="29"/>
      <c r="H103" s="29"/>
      <c r="I103" s="29"/>
      <c r="J103" s="29"/>
    </row>
    <row r="104" customFormat="false" ht="44" hidden="false" customHeight="true" outlineLevel="0" collapsed="false">
      <c r="A104" s="29"/>
      <c r="B104" s="29"/>
      <c r="C104" s="29"/>
      <c r="D104" s="29"/>
      <c r="E104" s="29"/>
      <c r="F104" s="29"/>
      <c r="G104" s="29"/>
      <c r="H104" s="29"/>
      <c r="I104" s="29"/>
      <c r="J104" s="29"/>
    </row>
    <row r="105" customFormat="false" ht="44" hidden="false" customHeight="true" outlineLevel="0" collapsed="false">
      <c r="A105" s="29"/>
      <c r="B105" s="29"/>
      <c r="C105" s="29"/>
      <c r="D105" s="29"/>
      <c r="E105" s="29"/>
      <c r="F105" s="29"/>
      <c r="G105" s="29"/>
      <c r="H105" s="29"/>
      <c r="I105" s="29"/>
      <c r="J105" s="29"/>
    </row>
    <row r="106" customFormat="false" ht="44" hidden="false" customHeight="true" outlineLevel="0" collapsed="false">
      <c r="A106" s="29"/>
      <c r="B106" s="29"/>
      <c r="C106" s="29"/>
      <c r="D106" s="29"/>
      <c r="E106" s="29"/>
      <c r="F106" s="29"/>
      <c r="G106" s="29"/>
      <c r="H106" s="29"/>
      <c r="I106" s="29"/>
      <c r="J106" s="29"/>
    </row>
    <row r="107" customFormat="false" ht="44" hidden="false" customHeight="true" outlineLevel="0" collapsed="false">
      <c r="A107" s="29"/>
      <c r="B107" s="29"/>
      <c r="C107" s="29"/>
      <c r="D107" s="29"/>
      <c r="E107" s="29"/>
      <c r="F107" s="29"/>
      <c r="G107" s="29"/>
      <c r="H107" s="29"/>
      <c r="I107" s="29"/>
      <c r="J107" s="29"/>
    </row>
    <row r="108" customFormat="false" ht="44" hidden="false" customHeight="true" outlineLevel="0" collapsed="false">
      <c r="A108" s="29"/>
      <c r="B108" s="29"/>
      <c r="C108" s="29"/>
      <c r="D108" s="29"/>
      <c r="E108" s="29"/>
      <c r="F108" s="29"/>
      <c r="G108" s="29"/>
      <c r="H108" s="29"/>
      <c r="I108" s="29"/>
      <c r="J108" s="29"/>
    </row>
    <row r="109" customFormat="false" ht="44" hidden="false" customHeight="true" outlineLevel="0" collapsed="false">
      <c r="A109" s="29"/>
      <c r="B109" s="29"/>
      <c r="C109" s="29"/>
      <c r="D109" s="29"/>
      <c r="E109" s="29"/>
      <c r="F109" s="29"/>
      <c r="G109" s="29"/>
      <c r="H109" s="29"/>
      <c r="I109" s="29"/>
      <c r="J109" s="29"/>
    </row>
    <row r="110" customFormat="false" ht="44" hidden="false" customHeight="true" outlineLevel="0" collapsed="false">
      <c r="A110" s="29"/>
      <c r="B110" s="29"/>
      <c r="C110" s="29"/>
      <c r="D110" s="29"/>
      <c r="E110" s="29"/>
      <c r="F110" s="29"/>
      <c r="G110" s="29"/>
      <c r="H110" s="29"/>
      <c r="I110" s="29"/>
      <c r="J110" s="29"/>
    </row>
    <row r="111" customFormat="false" ht="44" hidden="false" customHeight="true" outlineLevel="0" collapsed="false">
      <c r="A111" s="29"/>
      <c r="B111" s="29"/>
      <c r="C111" s="29"/>
      <c r="D111" s="29"/>
      <c r="E111" s="29"/>
      <c r="F111" s="29"/>
      <c r="G111" s="29"/>
      <c r="H111" s="29"/>
      <c r="I111" s="29"/>
      <c r="J111" s="29"/>
    </row>
    <row r="112" customFormat="false" ht="44" hidden="false" customHeight="true" outlineLevel="0" collapsed="false">
      <c r="A112" s="29"/>
      <c r="B112" s="29"/>
      <c r="C112" s="29"/>
      <c r="D112" s="29"/>
      <c r="E112" s="29"/>
      <c r="F112" s="29"/>
      <c r="G112" s="29"/>
      <c r="H112" s="29"/>
      <c r="I112" s="29"/>
      <c r="J112" s="29"/>
    </row>
    <row r="113" customFormat="false" ht="44" hidden="false" customHeight="true" outlineLevel="0" collapsed="false">
      <c r="A113" s="29"/>
      <c r="B113" s="29"/>
      <c r="C113" s="29"/>
      <c r="D113" s="29"/>
      <c r="E113" s="29"/>
      <c r="F113" s="29"/>
      <c r="G113" s="29"/>
      <c r="H113" s="29"/>
      <c r="I113" s="29"/>
      <c r="J113" s="29"/>
    </row>
    <row r="114" customFormat="false" ht="44" hidden="false" customHeight="true" outlineLevel="0" collapsed="false">
      <c r="A114" s="29"/>
      <c r="B114" s="29"/>
      <c r="C114" s="29"/>
      <c r="D114" s="29"/>
      <c r="E114" s="29"/>
      <c r="F114" s="29"/>
      <c r="G114" s="29"/>
      <c r="H114" s="29"/>
      <c r="I114" s="29"/>
      <c r="J114" s="29"/>
    </row>
    <row r="115" customFormat="false" ht="44" hidden="false" customHeight="true" outlineLevel="0" collapsed="false">
      <c r="A115" s="29"/>
      <c r="B115" s="29"/>
      <c r="C115" s="29"/>
      <c r="D115" s="29"/>
      <c r="E115" s="29"/>
      <c r="F115" s="29"/>
      <c r="G115" s="29"/>
      <c r="H115" s="29"/>
      <c r="I115" s="29"/>
      <c r="J115" s="29"/>
    </row>
    <row r="116" customFormat="false" ht="44" hidden="false" customHeight="true" outlineLevel="0" collapsed="false">
      <c r="A116" s="29"/>
      <c r="B116" s="29"/>
      <c r="C116" s="29"/>
      <c r="D116" s="29"/>
      <c r="E116" s="29"/>
      <c r="F116" s="29"/>
      <c r="G116" s="29"/>
      <c r="H116" s="29"/>
      <c r="I116" s="29"/>
      <c r="J116" s="29"/>
    </row>
    <row r="117" customFormat="false" ht="44" hidden="false" customHeight="true" outlineLevel="0" collapsed="false">
      <c r="A117" s="29"/>
      <c r="B117" s="29"/>
      <c r="C117" s="29"/>
      <c r="D117" s="29"/>
      <c r="E117" s="29"/>
      <c r="F117" s="29"/>
      <c r="G117" s="29"/>
      <c r="H117" s="29"/>
      <c r="I117" s="29"/>
      <c r="J117" s="29"/>
    </row>
    <row r="118" customFormat="false" ht="44" hidden="false" customHeight="true" outlineLevel="0" collapsed="false">
      <c r="A118" s="29"/>
      <c r="B118" s="29"/>
      <c r="C118" s="29"/>
      <c r="D118" s="29"/>
      <c r="E118" s="29"/>
      <c r="F118" s="29"/>
      <c r="G118" s="29"/>
      <c r="H118" s="29"/>
      <c r="I118" s="29"/>
      <c r="J118" s="29"/>
    </row>
    <row r="119" customFormat="false" ht="44" hidden="false" customHeight="true" outlineLevel="0" collapsed="false">
      <c r="A119" s="29"/>
      <c r="B119" s="29"/>
      <c r="C119" s="29"/>
      <c r="D119" s="29"/>
      <c r="E119" s="29"/>
      <c r="F119" s="29"/>
      <c r="G119" s="29"/>
      <c r="H119" s="29"/>
      <c r="I119" s="29"/>
      <c r="J119" s="29"/>
    </row>
    <row r="120" customFormat="false" ht="44" hidden="false" customHeight="true" outlineLevel="0" collapsed="false">
      <c r="A120" s="29"/>
      <c r="B120" s="29"/>
      <c r="C120" s="29"/>
      <c r="D120" s="29"/>
      <c r="E120" s="29"/>
      <c r="F120" s="29"/>
      <c r="G120" s="29"/>
      <c r="H120" s="29"/>
      <c r="I120" s="29"/>
      <c r="J120" s="29"/>
    </row>
    <row r="121" customFormat="false" ht="44" hidden="false" customHeight="true" outlineLevel="0" collapsed="false">
      <c r="A121" s="29"/>
      <c r="B121" s="29"/>
      <c r="C121" s="29"/>
      <c r="D121" s="29"/>
      <c r="E121" s="29"/>
      <c r="F121" s="29"/>
      <c r="G121" s="29"/>
      <c r="H121" s="29"/>
      <c r="I121" s="29"/>
      <c r="J121" s="29"/>
    </row>
    <row r="122" customFormat="false" ht="44" hidden="false" customHeight="true" outlineLevel="0" collapsed="false">
      <c r="A122" s="29"/>
      <c r="B122" s="29"/>
      <c r="C122" s="29"/>
      <c r="D122" s="29"/>
      <c r="E122" s="29"/>
      <c r="F122" s="29"/>
      <c r="G122" s="29"/>
      <c r="H122" s="29"/>
      <c r="I122" s="29"/>
      <c r="J122" s="29"/>
    </row>
    <row r="123" customFormat="false" ht="44" hidden="false" customHeight="true" outlineLevel="0" collapsed="false">
      <c r="A123" s="29"/>
      <c r="B123" s="29"/>
      <c r="C123" s="29"/>
      <c r="D123" s="29"/>
      <c r="E123" s="29"/>
      <c r="F123" s="29"/>
      <c r="G123" s="29"/>
      <c r="H123" s="29"/>
      <c r="I123" s="29"/>
      <c r="J123" s="29"/>
    </row>
    <row r="124" customFormat="false" ht="44" hidden="false" customHeight="true" outlineLevel="0" collapsed="false">
      <c r="A124" s="29"/>
      <c r="B124" s="29"/>
      <c r="C124" s="29"/>
      <c r="D124" s="29"/>
      <c r="E124" s="29"/>
      <c r="F124" s="29"/>
      <c r="G124" s="29"/>
      <c r="H124" s="29"/>
      <c r="I124" s="29"/>
      <c r="J124" s="29"/>
    </row>
    <row r="125" customFormat="false" ht="44" hidden="false" customHeight="true" outlineLevel="0" collapsed="false">
      <c r="A125" s="29"/>
      <c r="B125" s="29"/>
      <c r="C125" s="29"/>
      <c r="D125" s="29"/>
      <c r="E125" s="29"/>
      <c r="F125" s="29"/>
      <c r="G125" s="29"/>
      <c r="H125" s="29"/>
      <c r="I125" s="29"/>
      <c r="J125" s="29"/>
    </row>
    <row r="126" customFormat="false" ht="44" hidden="false" customHeight="true" outlineLevel="0" collapsed="false">
      <c r="A126" s="29"/>
      <c r="B126" s="29"/>
      <c r="C126" s="29"/>
      <c r="D126" s="29"/>
      <c r="E126" s="29"/>
      <c r="F126" s="29"/>
      <c r="G126" s="29"/>
      <c r="H126" s="29"/>
      <c r="I126" s="29"/>
      <c r="J126" s="29"/>
    </row>
    <row r="127" customFormat="false" ht="44" hidden="false" customHeight="true" outlineLevel="0" collapsed="false">
      <c r="A127" s="29"/>
      <c r="B127" s="29"/>
      <c r="C127" s="29"/>
      <c r="D127" s="29"/>
      <c r="E127" s="29"/>
      <c r="F127" s="29"/>
      <c r="G127" s="29"/>
      <c r="H127" s="29"/>
      <c r="I127" s="29"/>
      <c r="J127" s="29"/>
    </row>
    <row r="128" customFormat="false" ht="44" hidden="false" customHeight="true" outlineLevel="0" collapsed="false">
      <c r="A128" s="29"/>
      <c r="B128" s="29"/>
      <c r="C128" s="29"/>
      <c r="D128" s="29"/>
      <c r="E128" s="29"/>
      <c r="F128" s="29"/>
      <c r="G128" s="29"/>
      <c r="H128" s="29"/>
      <c r="I128" s="29"/>
      <c r="J128" s="29"/>
    </row>
    <row r="129" customFormat="false" ht="44" hidden="false" customHeight="true" outlineLevel="0" collapsed="false">
      <c r="A129" s="29"/>
      <c r="B129" s="29"/>
      <c r="C129" s="29"/>
      <c r="D129" s="29"/>
      <c r="E129" s="29"/>
      <c r="F129" s="29"/>
      <c r="G129" s="29"/>
      <c r="H129" s="29"/>
      <c r="I129" s="29"/>
      <c r="J129" s="29"/>
    </row>
    <row r="130" customFormat="false" ht="44" hidden="false" customHeight="true" outlineLevel="0" collapsed="false">
      <c r="A130" s="29"/>
      <c r="B130" s="29"/>
      <c r="C130" s="29"/>
      <c r="D130" s="29"/>
      <c r="E130" s="29"/>
      <c r="F130" s="29"/>
      <c r="G130" s="29"/>
      <c r="H130" s="29"/>
      <c r="I130" s="29"/>
      <c r="J130" s="29"/>
    </row>
    <row r="131" customFormat="false" ht="44" hidden="false" customHeight="true" outlineLevel="0" collapsed="false">
      <c r="A131" s="29"/>
      <c r="B131" s="29"/>
      <c r="C131" s="29"/>
      <c r="D131" s="29"/>
      <c r="E131" s="29"/>
      <c r="F131" s="29"/>
      <c r="G131" s="29"/>
      <c r="H131" s="29"/>
      <c r="I131" s="29"/>
      <c r="J131" s="29"/>
    </row>
    <row r="132" customFormat="false" ht="44" hidden="false" customHeight="true" outlineLevel="0" collapsed="false">
      <c r="A132" s="29"/>
      <c r="B132" s="29"/>
      <c r="C132" s="29"/>
      <c r="D132" s="29"/>
      <c r="E132" s="29"/>
      <c r="F132" s="29"/>
      <c r="G132" s="29"/>
      <c r="H132" s="29"/>
      <c r="I132" s="29"/>
      <c r="J132" s="29"/>
    </row>
    <row r="133" customFormat="false" ht="44" hidden="false" customHeight="true" outlineLevel="0" collapsed="false">
      <c r="A133" s="29"/>
      <c r="B133" s="29"/>
      <c r="C133" s="29"/>
      <c r="D133" s="29"/>
      <c r="E133" s="29"/>
      <c r="F133" s="29"/>
      <c r="G133" s="29"/>
      <c r="H133" s="29"/>
      <c r="I133" s="29"/>
      <c r="J133" s="29"/>
    </row>
    <row r="134" customFormat="false" ht="44" hidden="false" customHeight="true" outlineLevel="0" collapsed="false">
      <c r="A134" s="29"/>
      <c r="B134" s="29"/>
      <c r="C134" s="29"/>
      <c r="D134" s="29"/>
      <c r="E134" s="29"/>
      <c r="F134" s="29"/>
      <c r="G134" s="29"/>
      <c r="H134" s="29"/>
      <c r="I134" s="29"/>
      <c r="J134" s="29"/>
    </row>
    <row r="135" customFormat="false" ht="44" hidden="false" customHeight="true" outlineLevel="0" collapsed="false">
      <c r="A135" s="29"/>
      <c r="B135" s="29"/>
      <c r="C135" s="29"/>
      <c r="D135" s="29"/>
      <c r="E135" s="29"/>
      <c r="F135" s="29"/>
      <c r="G135" s="29"/>
      <c r="H135" s="29"/>
      <c r="I135" s="29"/>
      <c r="J135" s="29"/>
    </row>
    <row r="136" customFormat="false" ht="44" hidden="false" customHeight="true" outlineLevel="0" collapsed="false">
      <c r="A136" s="29"/>
      <c r="B136" s="29"/>
      <c r="C136" s="29"/>
      <c r="D136" s="29"/>
      <c r="E136" s="29"/>
      <c r="F136" s="29"/>
      <c r="G136" s="29"/>
      <c r="H136" s="29"/>
      <c r="I136" s="29"/>
      <c r="J136" s="29"/>
    </row>
    <row r="137" customFormat="false" ht="44" hidden="false" customHeight="true" outlineLevel="0" collapsed="false">
      <c r="A137" s="29"/>
      <c r="B137" s="29"/>
      <c r="C137" s="29"/>
      <c r="D137" s="29"/>
      <c r="E137" s="29"/>
      <c r="F137" s="29"/>
      <c r="G137" s="29"/>
      <c r="H137" s="29"/>
      <c r="I137" s="29"/>
      <c r="J137" s="29"/>
    </row>
    <row r="138" customFormat="false" ht="44" hidden="false" customHeight="true" outlineLevel="0" collapsed="false">
      <c r="A138" s="29"/>
      <c r="B138" s="29"/>
      <c r="C138" s="29"/>
      <c r="D138" s="29"/>
      <c r="E138" s="29"/>
      <c r="F138" s="29"/>
      <c r="G138" s="29"/>
      <c r="H138" s="29"/>
      <c r="I138" s="29"/>
      <c r="J138" s="29"/>
    </row>
    <row r="139" customFormat="false" ht="44" hidden="false" customHeight="true" outlineLevel="0" collapsed="false">
      <c r="A139" s="29"/>
      <c r="B139" s="29"/>
      <c r="C139" s="29"/>
      <c r="D139" s="29"/>
      <c r="E139" s="29"/>
      <c r="F139" s="29"/>
      <c r="G139" s="29"/>
      <c r="H139" s="29"/>
      <c r="I139" s="29"/>
      <c r="J139" s="29"/>
    </row>
    <row r="140" customFormat="false" ht="44" hidden="false" customHeight="true" outlineLevel="0" collapsed="false">
      <c r="A140" s="29"/>
      <c r="B140" s="29"/>
      <c r="C140" s="29"/>
      <c r="D140" s="29"/>
      <c r="E140" s="29"/>
      <c r="F140" s="29"/>
      <c r="G140" s="29"/>
      <c r="H140" s="29"/>
      <c r="I140" s="29"/>
      <c r="J140" s="29"/>
    </row>
    <row r="141" customFormat="false" ht="44" hidden="false" customHeight="true" outlineLevel="0" collapsed="false">
      <c r="A141" s="29"/>
      <c r="B141" s="29"/>
      <c r="C141" s="29"/>
      <c r="D141" s="29"/>
      <c r="E141" s="29"/>
      <c r="F141" s="29"/>
      <c r="G141" s="29"/>
      <c r="H141" s="29"/>
      <c r="I141" s="29"/>
      <c r="J141" s="29"/>
    </row>
    <row r="142" customFormat="false" ht="44" hidden="false" customHeight="true" outlineLevel="0" collapsed="false">
      <c r="A142" s="29"/>
      <c r="B142" s="29"/>
      <c r="C142" s="29"/>
      <c r="D142" s="29"/>
      <c r="E142" s="29"/>
      <c r="F142" s="29"/>
      <c r="G142" s="29"/>
      <c r="H142" s="29"/>
      <c r="I142" s="29"/>
      <c r="J142" s="29"/>
    </row>
    <row r="143" customFormat="false" ht="44" hidden="false" customHeight="true" outlineLevel="0" collapsed="false">
      <c r="A143" s="29"/>
      <c r="B143" s="29"/>
      <c r="C143" s="29"/>
      <c r="D143" s="29"/>
      <c r="E143" s="29"/>
      <c r="F143" s="29"/>
      <c r="G143" s="29"/>
      <c r="H143" s="29"/>
      <c r="I143" s="29"/>
      <c r="J143" s="29"/>
    </row>
    <row r="144" customFormat="false" ht="44" hidden="false" customHeight="true" outlineLevel="0" collapsed="false">
      <c r="A144" s="29"/>
      <c r="B144" s="29"/>
      <c r="C144" s="29"/>
      <c r="D144" s="29"/>
      <c r="E144" s="29"/>
      <c r="F144" s="29"/>
      <c r="G144" s="29"/>
      <c r="H144" s="29"/>
      <c r="I144" s="29"/>
      <c r="J144" s="29"/>
    </row>
    <row r="145" customFormat="false" ht="44" hidden="false" customHeight="true" outlineLevel="0" collapsed="false">
      <c r="A145" s="29"/>
      <c r="B145" s="29"/>
      <c r="C145" s="29"/>
      <c r="D145" s="29"/>
      <c r="E145" s="29"/>
      <c r="F145" s="29"/>
      <c r="G145" s="29"/>
      <c r="H145" s="29"/>
      <c r="I145" s="29"/>
      <c r="J145" s="29"/>
    </row>
    <row r="146" customFormat="false" ht="44" hidden="false" customHeight="true" outlineLevel="0" collapsed="false">
      <c r="A146" s="29"/>
      <c r="B146" s="29"/>
      <c r="C146" s="29"/>
      <c r="D146" s="29"/>
      <c r="E146" s="29"/>
      <c r="F146" s="29"/>
      <c r="G146" s="29"/>
      <c r="H146" s="29"/>
      <c r="I146" s="29"/>
      <c r="J146" s="29"/>
    </row>
    <row r="147" customFormat="false" ht="44" hidden="false" customHeight="true" outlineLevel="0" collapsed="false">
      <c r="A147" s="29"/>
      <c r="B147" s="29"/>
      <c r="C147" s="29"/>
      <c r="D147" s="29"/>
      <c r="E147" s="29"/>
      <c r="F147" s="29"/>
      <c r="G147" s="29"/>
      <c r="H147" s="29"/>
      <c r="I147" s="29"/>
      <c r="J147" s="29"/>
    </row>
    <row r="148" customFormat="false" ht="44" hidden="false" customHeight="true" outlineLevel="0" collapsed="false">
      <c r="A148" s="29"/>
      <c r="B148" s="29"/>
      <c r="C148" s="29"/>
      <c r="D148" s="29"/>
      <c r="E148" s="29"/>
      <c r="F148" s="29"/>
      <c r="G148" s="29"/>
      <c r="H148" s="29"/>
      <c r="I148" s="29"/>
      <c r="J148" s="29"/>
    </row>
    <row r="149" customFormat="false" ht="44" hidden="false" customHeight="true" outlineLevel="0" collapsed="false">
      <c r="A149" s="29"/>
      <c r="B149" s="29"/>
      <c r="C149" s="29"/>
      <c r="D149" s="29"/>
      <c r="E149" s="29"/>
      <c r="F149" s="29"/>
      <c r="G149" s="29"/>
      <c r="H149" s="29"/>
      <c r="I149" s="29"/>
      <c r="J149" s="29"/>
    </row>
    <row r="150" customFormat="false" ht="44" hidden="false" customHeight="true" outlineLevel="0" collapsed="false">
      <c r="A150" s="29"/>
      <c r="B150" s="29"/>
      <c r="C150" s="29"/>
      <c r="D150" s="29"/>
      <c r="E150" s="29"/>
      <c r="F150" s="29"/>
      <c r="G150" s="29"/>
      <c r="H150" s="29"/>
      <c r="I150" s="29"/>
      <c r="J150" s="29"/>
    </row>
    <row r="151" customFormat="false" ht="44" hidden="false" customHeight="true" outlineLevel="0" collapsed="false">
      <c r="A151" s="29"/>
      <c r="B151" s="29"/>
      <c r="C151" s="29"/>
      <c r="D151" s="29"/>
      <c r="E151" s="29"/>
      <c r="F151" s="29"/>
      <c r="G151" s="29"/>
      <c r="H151" s="29"/>
      <c r="I151" s="29"/>
      <c r="J151" s="29"/>
    </row>
    <row r="152" customFormat="false" ht="44" hidden="false" customHeight="true" outlineLevel="0" collapsed="false">
      <c r="A152" s="29"/>
      <c r="B152" s="29"/>
      <c r="C152" s="29"/>
      <c r="D152" s="29"/>
      <c r="E152" s="29"/>
      <c r="F152" s="29"/>
      <c r="G152" s="29"/>
      <c r="H152" s="29"/>
      <c r="I152" s="29"/>
      <c r="J152" s="29"/>
    </row>
    <row r="153" customFormat="false" ht="44" hidden="false" customHeight="true" outlineLevel="0" collapsed="false">
      <c r="A153" s="29"/>
      <c r="B153" s="29"/>
      <c r="C153" s="29"/>
      <c r="D153" s="29"/>
      <c r="E153" s="29"/>
      <c r="F153" s="29"/>
      <c r="G153" s="29"/>
      <c r="H153" s="29"/>
      <c r="I153" s="29"/>
      <c r="J153" s="29"/>
    </row>
    <row r="154" customFormat="false" ht="44" hidden="false" customHeight="true" outlineLevel="0" collapsed="false">
      <c r="A154" s="29"/>
      <c r="B154" s="29"/>
      <c r="C154" s="29"/>
      <c r="D154" s="29"/>
      <c r="E154" s="29"/>
      <c r="F154" s="29"/>
      <c r="G154" s="29"/>
      <c r="H154" s="29"/>
      <c r="I154" s="29"/>
      <c r="J154" s="29"/>
    </row>
    <row r="155" customFormat="false" ht="44" hidden="false" customHeight="true" outlineLevel="0" collapsed="false">
      <c r="A155" s="29"/>
      <c r="B155" s="29"/>
      <c r="C155" s="29"/>
      <c r="D155" s="29"/>
      <c r="E155" s="29"/>
      <c r="F155" s="29"/>
      <c r="G155" s="29"/>
      <c r="H155" s="29"/>
      <c r="I155" s="29"/>
      <c r="J155" s="29"/>
    </row>
    <row r="156" customFormat="false" ht="44" hidden="false" customHeight="true" outlineLevel="0" collapsed="false">
      <c r="A156" s="29"/>
      <c r="B156" s="29"/>
      <c r="C156" s="29"/>
      <c r="D156" s="29"/>
      <c r="E156" s="29"/>
      <c r="F156" s="29"/>
      <c r="G156" s="29"/>
      <c r="H156" s="29"/>
      <c r="I156" s="29"/>
      <c r="J156" s="29"/>
    </row>
    <row r="157" customFormat="false" ht="44" hidden="false" customHeight="true" outlineLevel="0" collapsed="false">
      <c r="A157" s="29"/>
      <c r="B157" s="29"/>
      <c r="C157" s="29"/>
      <c r="D157" s="29"/>
      <c r="E157" s="29"/>
      <c r="F157" s="29"/>
      <c r="G157" s="29"/>
      <c r="H157" s="29"/>
      <c r="I157" s="29"/>
      <c r="J157" s="29"/>
    </row>
    <row r="158" customFormat="false" ht="44" hidden="false" customHeight="true" outlineLevel="0" collapsed="false">
      <c r="A158" s="29"/>
      <c r="B158" s="29"/>
      <c r="C158" s="29"/>
      <c r="D158" s="29"/>
      <c r="E158" s="29"/>
      <c r="F158" s="29"/>
      <c r="G158" s="29"/>
      <c r="H158" s="29"/>
      <c r="I158" s="29"/>
      <c r="J158" s="29"/>
    </row>
    <row r="159" customFormat="false" ht="44" hidden="false" customHeight="true" outlineLevel="0" collapsed="false">
      <c r="A159" s="29"/>
      <c r="B159" s="29"/>
      <c r="C159" s="29"/>
      <c r="D159" s="29"/>
      <c r="E159" s="29"/>
      <c r="F159" s="29"/>
      <c r="G159" s="29"/>
      <c r="H159" s="29"/>
      <c r="I159" s="29"/>
      <c r="J159" s="29"/>
    </row>
    <row r="160" customFormat="false" ht="44" hidden="false" customHeight="true" outlineLevel="0" collapsed="false">
      <c r="A160" s="29"/>
      <c r="B160" s="29"/>
      <c r="C160" s="29"/>
      <c r="D160" s="29"/>
      <c r="E160" s="29"/>
      <c r="F160" s="29"/>
      <c r="G160" s="29"/>
      <c r="H160" s="29"/>
      <c r="I160" s="29"/>
      <c r="J160" s="29"/>
    </row>
    <row r="161" customFormat="false" ht="44" hidden="false" customHeight="true" outlineLevel="0" collapsed="false">
      <c r="A161" s="29"/>
      <c r="B161" s="29"/>
      <c r="C161" s="29"/>
      <c r="D161" s="29"/>
      <c r="E161" s="29"/>
      <c r="F161" s="29"/>
      <c r="G161" s="29"/>
      <c r="H161" s="29"/>
      <c r="I161" s="29"/>
      <c r="J161" s="29"/>
    </row>
    <row r="162" customFormat="false" ht="44" hidden="false" customHeight="true" outlineLevel="0" collapsed="false">
      <c r="A162" s="29"/>
      <c r="B162" s="29"/>
      <c r="C162" s="29"/>
      <c r="D162" s="29"/>
      <c r="E162" s="29"/>
      <c r="F162" s="29"/>
      <c r="G162" s="29"/>
      <c r="H162" s="29"/>
      <c r="I162" s="29"/>
      <c r="J162" s="29"/>
    </row>
    <row r="163" customFormat="false" ht="44" hidden="false" customHeight="true" outlineLevel="0" collapsed="false">
      <c r="A163" s="29"/>
      <c r="B163" s="29"/>
      <c r="C163" s="29"/>
      <c r="D163" s="29"/>
      <c r="E163" s="29"/>
      <c r="F163" s="29"/>
      <c r="G163" s="29"/>
      <c r="H163" s="29"/>
      <c r="I163" s="29"/>
      <c r="J163" s="29"/>
    </row>
    <row r="164" customFormat="false" ht="44" hidden="false" customHeight="true" outlineLevel="0" collapsed="false">
      <c r="A164" s="29"/>
      <c r="B164" s="29"/>
      <c r="C164" s="29"/>
      <c r="D164" s="29"/>
      <c r="E164" s="29"/>
      <c r="F164" s="29"/>
      <c r="G164" s="29"/>
      <c r="H164" s="29"/>
      <c r="I164" s="29"/>
      <c r="J164" s="29"/>
    </row>
    <row r="165" customFormat="false" ht="44" hidden="false" customHeight="true" outlineLevel="0" collapsed="false">
      <c r="A165" s="29"/>
      <c r="B165" s="29"/>
      <c r="C165" s="29"/>
      <c r="D165" s="29"/>
      <c r="E165" s="29"/>
      <c r="F165" s="29"/>
      <c r="G165" s="29"/>
      <c r="H165" s="29"/>
      <c r="I165" s="29"/>
      <c r="J165" s="29"/>
    </row>
    <row r="166" customFormat="false" ht="44" hidden="false" customHeight="true" outlineLevel="0" collapsed="false">
      <c r="A166" s="29"/>
      <c r="B166" s="29"/>
      <c r="C166" s="29"/>
      <c r="D166" s="29"/>
      <c r="E166" s="29"/>
      <c r="F166" s="29"/>
      <c r="G166" s="29"/>
      <c r="H166" s="29"/>
      <c r="I166" s="29"/>
      <c r="J166" s="29"/>
    </row>
    <row r="167" customFormat="false" ht="44" hidden="false" customHeight="true" outlineLevel="0" collapsed="false">
      <c r="A167" s="29"/>
      <c r="B167" s="29"/>
      <c r="C167" s="29"/>
      <c r="D167" s="29"/>
      <c r="E167" s="29"/>
      <c r="F167" s="29"/>
      <c r="G167" s="29"/>
      <c r="H167" s="29"/>
      <c r="I167" s="29"/>
      <c r="J167" s="29"/>
    </row>
    <row r="168" customFormat="false" ht="44" hidden="false" customHeight="true" outlineLevel="0" collapsed="false">
      <c r="A168" s="29"/>
      <c r="B168" s="29"/>
      <c r="C168" s="29"/>
      <c r="D168" s="29"/>
      <c r="E168" s="29"/>
      <c r="F168" s="29"/>
      <c r="G168" s="29"/>
      <c r="H168" s="29"/>
      <c r="I168" s="29"/>
      <c r="J168" s="29"/>
    </row>
    <row r="169" customFormat="false" ht="44" hidden="false" customHeight="true" outlineLevel="0" collapsed="false">
      <c r="A169" s="29"/>
      <c r="B169" s="29"/>
      <c r="C169" s="29"/>
      <c r="D169" s="29"/>
      <c r="E169" s="29"/>
      <c r="F169" s="29"/>
      <c r="G169" s="29"/>
      <c r="H169" s="29"/>
      <c r="I169" s="29"/>
      <c r="J169" s="29"/>
    </row>
    <row r="170" customFormat="false" ht="44" hidden="false" customHeight="true" outlineLevel="0" collapsed="false">
      <c r="A170" s="29"/>
      <c r="B170" s="29"/>
      <c r="C170" s="29"/>
      <c r="D170" s="29"/>
      <c r="E170" s="29"/>
      <c r="F170" s="29"/>
      <c r="G170" s="29"/>
      <c r="H170" s="29"/>
      <c r="I170" s="29"/>
      <c r="J170" s="29"/>
    </row>
    <row r="171" customFormat="false" ht="44" hidden="false" customHeight="true" outlineLevel="0" collapsed="false">
      <c r="A171" s="29"/>
      <c r="B171" s="29"/>
      <c r="C171" s="29"/>
      <c r="D171" s="29"/>
      <c r="E171" s="29"/>
      <c r="F171" s="29"/>
      <c r="G171" s="29"/>
      <c r="H171" s="29"/>
      <c r="I171" s="29"/>
      <c r="J171" s="29"/>
    </row>
    <row r="172" customFormat="false" ht="44" hidden="false" customHeight="true" outlineLevel="0" collapsed="false">
      <c r="A172" s="29"/>
      <c r="B172" s="29"/>
      <c r="C172" s="29"/>
      <c r="D172" s="29"/>
      <c r="E172" s="29"/>
      <c r="F172" s="29"/>
      <c r="G172" s="29"/>
      <c r="H172" s="29"/>
      <c r="I172" s="29"/>
      <c r="J172" s="29"/>
    </row>
    <row r="173" customFormat="false" ht="44" hidden="false" customHeight="true" outlineLevel="0" collapsed="false">
      <c r="A173" s="29"/>
      <c r="B173" s="29"/>
      <c r="C173" s="29"/>
      <c r="D173" s="29"/>
      <c r="E173" s="29"/>
      <c r="F173" s="29"/>
      <c r="G173" s="29"/>
      <c r="H173" s="29"/>
      <c r="I173" s="29"/>
      <c r="J173" s="29"/>
    </row>
    <row r="174" customFormat="false" ht="44" hidden="false" customHeight="true" outlineLevel="0" collapsed="false">
      <c r="A174" s="29"/>
      <c r="B174" s="29"/>
      <c r="C174" s="29"/>
      <c r="D174" s="29"/>
      <c r="E174" s="29"/>
      <c r="F174" s="29"/>
      <c r="G174" s="29"/>
      <c r="H174" s="29"/>
      <c r="I174" s="29"/>
      <c r="J174" s="29"/>
    </row>
    <row r="175" customFormat="false" ht="44" hidden="false" customHeight="true" outlineLevel="0" collapsed="false">
      <c r="A175" s="29"/>
      <c r="B175" s="29"/>
      <c r="C175" s="29"/>
      <c r="D175" s="29"/>
      <c r="E175" s="29"/>
      <c r="F175" s="29"/>
      <c r="G175" s="29"/>
      <c r="H175" s="29"/>
      <c r="I175" s="29"/>
      <c r="J175" s="29"/>
    </row>
    <row r="176" customFormat="false" ht="44" hidden="false" customHeight="true" outlineLevel="0" collapsed="false">
      <c r="A176" s="29"/>
      <c r="B176" s="29"/>
      <c r="C176" s="29"/>
      <c r="D176" s="29"/>
      <c r="E176" s="29"/>
      <c r="F176" s="29"/>
      <c r="G176" s="29"/>
      <c r="H176" s="29"/>
      <c r="I176" s="29"/>
      <c r="J176" s="29"/>
    </row>
    <row r="177" customFormat="false" ht="44" hidden="false" customHeight="true" outlineLevel="0" collapsed="false">
      <c r="A177" s="29"/>
      <c r="B177" s="29"/>
      <c r="C177" s="29"/>
      <c r="D177" s="29"/>
      <c r="E177" s="29"/>
      <c r="F177" s="29"/>
      <c r="G177" s="29"/>
      <c r="H177" s="29"/>
      <c r="I177" s="29"/>
      <c r="J177" s="29"/>
    </row>
    <row r="178" customFormat="false" ht="44" hidden="false" customHeight="true" outlineLevel="0" collapsed="false">
      <c r="A178" s="29"/>
      <c r="B178" s="29"/>
      <c r="C178" s="29"/>
      <c r="D178" s="29"/>
      <c r="E178" s="29"/>
      <c r="F178" s="29"/>
      <c r="G178" s="29"/>
      <c r="H178" s="29"/>
      <c r="I178" s="29"/>
      <c r="J178" s="29"/>
    </row>
    <row r="179" customFormat="false" ht="44" hidden="false" customHeight="true" outlineLevel="0" collapsed="false">
      <c r="A179" s="29"/>
      <c r="B179" s="29"/>
      <c r="C179" s="29"/>
      <c r="D179" s="29"/>
      <c r="E179" s="29"/>
      <c r="F179" s="29"/>
      <c r="G179" s="29"/>
      <c r="H179" s="29"/>
      <c r="I179" s="29"/>
      <c r="J179" s="29"/>
    </row>
    <row r="180" customFormat="false" ht="44" hidden="false" customHeight="true" outlineLevel="0" collapsed="false">
      <c r="A180" s="29"/>
      <c r="B180" s="29"/>
      <c r="C180" s="29"/>
      <c r="D180" s="29"/>
      <c r="E180" s="29"/>
      <c r="F180" s="29"/>
      <c r="G180" s="29"/>
      <c r="H180" s="29"/>
      <c r="I180" s="29"/>
      <c r="J180" s="29"/>
    </row>
    <row r="181" customFormat="false" ht="44" hidden="false" customHeight="true" outlineLevel="0" collapsed="false">
      <c r="A181" s="29"/>
      <c r="B181" s="29"/>
      <c r="C181" s="29"/>
      <c r="D181" s="29"/>
      <c r="E181" s="29"/>
      <c r="F181" s="29"/>
      <c r="G181" s="29"/>
      <c r="H181" s="29"/>
      <c r="I181" s="29"/>
      <c r="J181" s="29"/>
    </row>
    <row r="182" customFormat="false" ht="44" hidden="false" customHeight="true" outlineLevel="0" collapsed="false">
      <c r="A182" s="29"/>
      <c r="B182" s="29"/>
      <c r="C182" s="29"/>
      <c r="D182" s="29"/>
      <c r="E182" s="29"/>
      <c r="F182" s="29"/>
      <c r="G182" s="29"/>
      <c r="H182" s="29"/>
      <c r="I182" s="29"/>
      <c r="J182" s="29"/>
    </row>
    <row r="183" customFormat="false" ht="44" hidden="false" customHeight="true" outlineLevel="0" collapsed="false">
      <c r="A183" s="29"/>
      <c r="B183" s="29"/>
      <c r="C183" s="29"/>
      <c r="D183" s="29"/>
      <c r="E183" s="29"/>
      <c r="F183" s="29"/>
      <c r="G183" s="29"/>
      <c r="H183" s="29"/>
      <c r="I183" s="29"/>
      <c r="J183" s="29"/>
    </row>
    <row r="184" customFormat="false" ht="44" hidden="false" customHeight="true" outlineLevel="0" collapsed="false">
      <c r="A184" s="29"/>
      <c r="B184" s="29"/>
      <c r="C184" s="29"/>
      <c r="D184" s="29"/>
      <c r="E184" s="29"/>
      <c r="F184" s="29"/>
      <c r="G184" s="29"/>
      <c r="H184" s="29"/>
      <c r="I184" s="29"/>
      <c r="J184" s="29"/>
    </row>
    <row r="185" customFormat="false" ht="44" hidden="false" customHeight="true" outlineLevel="0" collapsed="false">
      <c r="A185" s="29"/>
      <c r="B185" s="29"/>
      <c r="C185" s="29"/>
      <c r="D185" s="29"/>
      <c r="E185" s="29"/>
      <c r="F185" s="29"/>
      <c r="G185" s="29"/>
      <c r="H185" s="29"/>
      <c r="I185" s="29"/>
      <c r="J185" s="29"/>
    </row>
    <row r="186" customFormat="false" ht="44" hidden="false" customHeight="true" outlineLevel="0" collapsed="false">
      <c r="A186" s="29"/>
      <c r="B186" s="29"/>
      <c r="C186" s="29"/>
      <c r="D186" s="29"/>
      <c r="E186" s="29"/>
      <c r="F186" s="29"/>
      <c r="G186" s="29"/>
      <c r="H186" s="29"/>
      <c r="I186" s="29"/>
      <c r="J186" s="29"/>
    </row>
    <row r="187" customFormat="false" ht="44" hidden="false" customHeight="true" outlineLevel="0" collapsed="false">
      <c r="A187" s="29"/>
      <c r="B187" s="29"/>
      <c r="C187" s="29"/>
      <c r="D187" s="29"/>
      <c r="E187" s="29"/>
      <c r="F187" s="29"/>
      <c r="G187" s="29"/>
      <c r="H187" s="29"/>
      <c r="I187" s="29"/>
      <c r="J187" s="29"/>
    </row>
    <row r="188" customFormat="false" ht="44" hidden="false" customHeight="true" outlineLevel="0" collapsed="false">
      <c r="A188" s="29"/>
      <c r="B188" s="29"/>
      <c r="C188" s="29"/>
      <c r="D188" s="29"/>
      <c r="E188" s="29"/>
      <c r="F188" s="29"/>
      <c r="G188" s="29"/>
      <c r="H188" s="29"/>
      <c r="I188" s="29"/>
      <c r="J188" s="29"/>
    </row>
    <row r="189" customFormat="false" ht="44" hidden="false" customHeight="true" outlineLevel="0" collapsed="false">
      <c r="A189" s="29"/>
      <c r="B189" s="29"/>
      <c r="C189" s="29"/>
      <c r="D189" s="29"/>
      <c r="E189" s="29"/>
      <c r="F189" s="29"/>
      <c r="G189" s="29"/>
      <c r="H189" s="29"/>
      <c r="I189" s="29"/>
      <c r="J189" s="29"/>
    </row>
    <row r="190" customFormat="false" ht="44" hidden="false" customHeight="true" outlineLevel="0" collapsed="false">
      <c r="A190" s="29"/>
      <c r="B190" s="29"/>
      <c r="C190" s="29"/>
      <c r="D190" s="29"/>
      <c r="E190" s="29"/>
      <c r="F190" s="29"/>
      <c r="G190" s="29"/>
      <c r="H190" s="29"/>
      <c r="I190" s="29"/>
      <c r="J190" s="29"/>
    </row>
    <row r="191" customFormat="false" ht="44" hidden="false" customHeight="true" outlineLevel="0" collapsed="false">
      <c r="A191" s="29"/>
      <c r="B191" s="29"/>
      <c r="C191" s="29"/>
      <c r="D191" s="29"/>
      <c r="E191" s="29"/>
      <c r="F191" s="29"/>
      <c r="G191" s="29"/>
      <c r="H191" s="29"/>
      <c r="I191" s="29"/>
      <c r="J191" s="29"/>
    </row>
    <row r="192" customFormat="false" ht="44" hidden="false" customHeight="true" outlineLevel="0" collapsed="false">
      <c r="A192" s="29"/>
      <c r="B192" s="29"/>
      <c r="C192" s="29"/>
      <c r="D192" s="29"/>
      <c r="E192" s="29"/>
      <c r="F192" s="29"/>
      <c r="G192" s="29"/>
      <c r="H192" s="29"/>
      <c r="I192" s="29"/>
      <c r="J192" s="29"/>
    </row>
    <row r="193" customFormat="false" ht="44" hidden="false" customHeight="true" outlineLevel="0" collapsed="false">
      <c r="A193" s="29"/>
      <c r="B193" s="29"/>
      <c r="C193" s="29"/>
      <c r="D193" s="29"/>
      <c r="E193" s="29"/>
      <c r="F193" s="29"/>
      <c r="G193" s="29"/>
      <c r="H193" s="29"/>
      <c r="I193" s="29"/>
      <c r="J193" s="29"/>
    </row>
    <row r="194" customFormat="false" ht="44" hidden="false" customHeight="true" outlineLevel="0" collapsed="false">
      <c r="A194" s="29"/>
      <c r="B194" s="29"/>
      <c r="C194" s="29"/>
      <c r="D194" s="29"/>
      <c r="E194" s="29"/>
      <c r="F194" s="29"/>
      <c r="G194" s="29"/>
      <c r="H194" s="29"/>
      <c r="I194" s="29"/>
      <c r="J194" s="29"/>
    </row>
    <row r="195" customFormat="false" ht="44" hidden="false" customHeight="true" outlineLevel="0" collapsed="false">
      <c r="A195" s="29"/>
      <c r="B195" s="29"/>
      <c r="C195" s="29"/>
      <c r="D195" s="29"/>
      <c r="E195" s="29"/>
      <c r="F195" s="29"/>
      <c r="G195" s="29"/>
      <c r="H195" s="29"/>
      <c r="I195" s="29"/>
      <c r="J195" s="29"/>
    </row>
    <row r="196" customFormat="false" ht="44" hidden="false" customHeight="true" outlineLevel="0" collapsed="false">
      <c r="A196" s="29"/>
      <c r="B196" s="29"/>
      <c r="C196" s="29"/>
      <c r="D196" s="29"/>
      <c r="E196" s="29"/>
      <c r="F196" s="29"/>
      <c r="G196" s="29"/>
      <c r="H196" s="29"/>
      <c r="I196" s="29"/>
      <c r="J196" s="29"/>
    </row>
    <row r="197" customFormat="false" ht="44" hidden="false" customHeight="true" outlineLevel="0" collapsed="false">
      <c r="A197" s="29"/>
      <c r="B197" s="29"/>
      <c r="C197" s="29"/>
      <c r="D197" s="29"/>
      <c r="E197" s="29"/>
      <c r="F197" s="29"/>
      <c r="G197" s="29"/>
      <c r="H197" s="29"/>
      <c r="I197" s="29"/>
      <c r="J197" s="29"/>
    </row>
    <row r="198" customFormat="false" ht="44" hidden="false" customHeight="true" outlineLevel="0" collapsed="false">
      <c r="A198" s="29"/>
      <c r="B198" s="29"/>
      <c r="C198" s="29"/>
      <c r="D198" s="29"/>
      <c r="E198" s="29"/>
      <c r="F198" s="29"/>
      <c r="G198" s="29"/>
      <c r="H198" s="29"/>
      <c r="I198" s="29"/>
      <c r="J198" s="29"/>
    </row>
    <row r="199" customFormat="false" ht="44" hidden="false" customHeight="true" outlineLevel="0" collapsed="false">
      <c r="A199" s="29"/>
      <c r="B199" s="29"/>
      <c r="C199" s="29"/>
      <c r="D199" s="29"/>
      <c r="E199" s="29"/>
      <c r="F199" s="29"/>
      <c r="G199" s="29"/>
      <c r="H199" s="29"/>
      <c r="I199" s="29"/>
      <c r="J199" s="29"/>
    </row>
    <row r="200" customFormat="false" ht="44" hidden="false" customHeight="true" outlineLevel="0" collapsed="false">
      <c r="A200" s="29"/>
      <c r="B200" s="29"/>
      <c r="C200" s="29"/>
      <c r="D200" s="29"/>
      <c r="E200" s="29"/>
      <c r="F200" s="29"/>
      <c r="G200" s="29"/>
      <c r="H200" s="29"/>
      <c r="I200" s="29"/>
      <c r="J200" s="29"/>
    </row>
    <row r="201" customFormat="false" ht="44" hidden="false" customHeight="true" outlineLevel="0" collapsed="false">
      <c r="A201" s="29"/>
      <c r="B201" s="29"/>
      <c r="C201" s="29"/>
      <c r="D201" s="29"/>
      <c r="E201" s="29"/>
      <c r="F201" s="29"/>
      <c r="G201" s="29"/>
      <c r="H201" s="29"/>
      <c r="I201" s="29"/>
      <c r="J201" s="29"/>
    </row>
    <row r="202" customFormat="false" ht="44" hidden="false" customHeight="true" outlineLevel="0" collapsed="false">
      <c r="A202" s="29"/>
      <c r="B202" s="29"/>
      <c r="C202" s="29"/>
      <c r="D202" s="29"/>
      <c r="E202" s="29"/>
      <c r="F202" s="29"/>
      <c r="G202" s="29"/>
      <c r="H202" s="29"/>
      <c r="I202" s="29"/>
      <c r="J202" s="29"/>
    </row>
    <row r="203" customFormat="false" ht="44" hidden="false" customHeight="true" outlineLevel="0" collapsed="false">
      <c r="A203" s="29"/>
      <c r="B203" s="29"/>
      <c r="C203" s="29"/>
      <c r="D203" s="29"/>
      <c r="E203" s="29"/>
      <c r="F203" s="29"/>
      <c r="G203" s="29"/>
      <c r="H203" s="29"/>
      <c r="I203" s="29"/>
      <c r="J203" s="29"/>
    </row>
    <row r="204" customFormat="false" ht="44" hidden="false" customHeight="true" outlineLevel="0" collapsed="false">
      <c r="A204" s="29"/>
      <c r="B204" s="29"/>
      <c r="C204" s="29"/>
      <c r="D204" s="29"/>
      <c r="E204" s="29"/>
      <c r="F204" s="29"/>
      <c r="G204" s="29"/>
      <c r="H204" s="29"/>
      <c r="I204" s="29"/>
      <c r="J204" s="29"/>
    </row>
    <row r="205" customFormat="false" ht="44" hidden="false" customHeight="true" outlineLevel="0" collapsed="false">
      <c r="A205" s="29"/>
      <c r="B205" s="29"/>
      <c r="C205" s="29"/>
      <c r="D205" s="29"/>
      <c r="E205" s="29"/>
      <c r="F205" s="29"/>
      <c r="G205" s="29"/>
      <c r="H205" s="29"/>
      <c r="I205" s="29"/>
      <c r="J205" s="29"/>
    </row>
    <row r="206" customFormat="false" ht="44" hidden="false" customHeight="true" outlineLevel="0" collapsed="false">
      <c r="A206" s="29"/>
      <c r="B206" s="29"/>
      <c r="C206" s="29"/>
      <c r="D206" s="29"/>
      <c r="E206" s="29"/>
      <c r="F206" s="29"/>
      <c r="G206" s="29"/>
      <c r="H206" s="29"/>
      <c r="I206" s="29"/>
      <c r="J206" s="29"/>
    </row>
    <row r="207" customFormat="false" ht="44" hidden="false" customHeight="true" outlineLevel="0" collapsed="false">
      <c r="A207" s="29"/>
      <c r="B207" s="29"/>
      <c r="C207" s="29"/>
      <c r="D207" s="29"/>
      <c r="E207" s="29"/>
      <c r="F207" s="29"/>
      <c r="G207" s="29"/>
      <c r="H207" s="29"/>
      <c r="I207" s="29"/>
      <c r="J207" s="29"/>
    </row>
    <row r="208" customFormat="false" ht="44" hidden="false" customHeight="true" outlineLevel="0" collapsed="false">
      <c r="A208" s="29"/>
      <c r="B208" s="29"/>
      <c r="C208" s="29"/>
      <c r="D208" s="29"/>
      <c r="E208" s="29"/>
      <c r="F208" s="29"/>
      <c r="G208" s="29"/>
      <c r="H208" s="29"/>
      <c r="I208" s="29"/>
      <c r="J208" s="29"/>
    </row>
    <row r="209" customFormat="false" ht="44" hidden="false" customHeight="true" outlineLevel="0" collapsed="false">
      <c r="A209" s="29"/>
      <c r="B209" s="29"/>
      <c r="C209" s="29"/>
      <c r="D209" s="29"/>
      <c r="E209" s="29"/>
      <c r="F209" s="29"/>
      <c r="G209" s="29"/>
      <c r="H209" s="29"/>
      <c r="I209" s="29"/>
      <c r="J209" s="29"/>
    </row>
    <row r="210" customFormat="false" ht="44" hidden="false" customHeight="true" outlineLevel="0" collapsed="false">
      <c r="A210" s="29"/>
      <c r="B210" s="29"/>
      <c r="C210" s="29"/>
      <c r="D210" s="29"/>
      <c r="E210" s="29"/>
      <c r="F210" s="29"/>
      <c r="G210" s="29"/>
      <c r="H210" s="29"/>
      <c r="I210" s="29"/>
      <c r="J210" s="29"/>
    </row>
    <row r="211" customFormat="false" ht="44" hidden="false" customHeight="true" outlineLevel="0" collapsed="false">
      <c r="A211" s="29"/>
      <c r="B211" s="29"/>
      <c r="C211" s="29"/>
      <c r="D211" s="29"/>
      <c r="E211" s="29"/>
      <c r="F211" s="29"/>
      <c r="G211" s="29"/>
      <c r="H211" s="29"/>
      <c r="I211" s="29"/>
      <c r="J211" s="29"/>
    </row>
    <row r="212" customFormat="false" ht="44" hidden="false" customHeight="true" outlineLevel="0" collapsed="false">
      <c r="A212" s="29"/>
      <c r="B212" s="29"/>
      <c r="C212" s="29"/>
      <c r="D212" s="29"/>
      <c r="E212" s="29"/>
      <c r="F212" s="29"/>
      <c r="G212" s="29"/>
      <c r="H212" s="29"/>
      <c r="I212" s="29"/>
      <c r="J212" s="29"/>
    </row>
    <row r="213" customFormat="false" ht="44" hidden="false" customHeight="true" outlineLevel="0" collapsed="false">
      <c r="A213" s="29"/>
      <c r="B213" s="29"/>
      <c r="C213" s="29"/>
      <c r="D213" s="29"/>
      <c r="E213" s="29"/>
      <c r="F213" s="29"/>
      <c r="G213" s="29"/>
      <c r="H213" s="29"/>
      <c r="I213" s="29"/>
      <c r="J213" s="29"/>
    </row>
    <row r="214" customFormat="false" ht="44" hidden="false" customHeight="true" outlineLevel="0" collapsed="false">
      <c r="A214" s="29"/>
      <c r="B214" s="29"/>
      <c r="C214" s="29"/>
      <c r="D214" s="29"/>
      <c r="E214" s="29"/>
      <c r="F214" s="29"/>
      <c r="G214" s="29"/>
      <c r="H214" s="29"/>
      <c r="I214" s="29"/>
      <c r="J214" s="29"/>
    </row>
    <row r="215" customFormat="false" ht="44" hidden="false" customHeight="true" outlineLevel="0" collapsed="false">
      <c r="A215" s="29"/>
      <c r="B215" s="29"/>
      <c r="C215" s="29"/>
      <c r="D215" s="29"/>
      <c r="E215" s="29"/>
      <c r="F215" s="29"/>
      <c r="G215" s="29"/>
      <c r="H215" s="29"/>
      <c r="I215" s="29"/>
      <c r="J215" s="29"/>
    </row>
    <row r="216" customFormat="false" ht="44" hidden="false" customHeight="true" outlineLevel="0" collapsed="false">
      <c r="A216" s="29"/>
      <c r="B216" s="29"/>
      <c r="C216" s="29"/>
      <c r="D216" s="29"/>
      <c r="E216" s="29"/>
      <c r="F216" s="29"/>
      <c r="G216" s="29"/>
      <c r="H216" s="29"/>
      <c r="I216" s="29"/>
      <c r="J216" s="29"/>
    </row>
    <row r="217" customFormat="false" ht="44" hidden="false" customHeight="true" outlineLevel="0" collapsed="false">
      <c r="A217" s="29"/>
      <c r="B217" s="29"/>
      <c r="C217" s="29"/>
      <c r="D217" s="29"/>
      <c r="E217" s="29"/>
      <c r="F217" s="29"/>
      <c r="G217" s="29"/>
      <c r="H217" s="29"/>
      <c r="I217" s="29"/>
      <c r="J217" s="29"/>
    </row>
    <row r="218" customFormat="false" ht="44" hidden="false" customHeight="true" outlineLevel="0" collapsed="false">
      <c r="A218" s="29"/>
      <c r="B218" s="29"/>
      <c r="C218" s="29"/>
      <c r="D218" s="29"/>
      <c r="E218" s="29"/>
      <c r="F218" s="29"/>
      <c r="G218" s="29"/>
      <c r="H218" s="29"/>
      <c r="I218" s="29"/>
      <c r="J218" s="29"/>
    </row>
    <row r="219" customFormat="false" ht="44" hidden="false" customHeight="true" outlineLevel="0" collapsed="false">
      <c r="A219" s="29"/>
      <c r="B219" s="29"/>
      <c r="C219" s="29"/>
      <c r="D219" s="29"/>
      <c r="E219" s="29"/>
      <c r="F219" s="29"/>
      <c r="G219" s="29"/>
      <c r="H219" s="29"/>
      <c r="I219" s="29"/>
      <c r="J219" s="29"/>
    </row>
    <row r="220" customFormat="false" ht="44" hidden="false" customHeight="true" outlineLevel="0" collapsed="false">
      <c r="A220" s="29"/>
      <c r="B220" s="29"/>
      <c r="C220" s="29"/>
      <c r="D220" s="29"/>
      <c r="E220" s="29"/>
      <c r="F220" s="29"/>
      <c r="G220" s="29"/>
      <c r="H220" s="29"/>
      <c r="I220" s="29"/>
      <c r="J220" s="29"/>
    </row>
    <row r="221" customFormat="false" ht="44" hidden="false" customHeight="true" outlineLevel="0" collapsed="false">
      <c r="A221" s="29"/>
      <c r="B221" s="29"/>
      <c r="C221" s="29"/>
      <c r="D221" s="29"/>
      <c r="E221" s="29"/>
      <c r="F221" s="29"/>
      <c r="G221" s="29"/>
      <c r="H221" s="29"/>
      <c r="I221" s="29"/>
      <c r="J221" s="29"/>
    </row>
    <row r="222" customFormat="false" ht="44" hidden="false" customHeight="true" outlineLevel="0" collapsed="false">
      <c r="A222" s="29"/>
      <c r="B222" s="29"/>
      <c r="C222" s="29"/>
      <c r="D222" s="29"/>
      <c r="E222" s="29"/>
      <c r="F222" s="29"/>
      <c r="G222" s="29"/>
      <c r="H222" s="29"/>
      <c r="I222" s="29"/>
      <c r="J222" s="29"/>
    </row>
    <row r="223" customFormat="false" ht="44" hidden="false" customHeight="true" outlineLevel="0" collapsed="false">
      <c r="A223" s="29"/>
      <c r="B223" s="29"/>
      <c r="C223" s="29"/>
      <c r="D223" s="29"/>
      <c r="E223" s="29"/>
      <c r="F223" s="29"/>
      <c r="G223" s="29"/>
      <c r="H223" s="29"/>
      <c r="I223" s="29"/>
      <c r="J223" s="29"/>
    </row>
    <row r="224" customFormat="false" ht="44" hidden="false" customHeight="true" outlineLevel="0" collapsed="false">
      <c r="A224" s="29"/>
      <c r="B224" s="29"/>
      <c r="C224" s="29"/>
      <c r="D224" s="29"/>
      <c r="E224" s="29"/>
      <c r="F224" s="29"/>
      <c r="G224" s="29"/>
      <c r="H224" s="29"/>
      <c r="I224" s="29"/>
      <c r="J224" s="29"/>
    </row>
    <row r="225" customFormat="false" ht="44" hidden="false" customHeight="true" outlineLevel="0" collapsed="false">
      <c r="A225" s="29"/>
      <c r="B225" s="29"/>
      <c r="C225" s="29"/>
      <c r="D225" s="29"/>
      <c r="E225" s="29"/>
      <c r="F225" s="29"/>
      <c r="G225" s="29"/>
      <c r="H225" s="29"/>
      <c r="I225" s="29"/>
      <c r="J225" s="29"/>
    </row>
    <row r="226" customFormat="false" ht="44" hidden="false" customHeight="true" outlineLevel="0" collapsed="false">
      <c r="A226" s="29"/>
      <c r="B226" s="29"/>
      <c r="C226" s="29"/>
      <c r="D226" s="29"/>
      <c r="E226" s="29"/>
      <c r="F226" s="29"/>
      <c r="G226" s="29"/>
      <c r="H226" s="29"/>
      <c r="I226" s="29"/>
      <c r="J226" s="29"/>
    </row>
    <row r="227" customFormat="false" ht="44" hidden="false" customHeight="true" outlineLevel="0" collapsed="false">
      <c r="A227" s="29"/>
      <c r="B227" s="29"/>
      <c r="C227" s="29"/>
      <c r="D227" s="29"/>
      <c r="E227" s="29"/>
      <c r="F227" s="29"/>
      <c r="G227" s="29"/>
      <c r="H227" s="29"/>
      <c r="I227" s="29"/>
      <c r="J227" s="29"/>
    </row>
    <row r="228" customFormat="false" ht="44" hidden="false" customHeight="true" outlineLevel="0" collapsed="false">
      <c r="A228" s="29"/>
      <c r="B228" s="29"/>
      <c r="C228" s="29"/>
      <c r="D228" s="29"/>
      <c r="E228" s="29"/>
      <c r="F228" s="29"/>
      <c r="G228" s="29"/>
      <c r="H228" s="29"/>
      <c r="I228" s="29"/>
      <c r="J228" s="29"/>
    </row>
    <row r="229" customFormat="false" ht="44" hidden="false" customHeight="true" outlineLevel="0" collapsed="false">
      <c r="A229" s="29"/>
      <c r="B229" s="29"/>
      <c r="C229" s="29"/>
      <c r="D229" s="29"/>
      <c r="E229" s="29"/>
      <c r="F229" s="29"/>
      <c r="G229" s="29"/>
      <c r="H229" s="29"/>
      <c r="I229" s="29"/>
      <c r="J229" s="29"/>
    </row>
    <row r="230" customFormat="false" ht="44" hidden="false" customHeight="true" outlineLevel="0" collapsed="false">
      <c r="A230" s="29"/>
      <c r="B230" s="29"/>
      <c r="C230" s="29"/>
      <c r="D230" s="29"/>
      <c r="E230" s="29"/>
      <c r="F230" s="29"/>
      <c r="G230" s="29"/>
      <c r="H230" s="29"/>
      <c r="I230" s="29"/>
      <c r="J230" s="29"/>
    </row>
    <row r="231" customFormat="false" ht="44" hidden="false" customHeight="true" outlineLevel="0" collapsed="false">
      <c r="A231" s="29"/>
      <c r="B231" s="29"/>
      <c r="C231" s="29"/>
      <c r="D231" s="29"/>
      <c r="E231" s="29"/>
      <c r="F231" s="29"/>
      <c r="G231" s="29"/>
      <c r="H231" s="29"/>
      <c r="I231" s="29"/>
      <c r="J231" s="29"/>
    </row>
    <row r="232" customFormat="false" ht="44" hidden="false" customHeight="true" outlineLevel="0" collapsed="false">
      <c r="A232" s="29"/>
      <c r="B232" s="29"/>
      <c r="C232" s="29"/>
      <c r="D232" s="29"/>
      <c r="E232" s="29"/>
      <c r="F232" s="29"/>
      <c r="G232" s="29"/>
      <c r="H232" s="29"/>
      <c r="I232" s="29"/>
      <c r="J232" s="29"/>
    </row>
    <row r="233" customFormat="false" ht="44" hidden="false" customHeight="true" outlineLevel="0" collapsed="false">
      <c r="A233" s="29"/>
      <c r="B233" s="29"/>
      <c r="C233" s="29"/>
      <c r="D233" s="29"/>
      <c r="E233" s="29"/>
      <c r="F233" s="29"/>
      <c r="G233" s="29"/>
      <c r="H233" s="29"/>
      <c r="I233" s="29"/>
      <c r="J233" s="29"/>
    </row>
    <row r="234" customFormat="false" ht="44" hidden="false" customHeight="true" outlineLevel="0" collapsed="false">
      <c r="A234" s="29"/>
      <c r="B234" s="29"/>
      <c r="C234" s="29"/>
      <c r="D234" s="29"/>
      <c r="E234" s="29"/>
      <c r="F234" s="29"/>
      <c r="G234" s="29"/>
      <c r="H234" s="29"/>
      <c r="I234" s="29"/>
      <c r="J234" s="29"/>
    </row>
    <row r="235" customFormat="false" ht="44" hidden="false" customHeight="true" outlineLevel="0" collapsed="false">
      <c r="A235" s="29"/>
      <c r="B235" s="29"/>
      <c r="C235" s="29"/>
      <c r="D235" s="29"/>
      <c r="E235" s="29"/>
      <c r="F235" s="29"/>
      <c r="G235" s="29"/>
      <c r="H235" s="29"/>
      <c r="I235" s="29"/>
      <c r="J235" s="29"/>
    </row>
    <row r="236" customFormat="false" ht="44" hidden="false" customHeight="true" outlineLevel="0" collapsed="false">
      <c r="A236" s="29"/>
      <c r="B236" s="29"/>
      <c r="C236" s="29"/>
      <c r="D236" s="29"/>
      <c r="E236" s="29"/>
      <c r="F236" s="29"/>
      <c r="G236" s="29"/>
      <c r="H236" s="29"/>
      <c r="I236" s="29"/>
      <c r="J236" s="29"/>
    </row>
    <row r="237" customFormat="false" ht="44" hidden="false" customHeight="true" outlineLevel="0" collapsed="false">
      <c r="A237" s="29"/>
      <c r="B237" s="29"/>
      <c r="C237" s="29"/>
      <c r="D237" s="29"/>
      <c r="E237" s="29"/>
      <c r="F237" s="29"/>
      <c r="G237" s="29"/>
      <c r="H237" s="29"/>
      <c r="I237" s="29"/>
      <c r="J237" s="29"/>
    </row>
    <row r="238" customFormat="false" ht="44" hidden="false" customHeight="true" outlineLevel="0" collapsed="false">
      <c r="A238" s="29"/>
      <c r="B238" s="29"/>
      <c r="C238" s="29"/>
      <c r="D238" s="29"/>
      <c r="E238" s="29"/>
      <c r="F238" s="29"/>
      <c r="G238" s="29"/>
      <c r="H238" s="29"/>
      <c r="I238" s="29"/>
      <c r="J238" s="29"/>
    </row>
    <row r="239" customFormat="false" ht="44" hidden="false" customHeight="true" outlineLevel="0" collapsed="false">
      <c r="A239" s="29"/>
      <c r="B239" s="29"/>
      <c r="C239" s="29"/>
      <c r="D239" s="29"/>
      <c r="E239" s="29"/>
      <c r="F239" s="29"/>
      <c r="G239" s="29"/>
      <c r="H239" s="29"/>
      <c r="I239" s="29"/>
      <c r="J239" s="29"/>
    </row>
    <row r="240" customFormat="false" ht="44" hidden="false" customHeight="true" outlineLevel="0" collapsed="false">
      <c r="A240" s="29"/>
      <c r="B240" s="29"/>
      <c r="C240" s="29"/>
      <c r="D240" s="29"/>
      <c r="E240" s="29"/>
      <c r="F240" s="29"/>
      <c r="G240" s="29"/>
      <c r="H240" s="29"/>
      <c r="I240" s="29"/>
      <c r="J240" s="29"/>
    </row>
    <row r="241" customFormat="false" ht="44" hidden="false" customHeight="true" outlineLevel="0" collapsed="false">
      <c r="A241" s="29"/>
      <c r="B241" s="29"/>
      <c r="C241" s="29"/>
      <c r="D241" s="29"/>
      <c r="E241" s="29"/>
      <c r="F241" s="29"/>
      <c r="G241" s="29"/>
      <c r="H241" s="29"/>
      <c r="I241" s="29"/>
      <c r="J241" s="29"/>
    </row>
    <row r="242" customFormat="false" ht="44" hidden="false" customHeight="true" outlineLevel="0" collapsed="false">
      <c r="A242" s="29"/>
      <c r="B242" s="29"/>
      <c r="C242" s="29"/>
      <c r="D242" s="29"/>
      <c r="E242" s="29"/>
      <c r="F242" s="29"/>
      <c r="G242" s="29"/>
      <c r="H242" s="29"/>
      <c r="I242" s="29"/>
      <c r="J242" s="29"/>
    </row>
    <row r="243" customFormat="false" ht="44" hidden="false" customHeight="true" outlineLevel="0" collapsed="false">
      <c r="A243" s="29"/>
      <c r="B243" s="29"/>
      <c r="C243" s="29"/>
      <c r="D243" s="29"/>
      <c r="E243" s="29"/>
      <c r="F243" s="29"/>
      <c r="G243" s="29"/>
      <c r="H243" s="29"/>
      <c r="I243" s="29"/>
      <c r="J243" s="29"/>
    </row>
    <row r="244" customFormat="false" ht="44" hidden="false" customHeight="true" outlineLevel="0" collapsed="false">
      <c r="A244" s="29"/>
      <c r="B244" s="29"/>
      <c r="C244" s="29"/>
      <c r="D244" s="29"/>
      <c r="E244" s="29"/>
      <c r="F244" s="29"/>
      <c r="G244" s="29"/>
      <c r="H244" s="29"/>
      <c r="I244" s="29"/>
      <c r="J244" s="29"/>
    </row>
    <row r="245" customFormat="false" ht="44" hidden="false" customHeight="true" outlineLevel="0" collapsed="false">
      <c r="A245" s="29"/>
      <c r="B245" s="29"/>
      <c r="C245" s="29"/>
      <c r="D245" s="29"/>
      <c r="E245" s="29"/>
      <c r="F245" s="29"/>
      <c r="G245" s="29"/>
      <c r="H245" s="29"/>
      <c r="I245" s="29"/>
      <c r="J245" s="29"/>
    </row>
    <row r="246" customFormat="false" ht="44" hidden="false" customHeight="true" outlineLevel="0" collapsed="false">
      <c r="A246" s="29"/>
      <c r="B246" s="29"/>
      <c r="C246" s="29"/>
      <c r="D246" s="29"/>
      <c r="E246" s="29"/>
      <c r="F246" s="29"/>
      <c r="G246" s="29"/>
      <c r="H246" s="29"/>
      <c r="I246" s="29"/>
      <c r="J246" s="29"/>
    </row>
    <row r="247" customFormat="false" ht="44" hidden="false" customHeight="true" outlineLevel="0" collapsed="false">
      <c r="A247" s="29"/>
      <c r="B247" s="29"/>
      <c r="C247" s="29"/>
      <c r="D247" s="29"/>
      <c r="E247" s="29"/>
      <c r="F247" s="29"/>
      <c r="G247" s="29"/>
      <c r="H247" s="29"/>
      <c r="I247" s="29"/>
      <c r="J247" s="29"/>
    </row>
    <row r="248" customFormat="false" ht="44" hidden="false" customHeight="true" outlineLevel="0" collapsed="false">
      <c r="A248" s="29"/>
      <c r="B248" s="29"/>
      <c r="C248" s="29"/>
      <c r="D248" s="29"/>
      <c r="E248" s="29"/>
      <c r="F248" s="29"/>
      <c r="G248" s="29"/>
      <c r="H248" s="29"/>
      <c r="I248" s="29"/>
      <c r="J248" s="29"/>
    </row>
    <row r="249" customFormat="false" ht="44" hidden="false" customHeight="true" outlineLevel="0" collapsed="false">
      <c r="A249" s="29"/>
      <c r="B249" s="29"/>
      <c r="C249" s="29"/>
      <c r="D249" s="29"/>
      <c r="E249" s="29"/>
      <c r="F249" s="29"/>
      <c r="G249" s="29"/>
      <c r="H249" s="29"/>
      <c r="I249" s="29"/>
      <c r="J249" s="29"/>
    </row>
    <row r="250" customFormat="false" ht="44" hidden="false" customHeight="true" outlineLevel="0" collapsed="false">
      <c r="A250" s="29"/>
      <c r="B250" s="29"/>
      <c r="C250" s="29"/>
      <c r="D250" s="29"/>
      <c r="E250" s="29"/>
      <c r="F250" s="29"/>
      <c r="G250" s="29"/>
      <c r="H250" s="29"/>
      <c r="I250" s="29"/>
      <c r="J250" s="29"/>
    </row>
    <row r="251" customFormat="false" ht="44" hidden="false" customHeight="true" outlineLevel="0" collapsed="false">
      <c r="A251" s="29"/>
      <c r="B251" s="29"/>
      <c r="C251" s="29"/>
      <c r="D251" s="29"/>
      <c r="E251" s="29"/>
      <c r="F251" s="29"/>
      <c r="G251" s="29"/>
      <c r="H251" s="29"/>
      <c r="I251" s="29"/>
      <c r="J251" s="29"/>
    </row>
    <row r="252" customFormat="false" ht="44" hidden="false" customHeight="true" outlineLevel="0" collapsed="false">
      <c r="A252" s="29"/>
      <c r="B252" s="29"/>
      <c r="C252" s="29"/>
      <c r="D252" s="29"/>
      <c r="E252" s="29"/>
      <c r="F252" s="29"/>
      <c r="G252" s="29"/>
      <c r="H252" s="29"/>
      <c r="I252" s="29"/>
      <c r="J252" s="29"/>
    </row>
    <row r="253" customFormat="false" ht="44" hidden="false" customHeight="true" outlineLevel="0" collapsed="false">
      <c r="A253" s="29"/>
      <c r="B253" s="29"/>
      <c r="C253" s="29"/>
      <c r="D253" s="29"/>
      <c r="E253" s="29"/>
      <c r="F253" s="29"/>
      <c r="G253" s="29"/>
      <c r="H253" s="29"/>
      <c r="I253" s="29"/>
      <c r="J253" s="29"/>
    </row>
    <row r="254" customFormat="false" ht="44" hidden="false" customHeight="true" outlineLevel="0" collapsed="false">
      <c r="A254" s="29"/>
      <c r="B254" s="29"/>
      <c r="C254" s="29"/>
      <c r="D254" s="29"/>
      <c r="E254" s="29"/>
      <c r="F254" s="29"/>
      <c r="G254" s="29"/>
      <c r="H254" s="29"/>
      <c r="I254" s="29"/>
      <c r="J254" s="29"/>
    </row>
    <row r="255" customFormat="false" ht="44" hidden="false" customHeight="true" outlineLevel="0" collapsed="false">
      <c r="A255" s="29"/>
      <c r="B255" s="29"/>
      <c r="C255" s="29"/>
      <c r="D255" s="29"/>
      <c r="E255" s="29"/>
      <c r="F255" s="29"/>
      <c r="G255" s="29"/>
      <c r="H255" s="29"/>
      <c r="I255" s="29"/>
      <c r="J255" s="29"/>
    </row>
    <row r="256" customFormat="false" ht="44" hidden="false" customHeight="true" outlineLevel="0" collapsed="false">
      <c r="A256" s="29"/>
      <c r="B256" s="29"/>
      <c r="C256" s="29"/>
      <c r="D256" s="29"/>
      <c r="E256" s="29"/>
      <c r="F256" s="29"/>
      <c r="G256" s="29"/>
      <c r="H256" s="29"/>
      <c r="I256" s="29"/>
      <c r="J256" s="29"/>
    </row>
    <row r="257" customFormat="false" ht="44" hidden="false" customHeight="true" outlineLevel="0" collapsed="false">
      <c r="A257" s="29"/>
      <c r="B257" s="29"/>
      <c r="C257" s="29"/>
      <c r="D257" s="29"/>
      <c r="E257" s="29"/>
      <c r="F257" s="29"/>
      <c r="G257" s="29"/>
      <c r="H257" s="29"/>
      <c r="I257" s="29"/>
      <c r="J257" s="29"/>
    </row>
    <row r="258" customFormat="false" ht="44" hidden="false" customHeight="true" outlineLevel="0" collapsed="false">
      <c r="A258" s="29"/>
      <c r="B258" s="29"/>
      <c r="C258" s="29"/>
      <c r="D258" s="29"/>
      <c r="E258" s="29"/>
      <c r="F258" s="29"/>
      <c r="G258" s="29"/>
      <c r="H258" s="29"/>
      <c r="I258" s="29"/>
      <c r="J258" s="29"/>
    </row>
    <row r="259" customFormat="false" ht="44" hidden="false" customHeight="true" outlineLevel="0" collapsed="false">
      <c r="A259" s="29"/>
      <c r="B259" s="29"/>
      <c r="C259" s="29"/>
      <c r="D259" s="29"/>
      <c r="E259" s="29"/>
      <c r="F259" s="29"/>
      <c r="G259" s="29"/>
      <c r="H259" s="29"/>
      <c r="I259" s="29"/>
      <c r="J259" s="29"/>
    </row>
    <row r="260" customFormat="false" ht="44" hidden="false" customHeight="true" outlineLevel="0" collapsed="false">
      <c r="A260" s="29"/>
      <c r="B260" s="29"/>
      <c r="C260" s="29"/>
      <c r="D260" s="29"/>
      <c r="E260" s="29"/>
      <c r="F260" s="29"/>
      <c r="G260" s="29"/>
      <c r="H260" s="29"/>
      <c r="I260" s="29"/>
      <c r="J260" s="29"/>
    </row>
    <row r="261" customFormat="false" ht="44" hidden="false" customHeight="true" outlineLevel="0" collapsed="false">
      <c r="A261" s="29"/>
      <c r="B261" s="29"/>
      <c r="C261" s="29"/>
      <c r="D261" s="29"/>
      <c r="E261" s="29"/>
      <c r="F261" s="29"/>
      <c r="G261" s="29"/>
      <c r="H261" s="29"/>
      <c r="I261" s="29"/>
      <c r="J261" s="29"/>
    </row>
    <row r="262" customFormat="false" ht="44" hidden="false" customHeight="true" outlineLevel="0" collapsed="false">
      <c r="A262" s="29"/>
      <c r="B262" s="29"/>
      <c r="C262" s="29"/>
      <c r="D262" s="29"/>
      <c r="E262" s="29"/>
      <c r="F262" s="29"/>
      <c r="G262" s="29"/>
      <c r="H262" s="29"/>
      <c r="I262" s="29"/>
      <c r="J262" s="29"/>
    </row>
    <row r="263" customFormat="false" ht="44" hidden="false" customHeight="true" outlineLevel="0" collapsed="false">
      <c r="A263" s="29"/>
      <c r="B263" s="29"/>
      <c r="C263" s="29"/>
      <c r="D263" s="29"/>
      <c r="E263" s="29"/>
      <c r="F263" s="29"/>
      <c r="G263" s="29"/>
      <c r="H263" s="29"/>
      <c r="I263" s="29"/>
      <c r="J263" s="29"/>
    </row>
    <row r="264" customFormat="false" ht="44" hidden="false" customHeight="true" outlineLevel="0" collapsed="false">
      <c r="A264" s="29"/>
      <c r="B264" s="29"/>
      <c r="C264" s="29"/>
      <c r="D264" s="29"/>
      <c r="E264" s="29"/>
      <c r="F264" s="29"/>
      <c r="G264" s="29"/>
      <c r="H264" s="29"/>
      <c r="I264" s="29"/>
      <c r="J264" s="29"/>
    </row>
    <row r="265" customFormat="false" ht="44" hidden="false" customHeight="true" outlineLevel="0" collapsed="false">
      <c r="A265" s="29"/>
      <c r="B265" s="29"/>
      <c r="C265" s="29"/>
      <c r="D265" s="29"/>
      <c r="E265" s="29"/>
      <c r="F265" s="29"/>
      <c r="G265" s="29"/>
      <c r="H265" s="29"/>
      <c r="I265" s="29"/>
      <c r="J265" s="29"/>
    </row>
    <row r="266" customFormat="false" ht="44" hidden="false" customHeight="true" outlineLevel="0" collapsed="false">
      <c r="A266" s="29"/>
      <c r="B266" s="29"/>
      <c r="C266" s="29"/>
      <c r="D266" s="29"/>
      <c r="E266" s="29"/>
      <c r="F266" s="29"/>
      <c r="G266" s="29"/>
      <c r="H266" s="29"/>
      <c r="I266" s="29"/>
      <c r="J266" s="29"/>
    </row>
    <row r="267" customFormat="false" ht="44" hidden="false" customHeight="true" outlineLevel="0" collapsed="false">
      <c r="A267" s="29"/>
      <c r="B267" s="29"/>
      <c r="C267" s="29"/>
      <c r="D267" s="29"/>
      <c r="E267" s="29"/>
      <c r="F267" s="29"/>
      <c r="G267" s="29"/>
      <c r="H267" s="29"/>
      <c r="I267" s="29"/>
      <c r="J267" s="29"/>
    </row>
    <row r="268" customFormat="false" ht="44" hidden="false" customHeight="true" outlineLevel="0" collapsed="false">
      <c r="A268" s="29"/>
      <c r="B268" s="29"/>
      <c r="C268" s="29"/>
      <c r="D268" s="29"/>
      <c r="E268" s="29"/>
      <c r="F268" s="29"/>
      <c r="G268" s="29"/>
      <c r="H268" s="29"/>
      <c r="I268" s="29"/>
      <c r="J268" s="29"/>
    </row>
    <row r="269" customFormat="false" ht="44" hidden="false" customHeight="true" outlineLevel="0" collapsed="false">
      <c r="A269" s="29"/>
      <c r="B269" s="29"/>
      <c r="C269" s="29"/>
      <c r="D269" s="29"/>
      <c r="E269" s="29"/>
      <c r="F269" s="29"/>
      <c r="G269" s="29"/>
      <c r="H269" s="29"/>
      <c r="I269" s="29"/>
      <c r="J269" s="29"/>
    </row>
    <row r="270" customFormat="false" ht="44" hidden="false" customHeight="true" outlineLevel="0" collapsed="false">
      <c r="A270" s="29"/>
      <c r="B270" s="29"/>
      <c r="C270" s="29"/>
      <c r="D270" s="29"/>
      <c r="E270" s="29"/>
      <c r="F270" s="29"/>
      <c r="G270" s="29"/>
      <c r="H270" s="29"/>
      <c r="I270" s="29"/>
      <c r="J270" s="29"/>
    </row>
    <row r="271" customFormat="false" ht="44" hidden="false" customHeight="true" outlineLevel="0" collapsed="false">
      <c r="A271" s="29"/>
      <c r="B271" s="29"/>
      <c r="C271" s="29"/>
      <c r="D271" s="29"/>
      <c r="E271" s="29"/>
      <c r="F271" s="29"/>
      <c r="G271" s="29"/>
      <c r="H271" s="29"/>
      <c r="I271" s="29"/>
      <c r="J271" s="29"/>
    </row>
    <row r="272" customFormat="false" ht="44" hidden="false" customHeight="true" outlineLevel="0" collapsed="false">
      <c r="A272" s="29"/>
      <c r="B272" s="29"/>
      <c r="C272" s="29"/>
      <c r="D272" s="29"/>
      <c r="E272" s="29"/>
      <c r="F272" s="29"/>
      <c r="G272" s="29"/>
      <c r="H272" s="29"/>
      <c r="I272" s="29"/>
      <c r="J272" s="29"/>
    </row>
    <row r="273" customFormat="false" ht="44" hidden="false" customHeight="true" outlineLevel="0" collapsed="false">
      <c r="A273" s="29"/>
      <c r="B273" s="29"/>
      <c r="C273" s="29"/>
      <c r="D273" s="29"/>
      <c r="E273" s="29"/>
      <c r="F273" s="29"/>
      <c r="G273" s="29"/>
      <c r="H273" s="29"/>
      <c r="I273" s="29"/>
      <c r="J273" s="29"/>
    </row>
    <row r="274" customFormat="false" ht="44" hidden="false" customHeight="true" outlineLevel="0" collapsed="false">
      <c r="A274" s="29"/>
      <c r="B274" s="29"/>
      <c r="C274" s="29"/>
      <c r="D274" s="29"/>
      <c r="E274" s="29"/>
      <c r="F274" s="29"/>
      <c r="G274" s="29"/>
      <c r="H274" s="29"/>
      <c r="I274" s="29"/>
      <c r="J274" s="29"/>
    </row>
    <row r="275" customFormat="false" ht="44" hidden="false" customHeight="true" outlineLevel="0" collapsed="false">
      <c r="A275" s="29"/>
      <c r="B275" s="29"/>
      <c r="C275" s="29"/>
      <c r="D275" s="29"/>
      <c r="E275" s="29"/>
      <c r="F275" s="29"/>
      <c r="G275" s="29"/>
      <c r="H275" s="29"/>
      <c r="I275" s="29"/>
      <c r="J275" s="29"/>
    </row>
    <row r="276" customFormat="false" ht="44" hidden="false" customHeight="true" outlineLevel="0" collapsed="false">
      <c r="A276" s="29"/>
      <c r="B276" s="29"/>
      <c r="C276" s="29"/>
      <c r="D276" s="29"/>
      <c r="E276" s="29"/>
      <c r="F276" s="29"/>
      <c r="G276" s="29"/>
      <c r="H276" s="29"/>
      <c r="I276" s="29"/>
      <c r="J276" s="29"/>
    </row>
    <row r="277" customFormat="false" ht="44" hidden="false" customHeight="true" outlineLevel="0" collapsed="false">
      <c r="A277" s="29"/>
      <c r="B277" s="29"/>
      <c r="C277" s="29"/>
      <c r="D277" s="29"/>
      <c r="E277" s="29"/>
      <c r="F277" s="29"/>
      <c r="G277" s="29"/>
      <c r="H277" s="29"/>
      <c r="I277" s="29"/>
      <c r="J277" s="29"/>
    </row>
    <row r="278" customFormat="false" ht="44" hidden="false" customHeight="true" outlineLevel="0" collapsed="false">
      <c r="A278" s="29"/>
      <c r="B278" s="29"/>
      <c r="C278" s="29"/>
      <c r="D278" s="29"/>
      <c r="E278" s="29"/>
      <c r="F278" s="29"/>
      <c r="G278" s="29"/>
      <c r="H278" s="29"/>
      <c r="I278" s="29"/>
      <c r="J278" s="29"/>
    </row>
    <row r="279" customFormat="false" ht="44" hidden="false" customHeight="true" outlineLevel="0" collapsed="false">
      <c r="A279" s="29"/>
      <c r="B279" s="29"/>
      <c r="C279" s="29"/>
      <c r="D279" s="29"/>
      <c r="E279" s="29"/>
      <c r="F279" s="29"/>
      <c r="G279" s="29"/>
      <c r="H279" s="29"/>
      <c r="I279" s="29"/>
      <c r="J279" s="29"/>
    </row>
    <row r="280" customFormat="false" ht="44" hidden="false" customHeight="true" outlineLevel="0" collapsed="false">
      <c r="A280" s="29"/>
      <c r="B280" s="29"/>
      <c r="C280" s="29"/>
      <c r="D280" s="29"/>
      <c r="E280" s="29"/>
      <c r="F280" s="29"/>
      <c r="G280" s="29"/>
      <c r="H280" s="29"/>
      <c r="I280" s="29"/>
      <c r="J280" s="29"/>
    </row>
    <row r="281" customFormat="false" ht="44" hidden="false" customHeight="true" outlineLevel="0" collapsed="false">
      <c r="A281" s="29"/>
      <c r="B281" s="29"/>
      <c r="C281" s="29"/>
      <c r="D281" s="29"/>
      <c r="E281" s="29"/>
      <c r="F281" s="29"/>
      <c r="G281" s="29"/>
      <c r="H281" s="29"/>
      <c r="I281" s="29"/>
      <c r="J281" s="29"/>
    </row>
    <row r="282" customFormat="false" ht="44" hidden="false" customHeight="true" outlineLevel="0" collapsed="false">
      <c r="A282" s="29"/>
      <c r="B282" s="29"/>
      <c r="C282" s="29"/>
      <c r="D282" s="29"/>
      <c r="E282" s="29"/>
      <c r="F282" s="29"/>
      <c r="G282" s="29"/>
      <c r="H282" s="29"/>
      <c r="I282" s="29"/>
      <c r="J282" s="29"/>
    </row>
    <row r="283" customFormat="false" ht="44" hidden="false" customHeight="true" outlineLevel="0" collapsed="false">
      <c r="A283" s="29"/>
      <c r="B283" s="29"/>
      <c r="C283" s="29"/>
      <c r="D283" s="29"/>
      <c r="E283" s="29"/>
      <c r="F283" s="29"/>
      <c r="G283" s="29"/>
      <c r="H283" s="29"/>
      <c r="I283" s="29"/>
      <c r="J283" s="29"/>
    </row>
    <row r="284" customFormat="false" ht="44" hidden="false" customHeight="true" outlineLevel="0" collapsed="false">
      <c r="A284" s="29"/>
      <c r="B284" s="29"/>
      <c r="C284" s="29"/>
      <c r="D284" s="29"/>
      <c r="E284" s="29"/>
      <c r="F284" s="29"/>
      <c r="G284" s="29"/>
      <c r="H284" s="29"/>
      <c r="I284" s="29"/>
      <c r="J284" s="29"/>
    </row>
    <row r="285" customFormat="false" ht="44" hidden="false" customHeight="true" outlineLevel="0" collapsed="false">
      <c r="A285" s="29"/>
      <c r="B285" s="29"/>
      <c r="C285" s="29"/>
      <c r="D285" s="29"/>
      <c r="E285" s="29"/>
      <c r="F285" s="29"/>
      <c r="G285" s="29"/>
      <c r="H285" s="29"/>
      <c r="I285" s="29"/>
      <c r="J285" s="29"/>
    </row>
    <row r="286" customFormat="false" ht="44" hidden="false" customHeight="true" outlineLevel="0" collapsed="false">
      <c r="A286" s="29"/>
      <c r="B286" s="29"/>
      <c r="C286" s="29"/>
      <c r="D286" s="29"/>
      <c r="E286" s="29"/>
      <c r="F286" s="29"/>
      <c r="G286" s="29"/>
      <c r="H286" s="29"/>
      <c r="I286" s="29"/>
      <c r="J286" s="29"/>
    </row>
    <row r="287" customFormat="false" ht="44" hidden="false" customHeight="true" outlineLevel="0" collapsed="false">
      <c r="A287" s="29"/>
      <c r="B287" s="29"/>
      <c r="C287" s="29"/>
      <c r="D287" s="29"/>
      <c r="E287" s="29"/>
      <c r="F287" s="29"/>
      <c r="G287" s="29"/>
      <c r="H287" s="29"/>
      <c r="I287" s="29"/>
      <c r="J287" s="29"/>
    </row>
    <row r="288" customFormat="false" ht="44" hidden="false" customHeight="true" outlineLevel="0" collapsed="false">
      <c r="A288" s="29"/>
      <c r="B288" s="29"/>
      <c r="C288" s="29"/>
      <c r="D288" s="29"/>
      <c r="E288" s="29"/>
      <c r="F288" s="29"/>
      <c r="G288" s="29"/>
      <c r="H288" s="29"/>
      <c r="I288" s="29"/>
      <c r="J288" s="29"/>
    </row>
    <row r="289" customFormat="false" ht="44" hidden="false" customHeight="true" outlineLevel="0" collapsed="false">
      <c r="A289" s="29"/>
      <c r="B289" s="29"/>
      <c r="C289" s="29"/>
      <c r="D289" s="29"/>
      <c r="E289" s="29"/>
      <c r="F289" s="29"/>
      <c r="G289" s="29"/>
      <c r="H289" s="29"/>
      <c r="I289" s="29"/>
      <c r="J289" s="29"/>
    </row>
    <row r="290" customFormat="false" ht="44" hidden="false" customHeight="true" outlineLevel="0" collapsed="false">
      <c r="A290" s="29"/>
      <c r="B290" s="29"/>
      <c r="C290" s="29"/>
      <c r="D290" s="29"/>
      <c r="E290" s="29"/>
      <c r="F290" s="29"/>
      <c r="G290" s="29"/>
      <c r="H290" s="29"/>
      <c r="I290" s="29"/>
      <c r="J290" s="29"/>
    </row>
    <row r="291" customFormat="false" ht="44" hidden="false" customHeight="true" outlineLevel="0" collapsed="false">
      <c r="A291" s="29"/>
      <c r="B291" s="29"/>
      <c r="C291" s="29"/>
      <c r="D291" s="29"/>
      <c r="E291" s="29"/>
      <c r="F291" s="29"/>
      <c r="G291" s="29"/>
      <c r="H291" s="29"/>
      <c r="I291" s="29"/>
      <c r="J291" s="29"/>
    </row>
    <row r="292" customFormat="false" ht="44" hidden="false" customHeight="true" outlineLevel="0" collapsed="false">
      <c r="A292" s="29"/>
      <c r="B292" s="29"/>
      <c r="C292" s="29"/>
      <c r="D292" s="29"/>
      <c r="E292" s="29"/>
      <c r="F292" s="29"/>
      <c r="G292" s="29"/>
      <c r="H292" s="29"/>
      <c r="I292" s="29"/>
      <c r="J292" s="29"/>
    </row>
    <row r="293" customFormat="false" ht="44" hidden="false" customHeight="true" outlineLevel="0" collapsed="false">
      <c r="A293" s="29"/>
      <c r="B293" s="29"/>
      <c r="C293" s="29"/>
      <c r="D293" s="29"/>
      <c r="E293" s="29"/>
      <c r="F293" s="29"/>
      <c r="G293" s="29"/>
      <c r="H293" s="29"/>
      <c r="I293" s="29"/>
      <c r="J293" s="29"/>
    </row>
    <row r="294" customFormat="false" ht="44" hidden="false" customHeight="true" outlineLevel="0" collapsed="false">
      <c r="A294" s="29"/>
      <c r="B294" s="29"/>
      <c r="C294" s="29"/>
      <c r="D294" s="29"/>
      <c r="E294" s="29"/>
      <c r="F294" s="29"/>
      <c r="G294" s="29"/>
      <c r="H294" s="29"/>
      <c r="I294" s="29"/>
      <c r="J294" s="29"/>
    </row>
    <row r="295" customFormat="false" ht="44" hidden="false" customHeight="true" outlineLevel="0" collapsed="false">
      <c r="A295" s="29"/>
      <c r="B295" s="29"/>
      <c r="C295" s="29"/>
      <c r="D295" s="29"/>
      <c r="E295" s="29"/>
      <c r="F295" s="29"/>
      <c r="G295" s="29"/>
      <c r="H295" s="29"/>
      <c r="I295" s="29"/>
      <c r="J295" s="29"/>
    </row>
    <row r="296" customFormat="false" ht="44" hidden="false" customHeight="true" outlineLevel="0" collapsed="false">
      <c r="A296" s="29"/>
      <c r="B296" s="29"/>
      <c r="C296" s="29"/>
      <c r="D296" s="29"/>
      <c r="E296" s="29"/>
      <c r="F296" s="29"/>
      <c r="G296" s="29"/>
      <c r="H296" s="29"/>
      <c r="I296" s="29"/>
      <c r="J296" s="29"/>
    </row>
    <row r="297" customFormat="false" ht="44" hidden="false" customHeight="true" outlineLevel="0" collapsed="false">
      <c r="A297" s="29"/>
      <c r="B297" s="29"/>
      <c r="C297" s="29"/>
      <c r="D297" s="29"/>
      <c r="E297" s="29"/>
      <c r="F297" s="29"/>
      <c r="G297" s="29"/>
      <c r="H297" s="29"/>
      <c r="I297" s="29"/>
      <c r="J297" s="29"/>
    </row>
    <row r="298" customFormat="false" ht="44" hidden="false" customHeight="true" outlineLevel="0" collapsed="false">
      <c r="A298" s="29"/>
      <c r="B298" s="29"/>
      <c r="C298" s="29"/>
      <c r="D298" s="29"/>
      <c r="E298" s="29"/>
      <c r="F298" s="29"/>
      <c r="G298" s="29"/>
      <c r="H298" s="29"/>
      <c r="I298" s="29"/>
      <c r="J298" s="29"/>
    </row>
    <row r="299" customFormat="false" ht="44" hidden="false" customHeight="true" outlineLevel="0" collapsed="false">
      <c r="A299" s="29"/>
      <c r="B299" s="29"/>
      <c r="C299" s="29"/>
      <c r="D299" s="29"/>
      <c r="E299" s="29"/>
      <c r="F299" s="29"/>
      <c r="G299" s="29"/>
      <c r="H299" s="29"/>
      <c r="I299" s="29"/>
      <c r="J299" s="29"/>
    </row>
    <row r="300" customFormat="false" ht="44" hidden="false" customHeight="true" outlineLevel="0" collapsed="false">
      <c r="A300" s="29"/>
      <c r="B300" s="29"/>
      <c r="C300" s="29"/>
      <c r="D300" s="29"/>
      <c r="E300" s="29"/>
      <c r="F300" s="29"/>
      <c r="G300" s="29"/>
      <c r="H300" s="29"/>
      <c r="I300" s="29"/>
      <c r="J300" s="29"/>
    </row>
    <row r="301" customFormat="false" ht="44" hidden="false" customHeight="true" outlineLevel="0" collapsed="false">
      <c r="A301" s="29"/>
      <c r="B301" s="29"/>
      <c r="C301" s="29"/>
      <c r="D301" s="29"/>
      <c r="E301" s="29"/>
      <c r="F301" s="29"/>
      <c r="G301" s="29"/>
      <c r="H301" s="29"/>
      <c r="I301" s="29"/>
      <c r="J301" s="29"/>
    </row>
    <row r="302" customFormat="false" ht="44" hidden="false" customHeight="true" outlineLevel="0" collapsed="false">
      <c r="A302" s="29"/>
      <c r="B302" s="29"/>
      <c r="C302" s="29"/>
      <c r="D302" s="29"/>
      <c r="E302" s="29"/>
      <c r="F302" s="29"/>
      <c r="G302" s="29"/>
      <c r="H302" s="29"/>
      <c r="I302" s="29"/>
      <c r="J302" s="29"/>
    </row>
    <row r="303" customFormat="false" ht="44" hidden="false" customHeight="true" outlineLevel="0" collapsed="false">
      <c r="A303" s="29"/>
      <c r="B303" s="29"/>
      <c r="C303" s="29"/>
      <c r="D303" s="29"/>
      <c r="E303" s="29"/>
      <c r="F303" s="29"/>
      <c r="G303" s="29"/>
      <c r="H303" s="29"/>
      <c r="I303" s="29"/>
      <c r="J303" s="29"/>
    </row>
    <row r="304" customFormat="false" ht="44" hidden="false" customHeight="true" outlineLevel="0" collapsed="false">
      <c r="A304" s="29"/>
      <c r="B304" s="29"/>
      <c r="C304" s="29"/>
      <c r="D304" s="29"/>
      <c r="E304" s="29"/>
      <c r="F304" s="29"/>
      <c r="G304" s="29"/>
      <c r="H304" s="29"/>
      <c r="I304" s="29"/>
      <c r="J304" s="29"/>
    </row>
    <row r="305" customFormat="false" ht="44" hidden="false" customHeight="true" outlineLevel="0" collapsed="false">
      <c r="A305" s="29"/>
      <c r="B305" s="29"/>
      <c r="C305" s="29"/>
      <c r="D305" s="29"/>
      <c r="E305" s="29"/>
      <c r="F305" s="29"/>
      <c r="G305" s="29"/>
      <c r="H305" s="29"/>
      <c r="I305" s="29"/>
      <c r="J305" s="29"/>
    </row>
    <row r="306" customFormat="false" ht="44" hidden="false" customHeight="true" outlineLevel="0" collapsed="false">
      <c r="A306" s="29"/>
      <c r="B306" s="29"/>
      <c r="C306" s="29"/>
      <c r="D306" s="29"/>
      <c r="E306" s="29"/>
      <c r="F306" s="29"/>
      <c r="G306" s="29"/>
      <c r="H306" s="29"/>
      <c r="I306" s="29"/>
      <c r="J306" s="29"/>
    </row>
    <row r="307" customFormat="false" ht="44" hidden="false" customHeight="true" outlineLevel="0" collapsed="false">
      <c r="A307" s="29"/>
      <c r="B307" s="29"/>
      <c r="C307" s="29"/>
      <c r="D307" s="29"/>
      <c r="E307" s="29"/>
      <c r="F307" s="29"/>
      <c r="G307" s="29"/>
      <c r="H307" s="29"/>
      <c r="I307" s="29"/>
      <c r="J307" s="29"/>
    </row>
  </sheetData>
  <mergeCells count="2">
    <mergeCell ref="A1:C2"/>
    <mergeCell ref="A3:C3"/>
  </mergeCells>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&amp;L&amp;"Arial,Bold"&amp;12&amp;K000000Sources</oddHeader>
    <oddFooter>&amp;L&amp;"Calibri"&amp;11&amp;K000000Sources&amp;R&amp;"Calibri"&amp;11&amp;K000000Page &amp;P of &amp;N</oddFooter>
  </headerFooter>
  <tableParts>
    <tablePart r:id="rId1"/>
  </tableParts>
</worksheet>
</file>

<file path=xl/worksheets/sheet11.xml><?xml version="1.0" encoding="utf-8"?>
<worksheet xmlns="http://schemas.openxmlformats.org/spreadsheetml/2006/main">
  <sheetPr filterMode="false">
    <tabColor rgb="FF236D79"/>
    <pageSetUpPr fitToPage="true"/>
  </sheetPr>
  <dimension ref="A1:D10"/>
  <sheetViews>
    <sheetView showFormulas="false" showGridLines="false" showRowColHeaders="true" showZeros="true" rightToLeft="false" tabSelected="0"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17.22"/>
    <col collapsed="false" customWidth="true" hidden="false" outlineLevel="0" max="18" min="5" style="0" width="24"/>
  </cols>
  <sheetData>
    <row r="1" customFormat="false" ht="28" hidden="false" customHeight="true" outlineLevel="0" collapsed="false">
      <c r="A1" s="43" t="s">
        <v>142</v>
      </c>
      <c r="B1" s="43" t="s">
        <v>58</v>
      </c>
      <c r="C1" s="43" t="s">
        <v>143</v>
      </c>
      <c r="D1" s="43" t="s">
        <v>144</v>
      </c>
    </row>
    <row r="2" customFormat="false" ht="28" hidden="false" customHeight="true" outlineLevel="0" collapsed="false">
      <c r="A2" s="43" t="s">
        <v>145</v>
      </c>
      <c r="B2" s="43" t="s">
        <v>60</v>
      </c>
      <c r="C2" s="43" t="s">
        <v>146</v>
      </c>
      <c r="D2" s="43" t="s">
        <v>147</v>
      </c>
    </row>
    <row r="3" customFormat="false" ht="28" hidden="false" customHeight="true" outlineLevel="0" collapsed="false">
      <c r="A3" s="43" t="s">
        <v>148</v>
      </c>
      <c r="B3" s="43" t="s">
        <v>62</v>
      </c>
      <c r="C3" s="43" t="s">
        <v>149</v>
      </c>
      <c r="D3" s="43" t="s">
        <v>150</v>
      </c>
    </row>
    <row r="4" customFormat="false" ht="28" hidden="false" customHeight="true" outlineLevel="0" collapsed="false">
      <c r="A4" s="43" t="s">
        <v>151</v>
      </c>
      <c r="B4" s="43" t="s">
        <v>64</v>
      </c>
      <c r="C4" s="43"/>
      <c r="D4" s="43" t="s">
        <v>152</v>
      </c>
    </row>
    <row r="5" customFormat="false" ht="28" hidden="false" customHeight="true" outlineLevel="0" collapsed="false">
      <c r="A5" s="43"/>
      <c r="B5" s="43" t="s">
        <v>66</v>
      </c>
      <c r="C5" s="43"/>
      <c r="D5" s="43"/>
    </row>
    <row r="6" customFormat="false" ht="28" hidden="false" customHeight="true" outlineLevel="0" collapsed="false">
      <c r="A6" s="43"/>
      <c r="B6" s="43"/>
      <c r="C6" s="43"/>
      <c r="D6" s="43"/>
    </row>
    <row r="7" customFormat="false" ht="28" hidden="false" customHeight="true" outlineLevel="0" collapsed="false">
      <c r="A7" s="43"/>
      <c r="B7" s="43"/>
      <c r="C7" s="43"/>
      <c r="D7" s="43"/>
    </row>
    <row r="8" customFormat="false" ht="28" hidden="false" customHeight="true" outlineLevel="0" collapsed="false">
      <c r="A8" s="43"/>
      <c r="B8" s="43"/>
      <c r="C8" s="43"/>
      <c r="D8" s="43"/>
    </row>
    <row r="9" customFormat="false" ht="28" hidden="false" customHeight="true" outlineLevel="0" collapsed="false">
      <c r="A9" s="43"/>
      <c r="B9" s="43"/>
      <c r="C9" s="43"/>
      <c r="D9" s="43"/>
    </row>
    <row r="10" customFormat="false" ht="28" hidden="false" customHeight="true" outlineLevel="0" collapsed="false">
      <c r="A10" s="43"/>
      <c r="B10" s="43"/>
      <c r="C10" s="43"/>
      <c r="D10" s="43"/>
    </row>
  </sheetData>
  <printOptions headings="false" gridLines="false" gridLinesSet="true" horizontalCentered="true" verticalCentered="false"/>
  <pageMargins left="0.35" right="0.35" top="0.35" bottom="0.4" header="0.1" footer="0.15"/>
  <pageSetup paperSize="1" scale="100" fitToWidth="1" fitToHeight="0" pageOrder="downThenOver" orientation="landscape" blackAndWhite="false" draft="false" cellComments="none" horizontalDpi="300" verticalDpi="300" copies="1"/>
  <headerFooter differentFirst="false" differentOddEven="false">
    <oddHeader>&amp;L&amp;"Arial,Bold"&amp;12&amp;K000000Lists</oddHeader>
    <oddFooter>&amp;L&amp;"Calibri"&amp;11&amp;K000000Lists&amp;R&amp;"Calibri"&amp;11&amp;K000000Page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